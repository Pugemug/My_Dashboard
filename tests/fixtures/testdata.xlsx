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D:\Git\My_Dashboard\tests\fixtures\"/>
    </mc:Choice>
  </mc:AlternateContent>
  <xr:revisionPtr revIDLastSave="0" documentId="13_ncr:1_{18684407-84DE-4090-881C-A5349A709AAC}" xr6:coauthVersionLast="47" xr6:coauthVersionMax="47" xr10:uidLastSave="{00000000-0000-0000-0000-000000000000}"/>
  <bookViews>
    <workbookView xWindow="5880" yWindow="5808" windowWidth="34560" windowHeight="18600" tabRatio="784" firstSheet="1" activeTab="1" xr2:uid="{00000000-000D-0000-FFFF-FFFF00000000}"/>
  </bookViews>
  <sheets>
    <sheet name="LeadTime_CS" sheetId="78" state="hidden" r:id="rId1"/>
    <sheet name="Happiness Faktor" sheetId="98" r:id="rId2"/>
    <sheet name="JiraProjects" sheetId="63" r:id="rId3"/>
    <sheet name="JiraBlockermanagement" sheetId="96" r:id="rId4"/>
    <sheet name="JiraStories" sheetId="95" r:id="rId5"/>
    <sheet name="JiraEpics" sheetId="94" r:id="rId6"/>
    <sheet name="SquadDaten" sheetId="73" r:id="rId7"/>
    <sheet name="CACHE_BlockedFieldHistory" sheetId="97" state="hidden" r:id="rId8"/>
  </sheets>
  <externalReferences>
    <externalReference r:id="rId9"/>
  </externalReferences>
  <definedNames>
    <definedName name="ExterneDaten_1" localSheetId="5" hidden="1">JiraEpics!$A$1:$AG$376</definedName>
    <definedName name="ExterneDaten_2" localSheetId="4" hidden="1">JiraStories!$A$1:$DS$1120</definedName>
    <definedName name="ExterneDaten_3" localSheetId="3" hidden="1">JiraBlockermanagement!$A$1:$P$17</definedName>
    <definedName name="jiraModifierCell" localSheetId="1">[1]!jiraProjectsTable[Modifier]</definedName>
    <definedName name="jiraModifierCell" localSheetId="0">#REF!</definedName>
    <definedName name="jiraModifierCell">jiraProjectsTable[Modifier]</definedName>
    <definedName name="jiraProjectCell" localSheetId="1">[1]Dashboard!$C$3</definedName>
    <definedName name="jiraProjectCell" localSheetId="0">#REF!</definedName>
    <definedName name="jiraProjectCell">#REF!</definedName>
    <definedName name="SquadDaten" localSheetId="1">[1]SquadDaten!$B$2:$J$19</definedName>
    <definedName name="SquadDaten" localSheetId="0">#REF!</definedName>
    <definedName name="SquadDaten">SquadDaten!$B$2:$J$19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98" l="1" a="1"/>
  <c r="D3" i="98" s="1"/>
  <c r="C16" i="98" l="1"/>
  <c r="C10" i="98"/>
  <c r="C4" i="98"/>
  <c r="C15" i="98"/>
  <c r="C14" i="98"/>
  <c r="C8" i="98"/>
  <c r="C6" i="98"/>
  <c r="C13" i="98"/>
  <c r="C7" i="98"/>
  <c r="C5" i="98"/>
  <c r="C12" i="98"/>
  <c r="C11" i="98"/>
  <c r="C9" i="98"/>
  <c r="B9" i="98" l="1"/>
  <c r="B16" i="98"/>
  <c r="B10" i="98"/>
  <c r="B15" i="98"/>
  <c r="B14" i="98"/>
  <c r="B8" i="98"/>
  <c r="B6" i="98"/>
  <c r="B13" i="98"/>
  <c r="B7" i="98"/>
  <c r="B12" i="98"/>
  <c r="B11" i="98"/>
  <c r="B5" i="98"/>
  <c r="B4" i="98" l="1"/>
  <c r="C2" i="73" l="1" a="1"/>
  <c r="C2" i="73" s="1"/>
  <c r="B3" i="73" l="1" a="1"/>
  <c r="B3" i="73" s="1"/>
  <c r="BZ2" i="78"/>
  <c r="BU2" i="78"/>
  <c r="BP2" i="78"/>
  <c r="BK2" i="78"/>
  <c r="BF2" i="78"/>
  <c r="BA2" i="78"/>
  <c r="AV2" i="78"/>
  <c r="AQ2" i="78"/>
  <c r="AL2" i="78"/>
  <c r="AG2" i="78"/>
  <c r="AB2" i="78"/>
  <c r="W2" i="78"/>
  <c r="R2" i="78"/>
  <c r="M2" i="78"/>
  <c r="H2" i="78"/>
  <c r="C2" i="78"/>
  <c r="B16" i="78" l="1"/>
  <c r="B8" i="78"/>
  <c r="B15" i="78"/>
  <c r="B7" i="78"/>
  <c r="B14" i="78"/>
  <c r="B6" i="78"/>
  <c r="B13" i="78"/>
  <c r="B5" i="78"/>
  <c r="B12" i="78"/>
  <c r="B11" i="78"/>
  <c r="B10" i="78"/>
  <c r="B9" i="78"/>
  <c r="B4" i="78"/>
  <c r="BZ6" i="78" l="1" a="1"/>
  <c r="BZ6" i="78" s="1"/>
  <c r="BN6" i="78" a="1"/>
  <c r="BN6" i="78" s="1"/>
  <c r="BH6" i="78" a="1"/>
  <c r="BH6" i="78" s="1"/>
  <c r="BB6" i="78" a="1"/>
  <c r="BB6" i="78" s="1"/>
  <c r="AW6" i="78" a="1"/>
  <c r="AW6" i="78" s="1"/>
  <c r="AQ6" i="78" a="1"/>
  <c r="AQ6" i="78" s="1"/>
  <c r="AF6" i="78" a="1"/>
  <c r="AF6" i="78" s="1"/>
  <c r="Z6" i="78" a="1"/>
  <c r="Z6" i="78" s="1"/>
  <c r="T6" i="78" a="1"/>
  <c r="T6" i="78" s="1"/>
  <c r="I6" i="78" a="1"/>
  <c r="I6" i="78" s="1"/>
  <c r="D6" i="78" a="1"/>
  <c r="D6" i="78" s="1"/>
  <c r="BY6" i="78" a="1"/>
  <c r="BY6" i="78" s="1"/>
  <c r="BS6" i="78" a="1"/>
  <c r="BS6" i="78" s="1"/>
  <c r="BG6" i="78" a="1"/>
  <c r="BG6" i="78" s="1"/>
  <c r="AP6" i="78" a="1"/>
  <c r="AP6" i="78" s="1"/>
  <c r="AK6" i="78" a="1"/>
  <c r="AK6" i="78" s="1"/>
  <c r="O6" i="78" a="1"/>
  <c r="O6" i="78" s="1"/>
  <c r="CD6" i="78" a="1"/>
  <c r="CD6" i="78" s="1"/>
  <c r="BR6" i="78" a="1"/>
  <c r="BR6" i="78" s="1"/>
  <c r="BM6" i="78" a="1"/>
  <c r="BM6" i="78" s="1"/>
  <c r="BF6" i="78" a="1"/>
  <c r="BF6" i="78" s="1"/>
  <c r="BA6" i="78" a="1"/>
  <c r="BA6" i="78" s="1"/>
  <c r="AV6" i="78" a="1"/>
  <c r="AV6" i="78" s="1"/>
  <c r="AO6" i="78" a="1"/>
  <c r="AO6" i="78" s="1"/>
  <c r="AJ6" i="78" a="1"/>
  <c r="AJ6" i="78" s="1"/>
  <c r="AE6" i="78" a="1"/>
  <c r="AE6" i="78" s="1"/>
  <c r="Y6" i="78" a="1"/>
  <c r="Y6" i="78" s="1"/>
  <c r="S6" i="78" a="1"/>
  <c r="S6" i="78" s="1"/>
  <c r="N6" i="78" a="1"/>
  <c r="N6" i="78" s="1"/>
  <c r="H6" i="78" a="1"/>
  <c r="H6" i="78" s="1"/>
  <c r="C6" i="78" a="1"/>
  <c r="C6" i="78" s="1"/>
  <c r="CC6" i="78" a="1"/>
  <c r="CC6" i="78" s="1"/>
  <c r="BX6" i="78" a="1"/>
  <c r="BX6" i="78" s="1"/>
  <c r="BL6" i="78" a="1"/>
  <c r="BL6" i="78" s="1"/>
  <c r="AZ6" i="78" a="1"/>
  <c r="AZ6" i="78" s="1"/>
  <c r="AD6" i="78" a="1"/>
  <c r="AD6" i="78" s="1"/>
  <c r="R6" i="78" a="1"/>
  <c r="R6" i="78" s="1"/>
  <c r="M6" i="78" a="1"/>
  <c r="M6" i="78" s="1"/>
  <c r="BW6" i="78" a="1"/>
  <c r="BW6" i="78" s="1"/>
  <c r="BQ6" i="78" a="1"/>
  <c r="BQ6" i="78" s="1"/>
  <c r="BK6" i="78" a="1"/>
  <c r="BK6" i="78" s="1"/>
  <c r="BE6" i="78" a="1"/>
  <c r="BE6" i="78" s="1"/>
  <c r="AU6" i="78" a="1"/>
  <c r="AU6" i="78" s="1"/>
  <c r="AN6" i="78" a="1"/>
  <c r="AN6" i="78" s="1"/>
  <c r="AI6" i="78" a="1"/>
  <c r="AI6" i="78" s="1"/>
  <c r="AC6" i="78" a="1"/>
  <c r="AC6" i="78" s="1"/>
  <c r="X6" i="78" a="1"/>
  <c r="X6" i="78" s="1"/>
  <c r="G6" i="78" a="1"/>
  <c r="G6" i="78" s="1"/>
  <c r="CB6" i="78" a="1"/>
  <c r="CB6" i="78" s="1"/>
  <c r="BV6" i="78" a="1"/>
  <c r="BV6" i="78" s="1"/>
  <c r="BP6" i="78" a="1"/>
  <c r="BP6" i="78" s="1"/>
  <c r="BJ6" i="78" a="1"/>
  <c r="BJ6" i="78" s="1"/>
  <c r="AY6" i="78" a="1"/>
  <c r="AY6" i="78" s="1"/>
  <c r="AT6" i="78" a="1"/>
  <c r="AT6" i="78" s="1"/>
  <c r="AH6" i="78" a="1"/>
  <c r="AH6" i="78" s="1"/>
  <c r="W6" i="78" a="1"/>
  <c r="W6" i="78" s="1"/>
  <c r="Q6" i="78" a="1"/>
  <c r="Q6" i="78" s="1"/>
  <c r="L6" i="78" a="1"/>
  <c r="L6" i="78" s="1"/>
  <c r="BU6" i="78" a="1"/>
  <c r="BU6" i="78" s="1"/>
  <c r="BI6" i="78" a="1"/>
  <c r="BI6" i="78" s="1"/>
  <c r="BD6" i="78" a="1"/>
  <c r="BD6" i="78" s="1"/>
  <c r="AX6" i="78" a="1"/>
  <c r="AX6" i="78" s="1"/>
  <c r="AS6" i="78" a="1"/>
  <c r="AS6" i="78" s="1"/>
  <c r="AM6" i="78" a="1"/>
  <c r="AM6" i="78" s="1"/>
  <c r="AB6" i="78" a="1"/>
  <c r="AB6" i="78" s="1"/>
  <c r="V6" i="78" a="1"/>
  <c r="V6" i="78" s="1"/>
  <c r="K6" i="78" a="1"/>
  <c r="K6" i="78" s="1"/>
  <c r="CA6" i="78" a="1"/>
  <c r="CA6" i="78" s="1"/>
  <c r="BT6" i="78" a="1"/>
  <c r="BT6" i="78" s="1"/>
  <c r="BO6" i="78" a="1"/>
  <c r="BO6" i="78" s="1"/>
  <c r="BC6" i="78" a="1"/>
  <c r="BC6" i="78" s="1"/>
  <c r="AR6" i="78" a="1"/>
  <c r="AR6" i="78" s="1"/>
  <c r="AL6" i="78" a="1"/>
  <c r="AL6" i="78" s="1"/>
  <c r="AG6" i="78" a="1"/>
  <c r="AG6" i="78" s="1"/>
  <c r="AA6" i="78" a="1"/>
  <c r="AA6" i="78" s="1"/>
  <c r="U6" i="78" a="1"/>
  <c r="U6" i="78" s="1"/>
  <c r="P6" i="78" a="1"/>
  <c r="P6" i="78" s="1"/>
  <c r="J6" i="78" a="1"/>
  <c r="J6" i="78" s="1"/>
  <c r="F6" i="78" a="1"/>
  <c r="F6" i="78" s="1"/>
  <c r="E6" i="78" a="1"/>
  <c r="E6" i="78" s="1"/>
  <c r="BX14" i="78" a="1"/>
  <c r="BX14" i="78" s="1"/>
  <c r="BQ14" i="78" a="1"/>
  <c r="BQ14" i="78" s="1"/>
  <c r="BJ14" i="78" a="1"/>
  <c r="BJ14" i="78" s="1"/>
  <c r="BC14" i="78" a="1"/>
  <c r="BC14" i="78" s="1"/>
  <c r="AV14" i="78" a="1"/>
  <c r="AV14" i="78" s="1"/>
  <c r="AN14" i="78" a="1"/>
  <c r="AN14" i="78" s="1"/>
  <c r="AG14" i="78" a="1"/>
  <c r="AG14" i="78" s="1"/>
  <c r="Z14" i="78" a="1"/>
  <c r="Z14" i="78" s="1"/>
  <c r="S14" i="78" a="1"/>
  <c r="S14" i="78" s="1"/>
  <c r="K14" i="78" a="1"/>
  <c r="K14" i="78" s="1"/>
  <c r="D14" i="78" a="1"/>
  <c r="D14" i="78" s="1"/>
  <c r="BW14" i="78" a="1"/>
  <c r="BW14" i="78" s="1"/>
  <c r="BP14" i="78" a="1"/>
  <c r="BP14" i="78" s="1"/>
  <c r="BI14" i="78" a="1"/>
  <c r="BI14" i="78" s="1"/>
  <c r="BB14" i="78" a="1"/>
  <c r="BB14" i="78" s="1"/>
  <c r="AU14" i="78" a="1"/>
  <c r="AU14" i="78" s="1"/>
  <c r="AF14" i="78" a="1"/>
  <c r="AF14" i="78" s="1"/>
  <c r="Y14" i="78" a="1"/>
  <c r="Y14" i="78" s="1"/>
  <c r="R14" i="78" a="1"/>
  <c r="R14" i="78" s="1"/>
  <c r="J14" i="78" a="1"/>
  <c r="J14" i="78" s="1"/>
  <c r="C14" i="78" a="1"/>
  <c r="C14" i="78" s="1"/>
  <c r="CD14" i="78" a="1"/>
  <c r="CD14" i="78" s="1"/>
  <c r="BV14" i="78" a="1"/>
  <c r="BV14" i="78" s="1"/>
  <c r="BO14" i="78" a="1"/>
  <c r="BO14" i="78" s="1"/>
  <c r="BH14" i="78" a="1"/>
  <c r="BH14" i="78" s="1"/>
  <c r="BA14" i="78" a="1"/>
  <c r="BA14" i="78" s="1"/>
  <c r="AT14" i="78" a="1"/>
  <c r="AT14" i="78" s="1"/>
  <c r="AM14" i="78" a="1"/>
  <c r="AM14" i="78" s="1"/>
  <c r="X14" i="78" a="1"/>
  <c r="X14" i="78" s="1"/>
  <c r="Q14" i="78" a="1"/>
  <c r="Q14" i="78" s="1"/>
  <c r="I14" i="78" a="1"/>
  <c r="I14" i="78" s="1"/>
  <c r="CC14" i="78" a="1"/>
  <c r="CC14" i="78" s="1"/>
  <c r="BU14" i="78" a="1"/>
  <c r="BU14" i="78" s="1"/>
  <c r="BN14" i="78" a="1"/>
  <c r="BN14" i="78" s="1"/>
  <c r="BG14" i="78" a="1"/>
  <c r="BG14" i="78" s="1"/>
  <c r="AZ14" i="78" a="1"/>
  <c r="AZ14" i="78" s="1"/>
  <c r="AS14" i="78" a="1"/>
  <c r="AS14" i="78" s="1"/>
  <c r="AL14" i="78" a="1"/>
  <c r="AL14" i="78" s="1"/>
  <c r="AE14" i="78" a="1"/>
  <c r="AE14" i="78" s="1"/>
  <c r="P14" i="78" a="1"/>
  <c r="P14" i="78" s="1"/>
  <c r="H14" i="78" a="1"/>
  <c r="H14" i="78" s="1"/>
  <c r="CB14" i="78" a="1"/>
  <c r="CB14" i="78" s="1"/>
  <c r="BT14" i="78" a="1"/>
  <c r="BT14" i="78" s="1"/>
  <c r="BM14" i="78" a="1"/>
  <c r="BM14" i="78" s="1"/>
  <c r="BF14" i="78" a="1"/>
  <c r="BF14" i="78" s="1"/>
  <c r="AR14" i="78" a="1"/>
  <c r="AR14" i="78" s="1"/>
  <c r="AK14" i="78" a="1"/>
  <c r="AK14" i="78" s="1"/>
  <c r="AD14" i="78" a="1"/>
  <c r="AD14" i="78" s="1"/>
  <c r="W14" i="78" a="1"/>
  <c r="W14" i="78" s="1"/>
  <c r="O14" i="78" a="1"/>
  <c r="O14" i="78" s="1"/>
  <c r="CA14" i="78" a="1"/>
  <c r="CA14" i="78" s="1"/>
  <c r="BL14" i="78" a="1"/>
  <c r="BL14" i="78" s="1"/>
  <c r="BE14" i="78" a="1"/>
  <c r="BE14" i="78" s="1"/>
  <c r="AY14" i="78" a="1"/>
  <c r="AY14" i="78" s="1"/>
  <c r="AQ14" i="78" a="1"/>
  <c r="AQ14" i="78" s="1"/>
  <c r="AJ14" i="78" a="1"/>
  <c r="AJ14" i="78" s="1"/>
  <c r="AC14" i="78" a="1"/>
  <c r="AC14" i="78" s="1"/>
  <c r="V14" i="78" a="1"/>
  <c r="V14" i="78" s="1"/>
  <c r="N14" i="78" a="1"/>
  <c r="N14" i="78" s="1"/>
  <c r="G14" i="78" a="1"/>
  <c r="G14" i="78" s="1"/>
  <c r="BZ14" i="78" a="1"/>
  <c r="BZ14" i="78" s="1"/>
  <c r="BS14" i="78" a="1"/>
  <c r="BS14" i="78" s="1"/>
  <c r="BD14" i="78" a="1"/>
  <c r="BD14" i="78" s="1"/>
  <c r="AX14" i="78" a="1"/>
  <c r="AX14" i="78" s="1"/>
  <c r="AP14" i="78" a="1"/>
  <c r="AP14" i="78" s="1"/>
  <c r="AI14" i="78" a="1"/>
  <c r="AI14" i="78" s="1"/>
  <c r="AB14" i="78" a="1"/>
  <c r="AB14" i="78" s="1"/>
  <c r="U14" i="78" a="1"/>
  <c r="U14" i="78" s="1"/>
  <c r="M14" i="78" a="1"/>
  <c r="M14" i="78" s="1"/>
  <c r="F14" i="78" a="1"/>
  <c r="F14" i="78" s="1"/>
  <c r="BY14" i="78" a="1"/>
  <c r="BY14" i="78" s="1"/>
  <c r="BR14" i="78" a="1"/>
  <c r="BR14" i="78" s="1"/>
  <c r="BK14" i="78" a="1"/>
  <c r="BK14" i="78" s="1"/>
  <c r="AW14" i="78" a="1"/>
  <c r="AW14" i="78" s="1"/>
  <c r="AO14" i="78" a="1"/>
  <c r="AO14" i="78" s="1"/>
  <c r="AH14" i="78" a="1"/>
  <c r="AH14" i="78" s="1"/>
  <c r="AA14" i="78" a="1"/>
  <c r="AA14" i="78" s="1"/>
  <c r="T14" i="78" a="1"/>
  <c r="T14" i="78" s="1"/>
  <c r="L14" i="78" a="1"/>
  <c r="L14" i="78" s="1"/>
  <c r="E14" i="78" a="1"/>
  <c r="E14" i="78" s="1"/>
  <c r="BX13" i="78" a="1"/>
  <c r="BX13" i="78" s="1"/>
  <c r="BQ13" i="78" a="1"/>
  <c r="BQ13" i="78" s="1"/>
  <c r="BI13" i="78" a="1"/>
  <c r="BI13" i="78" s="1"/>
  <c r="BB13" i="78" a="1"/>
  <c r="BB13" i="78" s="1"/>
  <c r="AT13" i="78" a="1"/>
  <c r="AT13" i="78" s="1"/>
  <c r="AM13" i="78" a="1"/>
  <c r="AM13" i="78" s="1"/>
  <c r="AF13" i="78" a="1"/>
  <c r="AF13" i="78" s="1"/>
  <c r="X13" i="78" a="1"/>
  <c r="X13" i="78" s="1"/>
  <c r="Q13" i="78" a="1"/>
  <c r="Q13" i="78" s="1"/>
  <c r="I13" i="78" a="1"/>
  <c r="I13" i="78" s="1"/>
  <c r="C13" i="78" a="1"/>
  <c r="C13" i="78" s="1"/>
  <c r="BW13" i="78" a="1"/>
  <c r="BW13" i="78" s="1"/>
  <c r="BP13" i="78" a="1"/>
  <c r="BP13" i="78" s="1"/>
  <c r="BH13" i="78" a="1"/>
  <c r="BH13" i="78" s="1"/>
  <c r="BA13" i="78" a="1"/>
  <c r="BA13" i="78" s="1"/>
  <c r="AS13" i="78" a="1"/>
  <c r="AS13" i="78" s="1"/>
  <c r="AL13" i="78" a="1"/>
  <c r="AL13" i="78" s="1"/>
  <c r="CD13" i="78" a="1"/>
  <c r="CD13" i="78" s="1"/>
  <c r="BV13" i="78" a="1"/>
  <c r="BV13" i="78" s="1"/>
  <c r="BO13" i="78" a="1"/>
  <c r="BO13" i="78" s="1"/>
  <c r="BG13" i="78" a="1"/>
  <c r="BG13" i="78" s="1"/>
  <c r="AZ13" i="78" a="1"/>
  <c r="AZ13" i="78" s="1"/>
  <c r="AR13" i="78" a="1"/>
  <c r="AR13" i="78" s="1"/>
  <c r="AK13" i="78" a="1"/>
  <c r="AK13" i="78" s="1"/>
  <c r="AD13" i="78" a="1"/>
  <c r="AD13" i="78" s="1"/>
  <c r="W13" i="78" a="1"/>
  <c r="W13" i="78" s="1"/>
  <c r="O13" i="78" a="1"/>
  <c r="O13" i="78" s="1"/>
  <c r="CC13" i="78" a="1"/>
  <c r="CC13" i="78" s="1"/>
  <c r="BU13" i="78" a="1"/>
  <c r="BU13" i="78" s="1"/>
  <c r="BN13" i="78" a="1"/>
  <c r="BN13" i="78" s="1"/>
  <c r="BF13" i="78" a="1"/>
  <c r="BF13" i="78" s="1"/>
  <c r="AY13" i="78" a="1"/>
  <c r="AY13" i="78" s="1"/>
  <c r="AQ13" i="78" a="1"/>
  <c r="AQ13" i="78" s="1"/>
  <c r="AJ13" i="78" a="1"/>
  <c r="AJ13" i="78" s="1"/>
  <c r="AC13" i="78" a="1"/>
  <c r="AC13" i="78" s="1"/>
  <c r="V13" i="78" a="1"/>
  <c r="V13" i="78" s="1"/>
  <c r="N13" i="78" a="1"/>
  <c r="N13" i="78" s="1"/>
  <c r="G13" i="78" a="1"/>
  <c r="G13" i="78" s="1"/>
  <c r="CB13" i="78" a="1"/>
  <c r="CB13" i="78" s="1"/>
  <c r="BT13" i="78" a="1"/>
  <c r="BT13" i="78" s="1"/>
  <c r="BM13" i="78" a="1"/>
  <c r="BM13" i="78" s="1"/>
  <c r="BE13" i="78" a="1"/>
  <c r="BE13" i="78" s="1"/>
  <c r="AX13" i="78" a="1"/>
  <c r="AX13" i="78" s="1"/>
  <c r="AP13" i="78" a="1"/>
  <c r="AP13" i="78" s="1"/>
  <c r="AB13" i="78" a="1"/>
  <c r="AB13" i="78" s="1"/>
  <c r="U13" i="78" a="1"/>
  <c r="U13" i="78" s="1"/>
  <c r="M13" i="78" a="1"/>
  <c r="M13" i="78" s="1"/>
  <c r="F13" i="78" a="1"/>
  <c r="F13" i="78" s="1"/>
  <c r="CA13" i="78" a="1"/>
  <c r="CA13" i="78" s="1"/>
  <c r="BL13" i="78" a="1"/>
  <c r="BL13" i="78" s="1"/>
  <c r="BD13" i="78" a="1"/>
  <c r="BD13" i="78" s="1"/>
  <c r="AW13" i="78" a="1"/>
  <c r="AW13" i="78" s="1"/>
  <c r="AO13" i="78" a="1"/>
  <c r="AO13" i="78" s="1"/>
  <c r="AI13" i="78" a="1"/>
  <c r="AI13" i="78" s="1"/>
  <c r="AA13" i="78" a="1"/>
  <c r="AA13" i="78" s="1"/>
  <c r="T13" i="78" a="1"/>
  <c r="T13" i="78" s="1"/>
  <c r="L13" i="78" a="1"/>
  <c r="L13" i="78" s="1"/>
  <c r="E13" i="78" a="1"/>
  <c r="E13" i="78" s="1"/>
  <c r="BZ13" i="78" a="1"/>
  <c r="BZ13" i="78" s="1"/>
  <c r="BS13" i="78" a="1"/>
  <c r="BS13" i="78" s="1"/>
  <c r="BK13" i="78" a="1"/>
  <c r="BK13" i="78" s="1"/>
  <c r="AV13" i="78" a="1"/>
  <c r="AV13" i="78" s="1"/>
  <c r="AN13" i="78" a="1"/>
  <c r="AN13" i="78" s="1"/>
  <c r="AH13" i="78" a="1"/>
  <c r="AH13" i="78" s="1"/>
  <c r="Z13" i="78" a="1"/>
  <c r="Z13" i="78" s="1"/>
  <c r="S13" i="78" a="1"/>
  <c r="S13" i="78" s="1"/>
  <c r="K13" i="78" a="1"/>
  <c r="K13" i="78" s="1"/>
  <c r="D13" i="78" a="1"/>
  <c r="D13" i="78" s="1"/>
  <c r="BY13" i="78" a="1"/>
  <c r="BY13" i="78" s="1"/>
  <c r="BR13" i="78" a="1"/>
  <c r="BR13" i="78" s="1"/>
  <c r="BJ13" i="78" a="1"/>
  <c r="BJ13" i="78" s="1"/>
  <c r="BC13" i="78" a="1"/>
  <c r="BC13" i="78" s="1"/>
  <c r="AU13" i="78" a="1"/>
  <c r="AU13" i="78" s="1"/>
  <c r="AG13" i="78" a="1"/>
  <c r="AG13" i="78" s="1"/>
  <c r="Y13" i="78" a="1"/>
  <c r="Y13" i="78" s="1"/>
  <c r="R13" i="78" a="1"/>
  <c r="R13" i="78" s="1"/>
  <c r="J13" i="78" a="1"/>
  <c r="J13" i="78" s="1"/>
  <c r="AE13" i="78" a="1"/>
  <c r="AE13" i="78" s="1"/>
  <c r="P13" i="78" a="1"/>
  <c r="P13" i="78" s="1"/>
  <c r="H13" i="78" a="1"/>
  <c r="H13" i="78" s="1"/>
  <c r="CA4" i="78" a="1"/>
  <c r="CA4" i="78" s="1"/>
  <c r="BS4" i="78" a="1"/>
  <c r="BS4" i="78" s="1"/>
  <c r="BK4" i="78" a="1"/>
  <c r="BK4" i="78" s="1"/>
  <c r="BC4" i="78" a="1"/>
  <c r="BC4" i="78" s="1"/>
  <c r="AU4" i="78" a="1"/>
  <c r="AU4" i="78" s="1"/>
  <c r="AM4" i="78" a="1"/>
  <c r="AM4" i="78" s="1"/>
  <c r="AE4" i="78" a="1"/>
  <c r="AE4" i="78" s="1"/>
  <c r="CD4" i="78" a="1"/>
  <c r="CD4" i="78" s="1"/>
  <c r="BV4" i="78" a="1"/>
  <c r="BV4" i="78" s="1"/>
  <c r="BM4" i="78" a="1"/>
  <c r="BM4" i="78" s="1"/>
  <c r="BD4" i="78" a="1"/>
  <c r="BD4" i="78" s="1"/>
  <c r="AT4" i="78" a="1"/>
  <c r="AT4" i="78" s="1"/>
  <c r="AK4" i="78" a="1"/>
  <c r="AK4" i="78" s="1"/>
  <c r="AB4" i="78" a="1"/>
  <c r="AB4" i="78" s="1"/>
  <c r="T4" i="78" a="1"/>
  <c r="T4" i="78" s="1"/>
  <c r="K4" i="78" a="1"/>
  <c r="K4" i="78" s="1"/>
  <c r="C4" i="78" a="1"/>
  <c r="C4" i="78" s="1"/>
  <c r="J4" i="78" a="1"/>
  <c r="J4" i="78" s="1"/>
  <c r="CC4" i="78" a="1"/>
  <c r="CC4" i="78" s="1"/>
  <c r="BU4" i="78" a="1"/>
  <c r="BU4" i="78" s="1"/>
  <c r="BL4" i="78" a="1"/>
  <c r="BL4" i="78" s="1"/>
  <c r="BB4" i="78" a="1"/>
  <c r="BB4" i="78" s="1"/>
  <c r="AS4" i="78" a="1"/>
  <c r="AS4" i="78" s="1"/>
  <c r="AJ4" i="78" a="1"/>
  <c r="AJ4" i="78" s="1"/>
  <c r="AA4" i="78" a="1"/>
  <c r="AA4" i="78" s="1"/>
  <c r="CB4" i="78" a="1"/>
  <c r="CB4" i="78" s="1"/>
  <c r="BT4" i="78" a="1"/>
  <c r="BT4" i="78" s="1"/>
  <c r="BJ4" i="78" a="1"/>
  <c r="BJ4" i="78" s="1"/>
  <c r="BA4" i="78" a="1"/>
  <c r="BA4" i="78" s="1"/>
  <c r="AR4" i="78" a="1"/>
  <c r="AR4" i="78" s="1"/>
  <c r="AI4" i="78" a="1"/>
  <c r="AI4" i="78" s="1"/>
  <c r="Z4" i="78" a="1"/>
  <c r="Z4" i="78" s="1"/>
  <c r="BR4" i="78" a="1"/>
  <c r="BR4" i="78" s="1"/>
  <c r="BI4" i="78" a="1"/>
  <c r="BI4" i="78" s="1"/>
  <c r="AZ4" i="78" a="1"/>
  <c r="AZ4" i="78" s="1"/>
  <c r="AQ4" i="78" a="1"/>
  <c r="AQ4" i="78" s="1"/>
  <c r="AH4" i="78" a="1"/>
  <c r="AH4" i="78" s="1"/>
  <c r="Y4" i="78" a="1"/>
  <c r="Y4" i="78" s="1"/>
  <c r="P4" i="78" a="1"/>
  <c r="P4" i="78" s="1"/>
  <c r="H4" i="78" a="1"/>
  <c r="H4" i="78" s="1"/>
  <c r="G4" i="78" a="1"/>
  <c r="G4" i="78" s="1"/>
  <c r="BZ4" i="78" a="1"/>
  <c r="BZ4" i="78" s="1"/>
  <c r="BQ4" i="78" a="1"/>
  <c r="BQ4" i="78" s="1"/>
  <c r="BH4" i="78" a="1"/>
  <c r="BH4" i="78" s="1"/>
  <c r="AY4" i="78" a="1"/>
  <c r="AY4" i="78" s="1"/>
  <c r="AP4" i="78" a="1"/>
  <c r="AP4" i="78" s="1"/>
  <c r="AG4" i="78" a="1"/>
  <c r="AG4" i="78" s="1"/>
  <c r="X4" i="78" a="1"/>
  <c r="X4" i="78" s="1"/>
  <c r="O4" i="78" a="1"/>
  <c r="O4" i="78" s="1"/>
  <c r="I4" i="78" a="1"/>
  <c r="I4" i="78" s="1"/>
  <c r="BY4" i="78" a="1"/>
  <c r="BY4" i="78" s="1"/>
  <c r="BP4" i="78" a="1"/>
  <c r="BP4" i="78" s="1"/>
  <c r="BG4" i="78" a="1"/>
  <c r="BG4" i="78" s="1"/>
  <c r="AX4" i="78" a="1"/>
  <c r="AX4" i="78" s="1"/>
  <c r="AO4" i="78" a="1"/>
  <c r="AO4" i="78" s="1"/>
  <c r="AF4" i="78" a="1"/>
  <c r="AF4" i="78" s="1"/>
  <c r="W4" i="78" a="1"/>
  <c r="W4" i="78" s="1"/>
  <c r="N4" i="78" a="1"/>
  <c r="N4" i="78" s="1"/>
  <c r="F4" i="78" a="1"/>
  <c r="F4" i="78" s="1"/>
  <c r="Q4" i="78" a="1"/>
  <c r="Q4" i="78" s="1"/>
  <c r="BX4" i="78" a="1"/>
  <c r="BX4" i="78" s="1"/>
  <c r="BO4" i="78" a="1"/>
  <c r="BO4" i="78" s="1"/>
  <c r="BF4" i="78" a="1"/>
  <c r="BF4" i="78" s="1"/>
  <c r="AW4" i="78" a="1"/>
  <c r="AW4" i="78" s="1"/>
  <c r="AN4" i="78" a="1"/>
  <c r="AN4" i="78" s="1"/>
  <c r="AD4" i="78" a="1"/>
  <c r="AD4" i="78" s="1"/>
  <c r="V4" i="78" a="1"/>
  <c r="V4" i="78" s="1"/>
  <c r="M4" i="78" a="1"/>
  <c r="M4" i="78" s="1"/>
  <c r="E4" i="78" a="1"/>
  <c r="E4" i="78" s="1"/>
  <c r="BE4" i="78" a="1"/>
  <c r="BE4" i="78" s="1"/>
  <c r="AL4" i="78" a="1"/>
  <c r="AL4" i="78" s="1"/>
  <c r="U4" i="78" a="1"/>
  <c r="U4" i="78" s="1"/>
  <c r="D4" i="78" a="1"/>
  <c r="D4" i="78" s="1"/>
  <c r="BW4" i="78" a="1"/>
  <c r="BW4" i="78" s="1"/>
  <c r="BN4" i="78" a="1"/>
  <c r="BN4" i="78" s="1"/>
  <c r="AV4" i="78" a="1"/>
  <c r="AV4" i="78" s="1"/>
  <c r="AC4" i="78" a="1"/>
  <c r="AC4" i="78" s="1"/>
  <c r="L4" i="78" a="1"/>
  <c r="L4" i="78" s="1"/>
  <c r="R4" i="78" a="1"/>
  <c r="R4" i="78" s="1"/>
  <c r="CA9" i="78" a="1"/>
  <c r="CA9" i="78" s="1"/>
  <c r="BU9" i="78" a="1"/>
  <c r="BU9" i="78" s="1"/>
  <c r="BO9" i="78" a="1"/>
  <c r="BO9" i="78" s="1"/>
  <c r="BI9" i="78" a="1"/>
  <c r="BI9" i="78" s="1"/>
  <c r="AW9" i="78" a="1"/>
  <c r="AW9" i="78" s="1"/>
  <c r="AK9" i="78" a="1"/>
  <c r="AK9" i="78" s="1"/>
  <c r="AE9" i="78" a="1"/>
  <c r="AE9" i="78" s="1"/>
  <c r="S9" i="78" a="1"/>
  <c r="S9" i="78" s="1"/>
  <c r="M9" i="78" a="1"/>
  <c r="M9" i="78" s="1"/>
  <c r="BZ9" i="78" a="1"/>
  <c r="BZ9" i="78" s="1"/>
  <c r="BT9" i="78" a="1"/>
  <c r="BT9" i="78" s="1"/>
  <c r="BH9" i="78" a="1"/>
  <c r="BH9" i="78" s="1"/>
  <c r="BC9" i="78" a="1"/>
  <c r="BC9" i="78" s="1"/>
  <c r="AV9" i="78" a="1"/>
  <c r="AV9" i="78" s="1"/>
  <c r="AQ9" i="78" a="1"/>
  <c r="AQ9" i="78" s="1"/>
  <c r="AJ9" i="78" a="1"/>
  <c r="AJ9" i="78" s="1"/>
  <c r="AD9" i="78" a="1"/>
  <c r="AD9" i="78" s="1"/>
  <c r="X9" i="78" a="1"/>
  <c r="X9" i="78" s="1"/>
  <c r="R9" i="78" a="1"/>
  <c r="R9" i="78" s="1"/>
  <c r="L9" i="78" a="1"/>
  <c r="L9" i="78" s="1"/>
  <c r="F9" i="78" a="1"/>
  <c r="F9" i="78" s="1"/>
  <c r="BY9" i="78" a="1"/>
  <c r="BY9" i="78" s="1"/>
  <c r="BS9" i="78" a="1"/>
  <c r="BS9" i="78" s="1"/>
  <c r="BN9" i="78" a="1"/>
  <c r="BN9" i="78" s="1"/>
  <c r="BG9" i="78" a="1"/>
  <c r="BG9" i="78" s="1"/>
  <c r="BB9" i="78" a="1"/>
  <c r="BB9" i="78" s="1"/>
  <c r="AP9" i="78" a="1"/>
  <c r="AP9" i="78" s="1"/>
  <c r="AC9" i="78" a="1"/>
  <c r="AC9" i="78" s="1"/>
  <c r="Q9" i="78" a="1"/>
  <c r="Q9" i="78" s="1"/>
  <c r="BM9" i="78" a="1"/>
  <c r="BM9" i="78" s="1"/>
  <c r="BA9" i="78" a="1"/>
  <c r="BA9" i="78" s="1"/>
  <c r="AU9" i="78" a="1"/>
  <c r="AU9" i="78" s="1"/>
  <c r="AO9" i="78" a="1"/>
  <c r="AO9" i="78" s="1"/>
  <c r="AI9" i="78" a="1"/>
  <c r="AI9" i="78" s="1"/>
  <c r="AB9" i="78" a="1"/>
  <c r="AB9" i="78" s="1"/>
  <c r="W9" i="78" a="1"/>
  <c r="W9" i="78" s="1"/>
  <c r="P9" i="78" a="1"/>
  <c r="P9" i="78" s="1"/>
  <c r="K9" i="78" a="1"/>
  <c r="K9" i="78" s="1"/>
  <c r="E9" i="78" a="1"/>
  <c r="E9" i="78" s="1"/>
  <c r="BX9" i="78" a="1"/>
  <c r="BX9" i="78" s="1"/>
  <c r="BR9" i="78" a="1"/>
  <c r="BR9" i="78" s="1"/>
  <c r="BF9" i="78" a="1"/>
  <c r="BF9" i="78" s="1"/>
  <c r="AT9" i="78" a="1"/>
  <c r="AT9" i="78" s="1"/>
  <c r="AN9" i="78" a="1"/>
  <c r="AN9" i="78" s="1"/>
  <c r="AA9" i="78" a="1"/>
  <c r="AA9" i="78" s="1"/>
  <c r="V9" i="78" a="1"/>
  <c r="V9" i="78" s="1"/>
  <c r="J9" i="78" a="1"/>
  <c r="J9" i="78" s="1"/>
  <c r="D9" i="78" a="1"/>
  <c r="D9" i="78" s="1"/>
  <c r="CD9" i="78" a="1"/>
  <c r="CD9" i="78" s="1"/>
  <c r="BQ9" i="78" a="1"/>
  <c r="BQ9" i="78" s="1"/>
  <c r="BL9" i="78" a="1"/>
  <c r="BL9" i="78" s="1"/>
  <c r="BE9" i="78" a="1"/>
  <c r="BE9" i="78" s="1"/>
  <c r="AZ9" i="78" a="1"/>
  <c r="AZ9" i="78" s="1"/>
  <c r="AS9" i="78" a="1"/>
  <c r="AS9" i="78" s="1"/>
  <c r="AM9" i="78" a="1"/>
  <c r="AM9" i="78" s="1"/>
  <c r="AH9" i="78" a="1"/>
  <c r="AH9" i="78" s="1"/>
  <c r="U9" i="78" a="1"/>
  <c r="U9" i="78" s="1"/>
  <c r="O9" i="78" a="1"/>
  <c r="O9" i="78" s="1"/>
  <c r="I9" i="78" a="1"/>
  <c r="I9" i="78" s="1"/>
  <c r="C9" i="78" a="1"/>
  <c r="C9" i="78" s="1"/>
  <c r="CC9" i="78" a="1"/>
  <c r="CC9" i="78" s="1"/>
  <c r="BW9" i="78" a="1"/>
  <c r="BW9" i="78" s="1"/>
  <c r="BP9" i="78" a="1"/>
  <c r="BP9" i="78" s="1"/>
  <c r="BK9" i="78" a="1"/>
  <c r="BK9" i="78" s="1"/>
  <c r="AY9" i="78" a="1"/>
  <c r="AY9" i="78" s="1"/>
  <c r="AG9" i="78" a="1"/>
  <c r="AG9" i="78" s="1"/>
  <c r="Z9" i="78" a="1"/>
  <c r="Z9" i="78" s="1"/>
  <c r="H9" i="78" a="1"/>
  <c r="H9" i="78" s="1"/>
  <c r="CB9" i="78" a="1"/>
  <c r="CB9" i="78" s="1"/>
  <c r="BV9" i="78" a="1"/>
  <c r="BV9" i="78" s="1"/>
  <c r="BJ9" i="78" a="1"/>
  <c r="BJ9" i="78" s="1"/>
  <c r="BD9" i="78" a="1"/>
  <c r="BD9" i="78" s="1"/>
  <c r="AX9" i="78" a="1"/>
  <c r="AX9" i="78" s="1"/>
  <c r="AR9" i="78" a="1"/>
  <c r="AR9" i="78" s="1"/>
  <c r="AL9" i="78" a="1"/>
  <c r="AL9" i="78" s="1"/>
  <c r="AF9" i="78" a="1"/>
  <c r="AF9" i="78" s="1"/>
  <c r="Y9" i="78" a="1"/>
  <c r="Y9" i="78" s="1"/>
  <c r="T9" i="78" a="1"/>
  <c r="T9" i="78" s="1"/>
  <c r="N9" i="78" a="1"/>
  <c r="N9" i="78" s="1"/>
  <c r="G9" i="78" a="1"/>
  <c r="G9" i="78" s="1"/>
  <c r="BZ7" i="78" a="1"/>
  <c r="BZ7" i="78" s="1"/>
  <c r="BT7" i="78" a="1"/>
  <c r="BT7" i="78" s="1"/>
  <c r="BM7" i="78" a="1"/>
  <c r="BM7" i="78" s="1"/>
  <c r="BG7" i="78" a="1"/>
  <c r="BG7" i="78" s="1"/>
  <c r="BA7" i="78" a="1"/>
  <c r="BA7" i="78" s="1"/>
  <c r="AT7" i="78" a="1"/>
  <c r="AT7" i="78" s="1"/>
  <c r="AH7" i="78" a="1"/>
  <c r="AH7" i="78" s="1"/>
  <c r="AB7" i="78" a="1"/>
  <c r="AB7" i="78" s="1"/>
  <c r="O7" i="78" a="1"/>
  <c r="O7" i="78" s="1"/>
  <c r="I7" i="78" a="1"/>
  <c r="I7" i="78" s="1"/>
  <c r="BY7" i="78" a="1"/>
  <c r="BY7" i="78" s="1"/>
  <c r="BS7" i="78" a="1"/>
  <c r="BS7" i="78" s="1"/>
  <c r="BF7" i="78" a="1"/>
  <c r="BF7" i="78" s="1"/>
  <c r="AZ7" i="78" a="1"/>
  <c r="AZ7" i="78" s="1"/>
  <c r="AS7" i="78" a="1"/>
  <c r="AS7" i="78" s="1"/>
  <c r="AN7" i="78" a="1"/>
  <c r="AN7" i="78" s="1"/>
  <c r="AG7" i="78" a="1"/>
  <c r="AG7" i="78" s="1"/>
  <c r="AA7" i="78" a="1"/>
  <c r="AA7" i="78" s="1"/>
  <c r="U7" i="78" a="1"/>
  <c r="U7" i="78" s="1"/>
  <c r="N7" i="78" a="1"/>
  <c r="N7" i="78" s="1"/>
  <c r="C7" i="78" a="1"/>
  <c r="C7" i="78" s="1"/>
  <c r="BX7" i="78" a="1"/>
  <c r="BX7" i="78" s="1"/>
  <c r="BR7" i="78" a="1"/>
  <c r="BR7" i="78" s="1"/>
  <c r="BL7" i="78" a="1"/>
  <c r="BL7" i="78" s="1"/>
  <c r="BE7" i="78" a="1"/>
  <c r="BE7" i="78" s="1"/>
  <c r="AY7" i="78" a="1"/>
  <c r="AY7" i="78" s="1"/>
  <c r="AM7" i="78" a="1"/>
  <c r="AM7" i="78" s="1"/>
  <c r="Z7" i="78" a="1"/>
  <c r="Z7" i="78" s="1"/>
  <c r="T7" i="78" a="1"/>
  <c r="T7" i="78" s="1"/>
  <c r="M7" i="78" a="1"/>
  <c r="M7" i="78" s="1"/>
  <c r="H7" i="78" a="1"/>
  <c r="H7" i="78" s="1"/>
  <c r="CD7" i="78" a="1"/>
  <c r="CD7" i="78" s="1"/>
  <c r="BW7" i="78" a="1"/>
  <c r="BW7" i="78" s="1"/>
  <c r="BQ7" i="78" a="1"/>
  <c r="BQ7" i="78" s="1"/>
  <c r="BD7" i="78" a="1"/>
  <c r="BD7" i="78" s="1"/>
  <c r="AX7" i="78" a="1"/>
  <c r="AX7" i="78" s="1"/>
  <c r="AR7" i="78" a="1"/>
  <c r="AR7" i="78" s="1"/>
  <c r="AL7" i="78" a="1"/>
  <c r="AL7" i="78" s="1"/>
  <c r="AF7" i="78" a="1"/>
  <c r="AF7" i="78" s="1"/>
  <c r="Y7" i="78" a="1"/>
  <c r="Y7" i="78" s="1"/>
  <c r="S7" i="78" a="1"/>
  <c r="S7" i="78" s="1"/>
  <c r="G7" i="78" a="1"/>
  <c r="G7" i="78" s="1"/>
  <c r="BV7" i="78" a="1"/>
  <c r="BV7" i="78" s="1"/>
  <c r="BP7" i="78" a="1"/>
  <c r="BP7" i="78" s="1"/>
  <c r="BK7" i="78" a="1"/>
  <c r="BK7" i="78" s="1"/>
  <c r="AQ7" i="78" a="1"/>
  <c r="AQ7" i="78" s="1"/>
  <c r="AK7" i="78" a="1"/>
  <c r="AK7" i="78" s="1"/>
  <c r="X7" i="78" a="1"/>
  <c r="X7" i="78" s="1"/>
  <c r="R7" i="78" a="1"/>
  <c r="R7" i="78" s="1"/>
  <c r="L7" i="78" a="1"/>
  <c r="L7" i="78" s="1"/>
  <c r="F7" i="78" a="1"/>
  <c r="F7" i="78" s="1"/>
  <c r="CC7" i="78" a="1"/>
  <c r="CC7" i="78" s="1"/>
  <c r="BJ7" i="78" a="1"/>
  <c r="BJ7" i="78" s="1"/>
  <c r="BC7" i="78" a="1"/>
  <c r="BC7" i="78" s="1"/>
  <c r="AW7" i="78" a="1"/>
  <c r="AW7" i="78" s="1"/>
  <c r="AP7" i="78" a="1"/>
  <c r="AP7" i="78" s="1"/>
  <c r="AJ7" i="78" a="1"/>
  <c r="AJ7" i="78" s="1"/>
  <c r="AE7" i="78" a="1"/>
  <c r="AE7" i="78" s="1"/>
  <c r="K7" i="78" a="1"/>
  <c r="K7" i="78" s="1"/>
  <c r="CB7" i="78" a="1"/>
  <c r="CB7" i="78" s="1"/>
  <c r="BU7" i="78" a="1"/>
  <c r="BU7" i="78" s="1"/>
  <c r="BO7" i="78" a="1"/>
  <c r="BO7" i="78" s="1"/>
  <c r="BI7" i="78" a="1"/>
  <c r="BI7" i="78" s="1"/>
  <c r="BB7" i="78" a="1"/>
  <c r="BB7" i="78" s="1"/>
  <c r="AV7" i="78" a="1"/>
  <c r="AV7" i="78" s="1"/>
  <c r="AD7" i="78" a="1"/>
  <c r="AD7" i="78" s="1"/>
  <c r="W7" i="78" a="1"/>
  <c r="W7" i="78" s="1"/>
  <c r="Q7" i="78" a="1"/>
  <c r="Q7" i="78" s="1"/>
  <c r="J7" i="78" a="1"/>
  <c r="J7" i="78" s="1"/>
  <c r="E7" i="78" a="1"/>
  <c r="E7" i="78" s="1"/>
  <c r="CA7" i="78" a="1"/>
  <c r="CA7" i="78" s="1"/>
  <c r="BN7" i="78" a="1"/>
  <c r="BN7" i="78" s="1"/>
  <c r="BH7" i="78" a="1"/>
  <c r="BH7" i="78" s="1"/>
  <c r="AU7" i="78" a="1"/>
  <c r="AU7" i="78" s="1"/>
  <c r="AO7" i="78" a="1"/>
  <c r="AO7" i="78" s="1"/>
  <c r="AI7" i="78" a="1"/>
  <c r="AI7" i="78" s="1"/>
  <c r="AC7" i="78" a="1"/>
  <c r="AC7" i="78" s="1"/>
  <c r="V7" i="78" a="1"/>
  <c r="V7" i="78" s="1"/>
  <c r="P7" i="78" a="1"/>
  <c r="P7" i="78" s="1"/>
  <c r="D7" i="78" a="1"/>
  <c r="D7" i="78" s="1"/>
  <c r="CC10" i="78" a="1"/>
  <c r="CC10" i="78" s="1"/>
  <c r="BQ10" i="78" a="1"/>
  <c r="BQ10" i="78" s="1"/>
  <c r="CB10" i="78" a="1"/>
  <c r="CB10" i="78" s="1"/>
  <c r="BU10" i="78" a="1"/>
  <c r="BU10" i="78" s="1"/>
  <c r="BP10" i="78" a="1"/>
  <c r="BP10" i="78" s="1"/>
  <c r="BJ10" i="78" a="1"/>
  <c r="BJ10" i="78" s="1"/>
  <c r="BD10" i="78" a="1"/>
  <c r="BD10" i="78" s="1"/>
  <c r="AR10" i="78" a="1"/>
  <c r="AR10" i="78" s="1"/>
  <c r="AM10" i="78" a="1"/>
  <c r="AM10" i="78" s="1"/>
  <c r="AF10" i="78" a="1"/>
  <c r="AF10" i="78" s="1"/>
  <c r="U10" i="78" a="1"/>
  <c r="U10" i="78" s="1"/>
  <c r="CA10" i="78" a="1"/>
  <c r="CA10" i="78" s="1"/>
  <c r="BO10" i="78" a="1"/>
  <c r="BO10" i="78" s="1"/>
  <c r="BI10" i="78" a="1"/>
  <c r="BI10" i="78" s="1"/>
  <c r="BC10" i="78" a="1"/>
  <c r="BC10" i="78" s="1"/>
  <c r="AX10" i="78" a="1"/>
  <c r="AX10" i="78" s="1"/>
  <c r="AQ10" i="78" a="1"/>
  <c r="AQ10" i="78" s="1"/>
  <c r="BZ10" i="78" a="1"/>
  <c r="BZ10" i="78" s="1"/>
  <c r="BT10" i="78" a="1"/>
  <c r="BT10" i="78" s="1"/>
  <c r="BN10" i="78" a="1"/>
  <c r="BN10" i="78" s="1"/>
  <c r="AW10" i="78" a="1"/>
  <c r="AW10" i="78" s="1"/>
  <c r="AK10" i="78" a="1"/>
  <c r="AK10" i="78" s="1"/>
  <c r="AE10" i="78" a="1"/>
  <c r="AE10" i="78" s="1"/>
  <c r="Z10" i="78" a="1"/>
  <c r="Z10" i="78" s="1"/>
  <c r="BX10" i="78" a="1"/>
  <c r="BX10" i="78" s="1"/>
  <c r="BS10" i="78" a="1"/>
  <c r="BS10" i="78" s="1"/>
  <c r="BL10" i="78" a="1"/>
  <c r="BL10" i="78" s="1"/>
  <c r="BA10" i="78" a="1"/>
  <c r="BA10" i="78" s="1"/>
  <c r="AV10" i="78" a="1"/>
  <c r="AV10" i="78" s="1"/>
  <c r="AO10" i="78" a="1"/>
  <c r="AO10" i="78" s="1"/>
  <c r="AJ10" i="78" a="1"/>
  <c r="AJ10" i="78" s="1"/>
  <c r="AD10" i="78" a="1"/>
  <c r="AD10" i="78" s="1"/>
  <c r="X10" i="78" a="1"/>
  <c r="X10" i="78" s="1"/>
  <c r="K10" i="78" a="1"/>
  <c r="K10" i="78" s="1"/>
  <c r="E10" i="78" a="1"/>
  <c r="E10" i="78" s="1"/>
  <c r="CD10" i="78" a="1"/>
  <c r="CD10" i="78" s="1"/>
  <c r="BW10" i="78" a="1"/>
  <c r="BW10" i="78" s="1"/>
  <c r="BR10" i="78" a="1"/>
  <c r="BR10" i="78" s="1"/>
  <c r="BG10" i="78" a="1"/>
  <c r="BG10" i="78" s="1"/>
  <c r="AZ10" i="78" a="1"/>
  <c r="AZ10" i="78" s="1"/>
  <c r="AU10" i="78" a="1"/>
  <c r="AU10" i="78" s="1"/>
  <c r="AI10" i="78" a="1"/>
  <c r="AI10" i="78" s="1"/>
  <c r="AC10" i="78" a="1"/>
  <c r="AC10" i="78" s="1"/>
  <c r="BH10" i="78" a="1"/>
  <c r="BH10" i="78" s="1"/>
  <c r="AS10" i="78" a="1"/>
  <c r="AS10" i="78" s="1"/>
  <c r="V10" i="78" a="1"/>
  <c r="V10" i="78" s="1"/>
  <c r="N10" i="78" a="1"/>
  <c r="N10" i="78" s="1"/>
  <c r="G10" i="78" a="1"/>
  <c r="G10" i="78" s="1"/>
  <c r="BY10" i="78" a="1"/>
  <c r="BY10" i="78" s="1"/>
  <c r="BF10" i="78" a="1"/>
  <c r="BF10" i="78" s="1"/>
  <c r="AP10" i="78" a="1"/>
  <c r="AP10" i="78" s="1"/>
  <c r="T10" i="78" a="1"/>
  <c r="T10" i="78" s="1"/>
  <c r="M10" i="78" a="1"/>
  <c r="M10" i="78" s="1"/>
  <c r="F10" i="78" a="1"/>
  <c r="F10" i="78" s="1"/>
  <c r="BV10" i="78" a="1"/>
  <c r="BV10" i="78" s="1"/>
  <c r="BE10" i="78" a="1"/>
  <c r="BE10" i="78" s="1"/>
  <c r="AN10" i="78" a="1"/>
  <c r="AN10" i="78" s="1"/>
  <c r="L10" i="78" a="1"/>
  <c r="L10" i="78" s="1"/>
  <c r="BB10" i="78" a="1"/>
  <c r="BB10" i="78" s="1"/>
  <c r="AB10" i="78" a="1"/>
  <c r="AB10" i="78" s="1"/>
  <c r="S10" i="78" a="1"/>
  <c r="S10" i="78" s="1"/>
  <c r="D10" i="78" a="1"/>
  <c r="D10" i="78" s="1"/>
  <c r="AL10" i="78" a="1"/>
  <c r="AL10" i="78" s="1"/>
  <c r="AA10" i="78" a="1"/>
  <c r="AA10" i="78" s="1"/>
  <c r="R10" i="78" a="1"/>
  <c r="R10" i="78" s="1"/>
  <c r="J10" i="78" a="1"/>
  <c r="J10" i="78" s="1"/>
  <c r="C10" i="78" a="1"/>
  <c r="C10" i="78" s="1"/>
  <c r="BM10" i="78" a="1"/>
  <c r="BM10" i="78" s="1"/>
  <c r="AY10" i="78" a="1"/>
  <c r="AY10" i="78" s="1"/>
  <c r="Y10" i="78" a="1"/>
  <c r="Y10" i="78" s="1"/>
  <c r="Q10" i="78" a="1"/>
  <c r="Q10" i="78" s="1"/>
  <c r="I10" i="78" a="1"/>
  <c r="I10" i="78" s="1"/>
  <c r="BK10" i="78" a="1"/>
  <c r="BK10" i="78" s="1"/>
  <c r="AH10" i="78" a="1"/>
  <c r="AH10" i="78" s="1"/>
  <c r="W10" i="78" a="1"/>
  <c r="W10" i="78" s="1"/>
  <c r="P10" i="78" a="1"/>
  <c r="P10" i="78" s="1"/>
  <c r="AT10" i="78" a="1"/>
  <c r="AT10" i="78" s="1"/>
  <c r="AG10" i="78" a="1"/>
  <c r="AG10" i="78" s="1"/>
  <c r="O10" i="78" a="1"/>
  <c r="O10" i="78" s="1"/>
  <c r="H10" i="78" a="1"/>
  <c r="H10" i="78" s="1"/>
  <c r="CA15" i="78" a="1"/>
  <c r="CA15" i="78" s="1"/>
  <c r="BL15" i="78" a="1"/>
  <c r="BL15" i="78" s="1"/>
  <c r="BD15" i="78" a="1"/>
  <c r="BD15" i="78" s="1"/>
  <c r="AW15" i="78" a="1"/>
  <c r="AW15" i="78" s="1"/>
  <c r="AP15" i="78" a="1"/>
  <c r="AP15" i="78" s="1"/>
  <c r="AH15" i="78" a="1"/>
  <c r="AH15" i="78" s="1"/>
  <c r="Z15" i="78" a="1"/>
  <c r="Z15" i="78" s="1"/>
  <c r="S15" i="78" a="1"/>
  <c r="S15" i="78" s="1"/>
  <c r="L15" i="78" a="1"/>
  <c r="L15" i="78" s="1"/>
  <c r="D15" i="78" a="1"/>
  <c r="D15" i="78" s="1"/>
  <c r="BZ15" i="78" a="1"/>
  <c r="BZ15" i="78" s="1"/>
  <c r="BS15" i="78" a="1"/>
  <c r="BS15" i="78" s="1"/>
  <c r="BK15" i="78" a="1"/>
  <c r="BK15" i="78" s="1"/>
  <c r="AV15" i="78" a="1"/>
  <c r="AV15" i="78" s="1"/>
  <c r="AO15" i="78" a="1"/>
  <c r="AO15" i="78" s="1"/>
  <c r="AG15" i="78" a="1"/>
  <c r="AG15" i="78" s="1"/>
  <c r="Y15" i="78" a="1"/>
  <c r="Y15" i="78" s="1"/>
  <c r="R15" i="78" a="1"/>
  <c r="R15" i="78" s="1"/>
  <c r="K15" i="78" a="1"/>
  <c r="K15" i="78" s="1"/>
  <c r="C15" i="78" a="1"/>
  <c r="C15" i="78" s="1"/>
  <c r="BY15" i="78" a="1"/>
  <c r="BY15" i="78" s="1"/>
  <c r="BR15" i="78" a="1"/>
  <c r="BR15" i="78" s="1"/>
  <c r="BJ15" i="78" a="1"/>
  <c r="BJ15" i="78" s="1"/>
  <c r="BC15" i="78" a="1"/>
  <c r="BC15" i="78" s="1"/>
  <c r="AN15" i="78" a="1"/>
  <c r="AN15" i="78" s="1"/>
  <c r="AF15" i="78" a="1"/>
  <c r="AF15" i="78" s="1"/>
  <c r="X15" i="78" a="1"/>
  <c r="X15" i="78" s="1"/>
  <c r="Q15" i="78" a="1"/>
  <c r="Q15" i="78" s="1"/>
  <c r="J15" i="78" a="1"/>
  <c r="J15" i="78" s="1"/>
  <c r="BX15" i="78" a="1"/>
  <c r="BX15" i="78" s="1"/>
  <c r="BQ15" i="78" a="1"/>
  <c r="BQ15" i="78" s="1"/>
  <c r="BI15" i="78" a="1"/>
  <c r="BI15" i="78" s="1"/>
  <c r="BB15" i="78" a="1"/>
  <c r="BB15" i="78" s="1"/>
  <c r="AU15" i="78" a="1"/>
  <c r="AU15" i="78" s="1"/>
  <c r="AM15" i="78" a="1"/>
  <c r="AM15" i="78" s="1"/>
  <c r="AE15" i="78" a="1"/>
  <c r="AE15" i="78" s="1"/>
  <c r="P15" i="78" a="1"/>
  <c r="P15" i="78" s="1"/>
  <c r="I15" i="78" a="1"/>
  <c r="I15" i="78" s="1"/>
  <c r="CD15" i="78" a="1"/>
  <c r="CD15" i="78" s="1"/>
  <c r="BW15" i="78" a="1"/>
  <c r="BW15" i="78" s="1"/>
  <c r="BP15" i="78" a="1"/>
  <c r="BP15" i="78" s="1"/>
  <c r="BH15" i="78" a="1"/>
  <c r="BH15" i="78" s="1"/>
  <c r="BA15" i="78" a="1"/>
  <c r="BA15" i="78" s="1"/>
  <c r="AT15" i="78" a="1"/>
  <c r="AT15" i="78" s="1"/>
  <c r="AL15" i="78" a="1"/>
  <c r="AL15" i="78" s="1"/>
  <c r="AD15" i="78" a="1"/>
  <c r="AD15" i="78" s="1"/>
  <c r="W15" i="78" a="1"/>
  <c r="W15" i="78" s="1"/>
  <c r="H15" i="78" a="1"/>
  <c r="H15" i="78" s="1"/>
  <c r="CC15" i="78" a="1"/>
  <c r="CC15" i="78" s="1"/>
  <c r="BV15" i="78" a="1"/>
  <c r="BV15" i="78" s="1"/>
  <c r="BO15" i="78" a="1"/>
  <c r="BO15" i="78" s="1"/>
  <c r="BG15" i="78" a="1"/>
  <c r="BG15" i="78" s="1"/>
  <c r="AZ15" i="78" a="1"/>
  <c r="AZ15" i="78" s="1"/>
  <c r="AS15" i="78" a="1"/>
  <c r="AS15" i="78" s="1"/>
  <c r="AK15" i="78" a="1"/>
  <c r="AK15" i="78" s="1"/>
  <c r="AC15" i="78" a="1"/>
  <c r="AC15" i="78" s="1"/>
  <c r="V15" i="78" a="1"/>
  <c r="V15" i="78" s="1"/>
  <c r="O15" i="78" a="1"/>
  <c r="O15" i="78" s="1"/>
  <c r="G15" i="78" a="1"/>
  <c r="G15" i="78" s="1"/>
  <c r="CB15" i="78" a="1"/>
  <c r="CB15" i="78" s="1"/>
  <c r="BU15" i="78" a="1"/>
  <c r="BU15" i="78" s="1"/>
  <c r="BN15" i="78" a="1"/>
  <c r="BN15" i="78" s="1"/>
  <c r="BF15" i="78" a="1"/>
  <c r="BF15" i="78" s="1"/>
  <c r="AY15" i="78" a="1"/>
  <c r="AY15" i="78" s="1"/>
  <c r="AR15" i="78" a="1"/>
  <c r="AR15" i="78" s="1"/>
  <c r="AJ15" i="78" a="1"/>
  <c r="AJ15" i="78" s="1"/>
  <c r="AB15" i="78" a="1"/>
  <c r="AB15" i="78" s="1"/>
  <c r="U15" i="78" a="1"/>
  <c r="U15" i="78" s="1"/>
  <c r="N15" i="78" a="1"/>
  <c r="N15" i="78" s="1"/>
  <c r="F15" i="78" a="1"/>
  <c r="F15" i="78" s="1"/>
  <c r="BT15" i="78" a="1"/>
  <c r="BT15" i="78" s="1"/>
  <c r="BM15" i="78" a="1"/>
  <c r="BM15" i="78" s="1"/>
  <c r="BE15" i="78" a="1"/>
  <c r="BE15" i="78" s="1"/>
  <c r="AX15" i="78" a="1"/>
  <c r="AX15" i="78" s="1"/>
  <c r="AQ15" i="78" a="1"/>
  <c r="AQ15" i="78" s="1"/>
  <c r="AI15" i="78" a="1"/>
  <c r="AI15" i="78" s="1"/>
  <c r="AA15" i="78" a="1"/>
  <c r="AA15" i="78" s="1"/>
  <c r="T15" i="78" a="1"/>
  <c r="T15" i="78" s="1"/>
  <c r="M15" i="78" a="1"/>
  <c r="M15" i="78" s="1"/>
  <c r="E15" i="78" a="1"/>
  <c r="E15" i="78" s="1"/>
  <c r="CA11" i="78" a="1"/>
  <c r="CA11" i="78" s="1"/>
  <c r="BV11" i="78" a="1"/>
  <c r="BV11" i="78" s="1"/>
  <c r="BI11" i="78" a="1"/>
  <c r="BI11" i="78" s="1"/>
  <c r="BD11" i="78" a="1"/>
  <c r="BD11" i="78" s="1"/>
  <c r="AW11" i="78" a="1"/>
  <c r="AW11" i="78" s="1"/>
  <c r="AK11" i="78" a="1"/>
  <c r="AK11" i="78" s="1"/>
  <c r="AF11" i="78" a="1"/>
  <c r="AF11" i="78" s="1"/>
  <c r="Y11" i="78" a="1"/>
  <c r="Y11" i="78" s="1"/>
  <c r="S11" i="78" a="1"/>
  <c r="S11" i="78" s="1"/>
  <c r="BY11" i="78" a="1"/>
  <c r="BY11" i="78" s="1"/>
  <c r="BT11" i="78" a="1"/>
  <c r="BT11" i="78" s="1"/>
  <c r="BH11" i="78" a="1"/>
  <c r="BH11" i="78" s="1"/>
  <c r="BB11" i="78" a="1"/>
  <c r="BB11" i="78" s="1"/>
  <c r="AP11" i="78" a="1"/>
  <c r="AP11" i="78" s="1"/>
  <c r="AD11" i="78" a="1"/>
  <c r="AD11" i="78" s="1"/>
  <c r="X11" i="78" a="1"/>
  <c r="X11" i="78" s="1"/>
  <c r="Q11" i="78" a="1"/>
  <c r="Q11" i="78" s="1"/>
  <c r="E11" i="78" a="1"/>
  <c r="E11" i="78" s="1"/>
  <c r="BS11" i="78" a="1"/>
  <c r="BS11" i="78" s="1"/>
  <c r="BN11" i="78" a="1"/>
  <c r="BN11" i="78" s="1"/>
  <c r="BG11" i="78" a="1"/>
  <c r="BG11" i="78" s="1"/>
  <c r="BA11" i="78" a="1"/>
  <c r="BA11" i="78" s="1"/>
  <c r="AU11" i="78" a="1"/>
  <c r="AU11" i="78" s="1"/>
  <c r="AO11" i="78" a="1"/>
  <c r="AO11" i="78" s="1"/>
  <c r="AI11" i="78" a="1"/>
  <c r="AI11" i="78" s="1"/>
  <c r="AC11" i="78" a="1"/>
  <c r="AC11" i="78" s="1"/>
  <c r="W11" i="78" a="1"/>
  <c r="W11" i="78" s="1"/>
  <c r="P11" i="78" a="1"/>
  <c r="P11" i="78" s="1"/>
  <c r="K11" i="78" a="1"/>
  <c r="K11" i="78" s="1"/>
  <c r="D11" i="78" a="1"/>
  <c r="D11" i="78" s="1"/>
  <c r="BX11" i="78" a="1"/>
  <c r="BX11" i="78" s="1"/>
  <c r="BM11" i="78" a="1"/>
  <c r="BM11" i="78" s="1"/>
  <c r="AT11" i="78" a="1"/>
  <c r="AT11" i="78" s="1"/>
  <c r="AN11" i="78" a="1"/>
  <c r="AN11" i="78" s="1"/>
  <c r="AB11" i="78" a="1"/>
  <c r="AB11" i="78" s="1"/>
  <c r="V11" i="78" a="1"/>
  <c r="V11" i="78" s="1"/>
  <c r="J11" i="78" a="1"/>
  <c r="J11" i="78" s="1"/>
  <c r="CD11" i="78" a="1"/>
  <c r="CD11" i="78" s="1"/>
  <c r="BR11" i="78" a="1"/>
  <c r="BR11" i="78" s="1"/>
  <c r="BL11" i="78" a="1"/>
  <c r="BL11" i="78" s="1"/>
  <c r="BF11" i="78" a="1"/>
  <c r="BF11" i="78" s="1"/>
  <c r="AZ11" i="78" a="1"/>
  <c r="AZ11" i="78" s="1"/>
  <c r="AS11" i="78" a="1"/>
  <c r="AS11" i="78" s="1"/>
  <c r="AM11" i="78" a="1"/>
  <c r="AM11" i="78" s="1"/>
  <c r="AH11" i="78" a="1"/>
  <c r="AH11" i="78" s="1"/>
  <c r="AA11" i="78" a="1"/>
  <c r="AA11" i="78" s="1"/>
  <c r="U11" i="78" a="1"/>
  <c r="U11" i="78" s="1"/>
  <c r="O11" i="78" a="1"/>
  <c r="O11" i="78" s="1"/>
  <c r="CC11" i="78" a="1"/>
  <c r="CC11" i="78" s="1"/>
  <c r="BW11" i="78" a="1"/>
  <c r="BW11" i="78" s="1"/>
  <c r="BQ11" i="78" a="1"/>
  <c r="BQ11" i="78" s="1"/>
  <c r="BK11" i="78" a="1"/>
  <c r="BK11" i="78" s="1"/>
  <c r="BE11" i="78" a="1"/>
  <c r="BE11" i="78" s="1"/>
  <c r="AY11" i="78" a="1"/>
  <c r="AY11" i="78" s="1"/>
  <c r="AG11" i="78" a="1"/>
  <c r="AG11" i="78" s="1"/>
  <c r="N11" i="78" a="1"/>
  <c r="N11" i="78" s="1"/>
  <c r="H11" i="78" a="1"/>
  <c r="H11" i="78" s="1"/>
  <c r="CB11" i="78" a="1"/>
  <c r="CB11" i="78" s="1"/>
  <c r="BP11" i="78" a="1"/>
  <c r="BP11" i="78" s="1"/>
  <c r="BJ11" i="78" a="1"/>
  <c r="BJ11" i="78" s="1"/>
  <c r="AX11" i="78" a="1"/>
  <c r="AX11" i="78" s="1"/>
  <c r="AR11" i="78" a="1"/>
  <c r="AR11" i="78" s="1"/>
  <c r="AL11" i="78" a="1"/>
  <c r="AL11" i="78" s="1"/>
  <c r="Z11" i="78" a="1"/>
  <c r="Z11" i="78" s="1"/>
  <c r="T11" i="78" a="1"/>
  <c r="T11" i="78" s="1"/>
  <c r="M11" i="78" a="1"/>
  <c r="M11" i="78" s="1"/>
  <c r="G11" i="78" a="1"/>
  <c r="G11" i="78" s="1"/>
  <c r="AJ11" i="78" a="1"/>
  <c r="AJ11" i="78" s="1"/>
  <c r="BZ11" i="78" a="1"/>
  <c r="BZ11" i="78" s="1"/>
  <c r="AE11" i="78" a="1"/>
  <c r="AE11" i="78" s="1"/>
  <c r="BU11" i="78" a="1"/>
  <c r="BU11" i="78" s="1"/>
  <c r="BO11" i="78" a="1"/>
  <c r="BO11" i="78" s="1"/>
  <c r="R11" i="78" a="1"/>
  <c r="R11" i="78" s="1"/>
  <c r="L11" i="78" a="1"/>
  <c r="L11" i="78" s="1"/>
  <c r="BC11" i="78" a="1"/>
  <c r="BC11" i="78" s="1"/>
  <c r="I11" i="78" a="1"/>
  <c r="I11" i="78" s="1"/>
  <c r="AV11" i="78" a="1"/>
  <c r="AV11" i="78" s="1"/>
  <c r="F11" i="78" a="1"/>
  <c r="F11" i="78" s="1"/>
  <c r="AQ11" i="78" a="1"/>
  <c r="AQ11" i="78" s="1"/>
  <c r="C11" i="78" a="1"/>
  <c r="C11" i="78" s="1"/>
  <c r="CC8" i="78" a="1"/>
  <c r="CC8" i="78" s="1"/>
  <c r="BV8" i="78" a="1"/>
  <c r="BV8" i="78" s="1"/>
  <c r="BP8" i="78" a="1"/>
  <c r="BP8" i="78" s="1"/>
  <c r="BJ8" i="78" a="1"/>
  <c r="BJ8" i="78" s="1"/>
  <c r="BD8" i="78" a="1"/>
  <c r="BD8" i="78" s="1"/>
  <c r="AW8" i="78" a="1"/>
  <c r="AW8" i="78" s="1"/>
  <c r="AQ8" i="78" a="1"/>
  <c r="AQ8" i="78" s="1"/>
  <c r="AK8" i="78" a="1"/>
  <c r="AK8" i="78" s="1"/>
  <c r="AE8" i="78" a="1"/>
  <c r="AE8" i="78" s="1"/>
  <c r="Q8" i="78" a="1"/>
  <c r="Q8" i="78" s="1"/>
  <c r="K8" i="78" a="1"/>
  <c r="K8" i="78" s="1"/>
  <c r="E8" i="78" a="1"/>
  <c r="E8" i="78" s="1"/>
  <c r="CB8" i="78" a="1"/>
  <c r="CB8" i="78" s="1"/>
  <c r="BU8" i="78" a="1"/>
  <c r="BU8" i="78" s="1"/>
  <c r="BO8" i="78" a="1"/>
  <c r="BO8" i="78" s="1"/>
  <c r="BI8" i="78" a="1"/>
  <c r="BI8" i="78" s="1"/>
  <c r="BC8" i="78" a="1"/>
  <c r="BC8" i="78" s="1"/>
  <c r="AP8" i="78" a="1"/>
  <c r="AP8" i="78" s="1"/>
  <c r="AJ8" i="78" a="1"/>
  <c r="AJ8" i="78" s="1"/>
  <c r="AD8" i="78" a="1"/>
  <c r="AD8" i="78" s="1"/>
  <c r="X8" i="78" a="1"/>
  <c r="X8" i="78" s="1"/>
  <c r="J8" i="78" a="1"/>
  <c r="J8" i="78" s="1"/>
  <c r="D8" i="78" a="1"/>
  <c r="D8" i="78" s="1"/>
  <c r="CA8" i="78" a="1"/>
  <c r="CA8" i="78" s="1"/>
  <c r="BN8" i="78" a="1"/>
  <c r="BN8" i="78" s="1"/>
  <c r="BH8" i="78" a="1"/>
  <c r="BH8" i="78" s="1"/>
  <c r="BB8" i="78" a="1"/>
  <c r="BB8" i="78" s="1"/>
  <c r="AV8" i="78" a="1"/>
  <c r="AV8" i="78" s="1"/>
  <c r="AO8" i="78" a="1"/>
  <c r="AO8" i="78" s="1"/>
  <c r="AI8" i="78" a="1"/>
  <c r="AI8" i="78" s="1"/>
  <c r="AC8" i="78" a="1"/>
  <c r="AC8" i="78" s="1"/>
  <c r="W8" i="78" a="1"/>
  <c r="W8" i="78" s="1"/>
  <c r="P8" i="78" a="1"/>
  <c r="P8" i="78" s="1"/>
  <c r="I8" i="78" a="1"/>
  <c r="I8" i="78" s="1"/>
  <c r="C8" i="78" a="1"/>
  <c r="C8" i="78" s="1"/>
  <c r="BT8" i="78" a="1"/>
  <c r="BT8" i="78" s="1"/>
  <c r="BG8" i="78" a="1"/>
  <c r="BG8" i="78" s="1"/>
  <c r="BA8" i="78" a="1"/>
  <c r="BA8" i="78" s="1"/>
  <c r="AH8" i="78" a="1"/>
  <c r="AH8" i="78" s="1"/>
  <c r="AB8" i="78" a="1"/>
  <c r="AB8" i="78" s="1"/>
  <c r="V8" i="78" a="1"/>
  <c r="V8" i="78" s="1"/>
  <c r="H8" i="78" a="1"/>
  <c r="H8" i="78" s="1"/>
  <c r="BZ8" i="78" a="1"/>
  <c r="BZ8" i="78" s="1"/>
  <c r="BM8" i="78" a="1"/>
  <c r="BM8" i="78" s="1"/>
  <c r="BF8" i="78" a="1"/>
  <c r="BF8" i="78" s="1"/>
  <c r="AZ8" i="78" a="1"/>
  <c r="AZ8" i="78" s="1"/>
  <c r="AU8" i="78" a="1"/>
  <c r="AU8" i="78" s="1"/>
  <c r="AN8" i="78" a="1"/>
  <c r="AN8" i="78" s="1"/>
  <c r="AA8" i="78" a="1"/>
  <c r="AA8" i="78" s="1"/>
  <c r="U8" i="78" a="1"/>
  <c r="U8" i="78" s="1"/>
  <c r="O8" i="78" a="1"/>
  <c r="O8" i="78" s="1"/>
  <c r="BY8" i="78" a="1"/>
  <c r="BY8" i="78" s="1"/>
  <c r="BS8" i="78" a="1"/>
  <c r="BS8" i="78" s="1"/>
  <c r="BL8" i="78" a="1"/>
  <c r="BL8" i="78" s="1"/>
  <c r="AY8" i="78" a="1"/>
  <c r="AY8" i="78" s="1"/>
  <c r="AT8" i="78" a="1"/>
  <c r="AT8" i="78" s="1"/>
  <c r="AG8" i="78" a="1"/>
  <c r="AG8" i="78" s="1"/>
  <c r="Z8" i="78" a="1"/>
  <c r="Z8" i="78" s="1"/>
  <c r="T8" i="78" a="1"/>
  <c r="T8" i="78" s="1"/>
  <c r="N8" i="78" a="1"/>
  <c r="N8" i="78" s="1"/>
  <c r="G8" i="78" a="1"/>
  <c r="G8" i="78" s="1"/>
  <c r="BX8" i="78" a="1"/>
  <c r="BX8" i="78" s="1"/>
  <c r="BR8" i="78" a="1"/>
  <c r="BR8" i="78" s="1"/>
  <c r="BE8" i="78" a="1"/>
  <c r="BE8" i="78" s="1"/>
  <c r="AX8" i="78" a="1"/>
  <c r="AX8" i="78" s="1"/>
  <c r="AS8" i="78" a="1"/>
  <c r="AS8" i="78" s="1"/>
  <c r="AM8" i="78" a="1"/>
  <c r="AM8" i="78" s="1"/>
  <c r="AF8" i="78" a="1"/>
  <c r="AF8" i="78" s="1"/>
  <c r="S8" i="78" a="1"/>
  <c r="S8" i="78" s="1"/>
  <c r="M8" i="78" a="1"/>
  <c r="M8" i="78" s="1"/>
  <c r="F8" i="78" a="1"/>
  <c r="F8" i="78" s="1"/>
  <c r="CD8" i="78" a="1"/>
  <c r="CD8" i="78" s="1"/>
  <c r="BW8" i="78" a="1"/>
  <c r="BW8" i="78" s="1"/>
  <c r="BQ8" i="78" a="1"/>
  <c r="BQ8" i="78" s="1"/>
  <c r="BK8" i="78" a="1"/>
  <c r="BK8" i="78" s="1"/>
  <c r="AR8" i="78" a="1"/>
  <c r="AR8" i="78" s="1"/>
  <c r="AL8" i="78" a="1"/>
  <c r="AL8" i="78" s="1"/>
  <c r="Y8" i="78" a="1"/>
  <c r="Y8" i="78" s="1"/>
  <c r="R8" i="78" a="1"/>
  <c r="R8" i="78" s="1"/>
  <c r="L8" i="78" a="1"/>
  <c r="L8" i="78" s="1"/>
  <c r="BW12" i="78" a="1"/>
  <c r="BW12" i="78" s="1"/>
  <c r="BP12" i="78" a="1"/>
  <c r="BP12" i="78" s="1"/>
  <c r="BI12" i="78" a="1"/>
  <c r="BI12" i="78" s="1"/>
  <c r="BD12" i="78" a="1"/>
  <c r="BD12" i="78" s="1"/>
  <c r="AX12" i="78" a="1"/>
  <c r="AX12" i="78" s="1"/>
  <c r="AQ12" i="78" a="1"/>
  <c r="AQ12" i="78" s="1"/>
  <c r="AD12" i="78" a="1"/>
  <c r="AD12" i="78" s="1"/>
  <c r="Y12" i="78" a="1"/>
  <c r="Y12" i="78" s="1"/>
  <c r="L12" i="78" a="1"/>
  <c r="L12" i="78" s="1"/>
  <c r="E12" i="78" a="1"/>
  <c r="E12" i="78" s="1"/>
  <c r="CC12" i="78" a="1"/>
  <c r="CC12" i="78" s="1"/>
  <c r="BU12" i="78" a="1"/>
  <c r="BU12" i="78" s="1"/>
  <c r="BN12" i="78" a="1"/>
  <c r="BN12" i="78" s="1"/>
  <c r="BH12" i="78" a="1"/>
  <c r="BH12" i="78" s="1"/>
  <c r="BB12" i="78" a="1"/>
  <c r="BB12" i="78" s="1"/>
  <c r="AV12" i="78" a="1"/>
  <c r="AV12" i="78" s="1"/>
  <c r="AP12" i="78" a="1"/>
  <c r="AP12" i="78" s="1"/>
  <c r="W12" i="78" a="1"/>
  <c r="W12" i="78" s="1"/>
  <c r="Q12" i="78" a="1"/>
  <c r="Q12" i="78" s="1"/>
  <c r="D12" i="78" a="1"/>
  <c r="D12" i="78" s="1"/>
  <c r="CB12" i="78" a="1"/>
  <c r="CB12" i="78" s="1"/>
  <c r="BT12" i="78" a="1"/>
  <c r="BT12" i="78" s="1"/>
  <c r="BM12" i="78" a="1"/>
  <c r="BM12" i="78" s="1"/>
  <c r="BA12" i="78" a="1"/>
  <c r="BA12" i="78" s="1"/>
  <c r="AU12" i="78" a="1"/>
  <c r="AU12" i="78" s="1"/>
  <c r="AO12" i="78" a="1"/>
  <c r="AO12" i="78" s="1"/>
  <c r="AI12" i="78" a="1"/>
  <c r="AI12" i="78" s="1"/>
  <c r="AB12" i="78" a="1"/>
  <c r="AB12" i="78" s="1"/>
  <c r="V12" i="78" a="1"/>
  <c r="V12" i="78" s="1"/>
  <c r="P12" i="78" a="1"/>
  <c r="P12" i="78" s="1"/>
  <c r="J12" i="78" a="1"/>
  <c r="J12" i="78" s="1"/>
  <c r="CA12" i="78" a="1"/>
  <c r="CA12" i="78" s="1"/>
  <c r="BL12" i="78" a="1"/>
  <c r="BL12" i="78" s="1"/>
  <c r="BG12" i="78" a="1"/>
  <c r="BG12" i="78" s="1"/>
  <c r="AZ12" i="78" a="1"/>
  <c r="AZ12" i="78" s="1"/>
  <c r="AT12" i="78" a="1"/>
  <c r="AT12" i="78" s="1"/>
  <c r="AN12" i="78" a="1"/>
  <c r="AN12" i="78" s="1"/>
  <c r="AH12" i="78" a="1"/>
  <c r="AH12" i="78" s="1"/>
  <c r="U12" i="78" a="1"/>
  <c r="U12" i="78" s="1"/>
  <c r="O12" i="78" a="1"/>
  <c r="O12" i="78" s="1"/>
  <c r="I12" i="78" a="1"/>
  <c r="I12" i="78" s="1"/>
  <c r="C12" i="78" a="1"/>
  <c r="C12" i="78" s="1"/>
  <c r="BZ12" i="78" a="1"/>
  <c r="BZ12" i="78" s="1"/>
  <c r="BS12" i="78" a="1"/>
  <c r="BS12" i="78" s="1"/>
  <c r="BK12" i="78" a="1"/>
  <c r="BK12" i="78" s="1"/>
  <c r="AS12" i="78" a="1"/>
  <c r="AS12" i="78" s="1"/>
  <c r="AM12" i="78" a="1"/>
  <c r="AM12" i="78" s="1"/>
  <c r="AG12" i="78" a="1"/>
  <c r="AG12" i="78" s="1"/>
  <c r="AA12" i="78" a="1"/>
  <c r="AA12" i="78" s="1"/>
  <c r="T12" i="78" a="1"/>
  <c r="T12" i="78" s="1"/>
  <c r="N12" i="78" a="1"/>
  <c r="N12" i="78" s="1"/>
  <c r="H12" i="78" a="1"/>
  <c r="H12" i="78" s="1"/>
  <c r="BY12" i="78" a="1"/>
  <c r="BY12" i="78" s="1"/>
  <c r="BR12" i="78" a="1"/>
  <c r="BR12" i="78" s="1"/>
  <c r="BF12" i="78" a="1"/>
  <c r="BF12" i="78" s="1"/>
  <c r="AY12" i="78" a="1"/>
  <c r="AY12" i="78" s="1"/>
  <c r="AL12" i="78" a="1"/>
  <c r="AL12" i="78" s="1"/>
  <c r="AF12" i="78" a="1"/>
  <c r="AF12" i="78" s="1"/>
  <c r="M12" i="78" a="1"/>
  <c r="M12" i="78" s="1"/>
  <c r="G12" i="78" a="1"/>
  <c r="G12" i="78" s="1"/>
  <c r="BX12" i="78" a="1"/>
  <c r="BX12" i="78" s="1"/>
  <c r="BQ12" i="78" a="1"/>
  <c r="BQ12" i="78" s="1"/>
  <c r="BJ12" i="78" a="1"/>
  <c r="BJ12" i="78" s="1"/>
  <c r="BE12" i="78" a="1"/>
  <c r="BE12" i="78" s="1"/>
  <c r="AR12" i="78" a="1"/>
  <c r="AR12" i="78" s="1"/>
  <c r="AK12" i="78" a="1"/>
  <c r="AK12" i="78" s="1"/>
  <c r="AE12" i="78" a="1"/>
  <c r="AE12" i="78" s="1"/>
  <c r="Z12" i="78" a="1"/>
  <c r="Z12" i="78" s="1"/>
  <c r="S12" i="78" a="1"/>
  <c r="S12" i="78" s="1"/>
  <c r="F12" i="78" a="1"/>
  <c r="F12" i="78" s="1"/>
  <c r="BC12" i="78" a="1"/>
  <c r="BC12" i="78" s="1"/>
  <c r="AW12" i="78" a="1"/>
  <c r="AW12" i="78" s="1"/>
  <c r="AJ12" i="78" a="1"/>
  <c r="AJ12" i="78" s="1"/>
  <c r="CD12" i="78" a="1"/>
  <c r="CD12" i="78" s="1"/>
  <c r="AC12" i="78" a="1"/>
  <c r="AC12" i="78" s="1"/>
  <c r="BV12" i="78" a="1"/>
  <c r="BV12" i="78" s="1"/>
  <c r="X12" i="78" a="1"/>
  <c r="X12" i="78" s="1"/>
  <c r="BO12" i="78" a="1"/>
  <c r="BO12" i="78" s="1"/>
  <c r="R12" i="78" a="1"/>
  <c r="R12" i="78" s="1"/>
  <c r="K12" i="78" a="1"/>
  <c r="K12" i="78" s="1"/>
  <c r="CA16" i="78" a="1"/>
  <c r="CA16" i="78" s="1"/>
  <c r="BL16" i="78" a="1"/>
  <c r="BL16" i="78" s="1"/>
  <c r="BE16" i="78" a="1"/>
  <c r="BE16" i="78" s="1"/>
  <c r="AY16" i="78" a="1"/>
  <c r="AY16" i="78" s="1"/>
  <c r="AQ16" i="78" a="1"/>
  <c r="AQ16" i="78" s="1"/>
  <c r="AJ16" i="78" a="1"/>
  <c r="AJ16" i="78" s="1"/>
  <c r="AC16" i="78" a="1"/>
  <c r="AC16" i="78" s="1"/>
  <c r="U16" i="78" a="1"/>
  <c r="U16" i="78" s="1"/>
  <c r="M16" i="78" a="1"/>
  <c r="M16" i="78" s="1"/>
  <c r="F16" i="78" a="1"/>
  <c r="F16" i="78" s="1"/>
  <c r="BZ16" i="78" a="1"/>
  <c r="BZ16" i="78" s="1"/>
  <c r="BS16" i="78" a="1"/>
  <c r="BS16" i="78" s="1"/>
  <c r="BD16" i="78" a="1"/>
  <c r="BD16" i="78" s="1"/>
  <c r="AX16" i="78" a="1"/>
  <c r="AX16" i="78" s="1"/>
  <c r="AP16" i="78" a="1"/>
  <c r="AP16" i="78" s="1"/>
  <c r="AI16" i="78" a="1"/>
  <c r="AI16" i="78" s="1"/>
  <c r="AB16" i="78" a="1"/>
  <c r="AB16" i="78" s="1"/>
  <c r="T16" i="78" a="1"/>
  <c r="T16" i="78" s="1"/>
  <c r="L16" i="78" a="1"/>
  <c r="L16" i="78" s="1"/>
  <c r="E16" i="78" a="1"/>
  <c r="E16" i="78" s="1"/>
  <c r="BY16" i="78" a="1"/>
  <c r="BY16" i="78" s="1"/>
  <c r="BR16" i="78" a="1"/>
  <c r="BR16" i="78" s="1"/>
  <c r="BK16" i="78" a="1"/>
  <c r="BK16" i="78" s="1"/>
  <c r="AW16" i="78" a="1"/>
  <c r="AW16" i="78" s="1"/>
  <c r="AO16" i="78" a="1"/>
  <c r="AO16" i="78" s="1"/>
  <c r="AH16" i="78" a="1"/>
  <c r="AH16" i="78" s="1"/>
  <c r="AA16" i="78" a="1"/>
  <c r="AA16" i="78" s="1"/>
  <c r="S16" i="78" a="1"/>
  <c r="S16" i="78" s="1"/>
  <c r="K16" i="78" a="1"/>
  <c r="K16" i="78" s="1"/>
  <c r="D16" i="78" a="1"/>
  <c r="D16" i="78" s="1"/>
  <c r="BX16" i="78" a="1"/>
  <c r="BX16" i="78" s="1"/>
  <c r="BQ16" i="78" a="1"/>
  <c r="BQ16" i="78" s="1"/>
  <c r="BJ16" i="78" a="1"/>
  <c r="BJ16" i="78" s="1"/>
  <c r="BC16" i="78" a="1"/>
  <c r="BC16" i="78" s="1"/>
  <c r="AV16" i="78" a="1"/>
  <c r="AV16" i="78" s="1"/>
  <c r="AN16" i="78" a="1"/>
  <c r="AN16" i="78" s="1"/>
  <c r="AG16" i="78" a="1"/>
  <c r="AG16" i="78" s="1"/>
  <c r="Z16" i="78" a="1"/>
  <c r="Z16" i="78" s="1"/>
  <c r="R16" i="78" a="1"/>
  <c r="R16" i="78" s="1"/>
  <c r="J16" i="78" a="1"/>
  <c r="J16" i="78" s="1"/>
  <c r="C16" i="78" a="1"/>
  <c r="C16" i="78" s="1"/>
  <c r="BW16" i="78" a="1"/>
  <c r="BW16" i="78" s="1"/>
  <c r="BP16" i="78" a="1"/>
  <c r="BP16" i="78" s="1"/>
  <c r="BI16" i="78" a="1"/>
  <c r="BI16" i="78" s="1"/>
  <c r="BB16" i="78" a="1"/>
  <c r="BB16" i="78" s="1"/>
  <c r="AU16" i="78" a="1"/>
  <c r="AU16" i="78" s="1"/>
  <c r="AF16" i="78" a="1"/>
  <c r="AF16" i="78" s="1"/>
  <c r="Y16" i="78" a="1"/>
  <c r="Y16" i="78" s="1"/>
  <c r="Q16" i="78" a="1"/>
  <c r="Q16" i="78" s="1"/>
  <c r="I16" i="78" a="1"/>
  <c r="I16" i="78" s="1"/>
  <c r="CD16" i="78" a="1"/>
  <c r="CD16" i="78" s="1"/>
  <c r="BV16" i="78" a="1"/>
  <c r="BV16" i="78" s="1"/>
  <c r="BO16" i="78" a="1"/>
  <c r="BO16" i="78" s="1"/>
  <c r="BH16" i="78" a="1"/>
  <c r="BH16" i="78" s="1"/>
  <c r="BA16" i="78" a="1"/>
  <c r="BA16" i="78" s="1"/>
  <c r="AT16" i="78" a="1"/>
  <c r="AT16" i="78" s="1"/>
  <c r="AM16" i="78" a="1"/>
  <c r="AM16" i="78" s="1"/>
  <c r="X16" i="78" a="1"/>
  <c r="X16" i="78" s="1"/>
  <c r="P16" i="78" a="1"/>
  <c r="P16" i="78" s="1"/>
  <c r="H16" i="78" a="1"/>
  <c r="H16" i="78" s="1"/>
  <c r="CC16" i="78" a="1"/>
  <c r="CC16" i="78" s="1"/>
  <c r="BU16" i="78" a="1"/>
  <c r="BU16" i="78" s="1"/>
  <c r="BN16" i="78" a="1"/>
  <c r="BN16" i="78" s="1"/>
  <c r="BG16" i="78" a="1"/>
  <c r="BG16" i="78" s="1"/>
  <c r="AZ16" i="78" a="1"/>
  <c r="AZ16" i="78" s="1"/>
  <c r="AS16" i="78" a="1"/>
  <c r="AS16" i="78" s="1"/>
  <c r="AL16" i="78" a="1"/>
  <c r="AL16" i="78" s="1"/>
  <c r="AE16" i="78" a="1"/>
  <c r="AE16" i="78" s="1"/>
  <c r="W16" i="78" a="1"/>
  <c r="W16" i="78" s="1"/>
  <c r="O16" i="78" a="1"/>
  <c r="O16" i="78" s="1"/>
  <c r="CB16" i="78" a="1"/>
  <c r="CB16" i="78" s="1"/>
  <c r="BT16" i="78" a="1"/>
  <c r="BT16" i="78" s="1"/>
  <c r="BM16" i="78" a="1"/>
  <c r="BM16" i="78" s="1"/>
  <c r="BF16" i="78" a="1"/>
  <c r="BF16" i="78" s="1"/>
  <c r="AR16" i="78" a="1"/>
  <c r="AR16" i="78" s="1"/>
  <c r="AK16" i="78" a="1"/>
  <c r="AK16" i="78" s="1"/>
  <c r="AD16" i="78" a="1"/>
  <c r="AD16" i="78" s="1"/>
  <c r="V16" i="78" a="1"/>
  <c r="V16" i="78" s="1"/>
  <c r="N16" i="78" a="1"/>
  <c r="N16" i="78" s="1"/>
  <c r="G16" i="78" a="1"/>
  <c r="G16" i="78" s="1"/>
  <c r="BZ5" i="78" a="1"/>
  <c r="BZ5" i="78" s="1"/>
  <c r="BO5" i="78" a="1"/>
  <c r="BO5" i="78" s="1"/>
  <c r="BJ5" i="78" a="1"/>
  <c r="BJ5" i="78" s="1"/>
  <c r="BD5" i="78" a="1"/>
  <c r="BD5" i="78" s="1"/>
  <c r="AY5" i="78" a="1"/>
  <c r="AY5" i="78" s="1"/>
  <c r="AT5" i="78" a="1"/>
  <c r="AT5" i="78" s="1"/>
  <c r="AI5" i="78" a="1"/>
  <c r="AI5" i="78" s="1"/>
  <c r="AD5" i="78" a="1"/>
  <c r="AD5" i="78" s="1"/>
  <c r="BY5" i="78" a="1"/>
  <c r="BY5" i="78" s="1"/>
  <c r="BT5" i="78" a="1"/>
  <c r="BT5" i="78" s="1"/>
  <c r="BN5" i="78" a="1"/>
  <c r="BN5" i="78" s="1"/>
  <c r="BI5" i="78" a="1"/>
  <c r="BI5" i="78" s="1"/>
  <c r="CD5" i="78" a="1"/>
  <c r="CD5" i="78" s="1"/>
  <c r="BS5" i="78" a="1"/>
  <c r="BS5" i="78" s="1"/>
  <c r="BC5" i="78" a="1"/>
  <c r="BC5" i="78" s="1"/>
  <c r="AB5" i="78" a="1"/>
  <c r="AB5" i="78" s="1"/>
  <c r="V5" i="78" a="1"/>
  <c r="V5" i="78" s="1"/>
  <c r="J5" i="78" a="1"/>
  <c r="J5" i="78" s="1"/>
  <c r="E5" i="78" a="1"/>
  <c r="E5" i="78" s="1"/>
  <c r="BX5" i="78" a="1"/>
  <c r="BX5" i="78" s="1"/>
  <c r="BR5" i="78" a="1"/>
  <c r="BR5" i="78" s="1"/>
  <c r="BM5" i="78" a="1"/>
  <c r="BM5" i="78" s="1"/>
  <c r="BH5" i="78" a="1"/>
  <c r="BH5" i="78" s="1"/>
  <c r="BB5" i="78" a="1"/>
  <c r="BB5" i="78" s="1"/>
  <c r="AW5" i="78" a="1"/>
  <c r="AW5" i="78" s="1"/>
  <c r="AR5" i="78" a="1"/>
  <c r="AR5" i="78" s="1"/>
  <c r="AM5" i="78" a="1"/>
  <c r="AM5" i="78" s="1"/>
  <c r="CB5" i="78" a="1"/>
  <c r="CB5" i="78" s="1"/>
  <c r="BV5" i="78" a="1"/>
  <c r="BV5" i="78" s="1"/>
  <c r="BQ5" i="78" a="1"/>
  <c r="BQ5" i="78" s="1"/>
  <c r="BL5" i="78" a="1"/>
  <c r="BL5" i="78" s="1"/>
  <c r="BF5" i="78" a="1"/>
  <c r="BF5" i="78" s="1"/>
  <c r="BA5" i="78" a="1"/>
  <c r="BA5" i="78" s="1"/>
  <c r="AV5" i="78" a="1"/>
  <c r="AV5" i="78" s="1"/>
  <c r="AP5" i="78" a="1"/>
  <c r="AP5" i="78" s="1"/>
  <c r="AK5" i="78" a="1"/>
  <c r="AK5" i="78" s="1"/>
  <c r="AF5" i="78" a="1"/>
  <c r="AF5" i="78" s="1"/>
  <c r="BG5" i="78" a="1"/>
  <c r="BG5" i="78" s="1"/>
  <c r="AL5" i="78" a="1"/>
  <c r="AL5" i="78" s="1"/>
  <c r="AC5" i="78" a="1"/>
  <c r="AC5" i="78" s="1"/>
  <c r="O5" i="78" a="1"/>
  <c r="O5" i="78" s="1"/>
  <c r="BU5" i="78" a="1"/>
  <c r="BU5" i="78" s="1"/>
  <c r="BE5" i="78" a="1"/>
  <c r="BE5" i="78" s="1"/>
  <c r="AJ5" i="78" a="1"/>
  <c r="AJ5" i="78" s="1"/>
  <c r="AA5" i="78" a="1"/>
  <c r="AA5" i="78" s="1"/>
  <c r="U5" i="78" a="1"/>
  <c r="U5" i="78" s="1"/>
  <c r="N5" i="78" a="1"/>
  <c r="N5" i="78" s="1"/>
  <c r="H5" i="78" a="1"/>
  <c r="H5" i="78" s="1"/>
  <c r="AU5" i="78" a="1"/>
  <c r="AU5" i="78" s="1"/>
  <c r="Z5" i="78" a="1"/>
  <c r="Z5" i="78" s="1"/>
  <c r="T5" i="78" a="1"/>
  <c r="T5" i="78" s="1"/>
  <c r="M5" i="78" a="1"/>
  <c r="M5" i="78" s="1"/>
  <c r="BP5" i="78" a="1"/>
  <c r="BP5" i="78" s="1"/>
  <c r="AS5" i="78" a="1"/>
  <c r="AS5" i="78" s="1"/>
  <c r="AH5" i="78" a="1"/>
  <c r="AH5" i="78" s="1"/>
  <c r="S5" i="78" a="1"/>
  <c r="S5" i="78" s="1"/>
  <c r="G5" i="78" a="1"/>
  <c r="G5" i="78" s="1"/>
  <c r="CC5" i="78" a="1"/>
  <c r="CC5" i="78" s="1"/>
  <c r="AQ5" i="78" a="1"/>
  <c r="AQ5" i="78" s="1"/>
  <c r="AG5" i="78" a="1"/>
  <c r="AG5" i="78" s="1"/>
  <c r="Y5" i="78" a="1"/>
  <c r="Y5" i="78" s="1"/>
  <c r="R5" i="78" a="1"/>
  <c r="R5" i="78" s="1"/>
  <c r="L5" i="78" a="1"/>
  <c r="L5" i="78" s="1"/>
  <c r="F5" i="78" a="1"/>
  <c r="F5" i="78" s="1"/>
  <c r="AZ5" i="78" a="1"/>
  <c r="AZ5" i="78" s="1"/>
  <c r="X5" i="78" a="1"/>
  <c r="X5" i="78" s="1"/>
  <c r="K5" i="78" a="1"/>
  <c r="K5" i="78" s="1"/>
  <c r="D5" i="78" a="1"/>
  <c r="D5" i="78" s="1"/>
  <c r="CA5" i="78" a="1"/>
  <c r="CA5" i="78" s="1"/>
  <c r="AO5" i="78" a="1"/>
  <c r="AO5" i="78" s="1"/>
  <c r="Q5" i="78" a="1"/>
  <c r="Q5" i="78" s="1"/>
  <c r="BW5" i="78" a="1"/>
  <c r="BW5" i="78" s="1"/>
  <c r="BK5" i="78" a="1"/>
  <c r="BK5" i="78" s="1"/>
  <c r="AX5" i="78" a="1"/>
  <c r="AX5" i="78" s="1"/>
  <c r="AN5" i="78" a="1"/>
  <c r="AN5" i="78" s="1"/>
  <c r="AE5" i="78" a="1"/>
  <c r="AE5" i="78" s="1"/>
  <c r="W5" i="78" a="1"/>
  <c r="W5" i="78" s="1"/>
  <c r="P5" i="78" a="1"/>
  <c r="P5" i="78" s="1"/>
  <c r="I5" i="78" a="1"/>
  <c r="I5" i="78" s="1"/>
  <c r="C5" i="78" a="1"/>
  <c r="C5" i="7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59F06B-0310-4544-BB28-9E60C8464C45}" keepAlive="1" name="Abfrage - JiraBlockermanagement(1)" description="Verbindung mit der Abfrage 'JiraBlockermanagement' in der Arbeitsmappe." type="5" refreshedVersion="8" background="1" saveData="1">
    <dbPr connection="Provider=Microsoft.Mashup.OleDb.1;Data Source=$Workbook$;Location=JiraBlockermanagement;Extended Properties=&quot;&quot;" command="SELECT * FROM [JiraBlockermanagement]"/>
  </connection>
  <connection id="2" xr16:uid="{9BD96DC6-B0B0-42E1-83DF-35960A8F0ED5}" keepAlive="1" name="Abfrage - JiraEpics(1)" description="Verbindung mit der Abfrage 'JiraEpics' in der Arbeitsmappe." type="5" refreshedVersion="8" background="1" saveData="1">
    <dbPr connection="Provider=Microsoft.Mashup.OleDb.1;Data Source=$Workbook$;Location=JiraEpics;Extended Properties=&quot;&quot;" command="SELECT * FROM [JiraEpics]"/>
  </connection>
  <connection id="3" xr16:uid="{2B243604-344E-4D6B-A21C-1920D1564DF6}" keepAlive="1" name="Abfrage - JiraStories" description="Verbindung mit der Abfrage 'JiraStories' in der Arbeitsmappe." type="5" refreshedVersion="8" background="1" saveData="1">
    <dbPr connection="Provider=Microsoft.Mashup.OleDb.1;Data Source=$Workbook$;Location=JiraStories;Extended Properties=&quot;&quot;" command="SELECT * FROM [JiraStories]"/>
  </connection>
  <connection id="4" xr16:uid="{E6809B53-6686-4988-AEF0-37FF74EE430F}" keepAlive="1" name="Abfrage - SRC_Jira_Base_Epics" description="Verbindung mit der Abfrage 'SRC_Jira_Base_Epics' in der Arbeitsmappe." type="5" refreshedVersion="0" saveData="1">
    <dbPr connection="Provider=Microsoft.Mashup.OleDb.1;Data Source=$Workbook$;Location=SRC_Jira_Base_Epics;Extended Properties=&quot;&quot;" command="SELECT * FROM [SRC_Jira_Base_Epics]"/>
    <extLst>
      <ext xmlns:x15="http://schemas.microsoft.com/office/spreadsheetml/2010/11/main" uri="{DE250136-89BD-433C-8126-D09CA5730AF9}">
        <x15:connection id="" excludeFromRefreshAll="1"/>
      </ext>
    </extLst>
  </connection>
  <connection id="5" xr16:uid="{6B415C05-C239-4889-8658-DE55C7AE170F}" keepAlive="1" name="Abfrage - SRC_Jira_Base_Projects" description="Verbindung mit der Abfrage 'SRC_Jira_Base_Projects' in der Arbeitsmappe." type="5" refreshedVersion="0" saveData="1">
    <dbPr connection="Provider=Microsoft.Mashup.OleDb.1;Data Source=$Workbook$;Location=SRC_Jira_Base_Projects;Extended Properties=&quot;&quot;" command="SELECT * FROM [SRC_Jira_Base_Projects]"/>
    <extLst>
      <ext xmlns:x15="http://schemas.microsoft.com/office/spreadsheetml/2010/11/main" uri="{DE250136-89BD-433C-8126-D09CA5730AF9}">
        <x15:connection id="" excludeFromRefreshAll="1"/>
      </ext>
    </extLst>
  </connection>
  <connection id="6" xr16:uid="{EF9DFEF1-D2CC-4E43-B0C5-AF7CD8F09DD8}" keepAlive="1" name="Abfrage - SRC_Jira_History_Epics_ByProject" description="Verbindung mit der Abfrage 'SRC_Jira_History_Epics_ByProject' in der Arbeitsmappe." type="5" refreshedVersion="0" saveData="1">
    <dbPr connection="Provider=Microsoft.Mashup.OleDb.1;Data Source=$Workbook$;Location=SRC_Jira_History_Epics_ByProject;Extended Properties=&quot;&quot;" command="SELECT * FROM [SRC_Jira_History_Epics_ByProject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765AF8BA-392F-4819-97BE-FE215398A77D}" keepAlive="1" name="Abfrage - SRC_Jira_History_Stories_ByProject" description="Verbindung mit der Abfrage 'SRC_Jira_History_Stories_ByProject' in der Arbeitsmappe." type="5" refreshedVersion="0" saveData="1">
    <dbPr connection="Provider=Microsoft.Mashup.OleDb.1;Data Source=$Workbook$;Location=SRC_Jira_History_Stories_ByProject;Extended Properties=&quot;&quot;" command="SELECT * FROM [SRC_Jira_History_Stories_ByProject]"/>
    <extLst>
      <ext xmlns:x15="http://schemas.microsoft.com/office/spreadsheetml/2010/11/main" uri="{DE250136-89BD-433C-8126-D09CA5730AF9}">
        <x15:connection id="" excludeFromRefreshAll="1"/>
      </ext>
    </extLst>
  </connection>
  <connection id="8" xr16:uid="{24556A64-B361-42BE-A383-CC0FE67D23F6}" keepAlive="1" name="Abfrage - STG_Blocked_FieldHistory" description="Verbindung mit der Abfrage 'STG_Blocked_FieldHistory' in der Arbeitsmappe." type="5" refreshedVersion="0" saveData="1">
    <dbPr connection="Provider=Microsoft.Mashup.OleDb.1;Data Source=$Workbook$;Location=STG_Blocked_FieldHistory;Extended Properties=&quot;&quot;" command="SELECT * FROM [STG_Blocked_FieldHistory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91D8C813-7C76-4809-9BBC-A1F8CF5DE659}" keepAlive="1" name="Abfrage - STG_Epics_Base" description="Verbindung mit der Abfrage 'STG_Epics_Base' in der Arbeitsmappe." type="5" refreshedVersion="0" saveData="1">
    <dbPr connection="Provider=Microsoft.Mashup.OleDb.1;Data Source=$Workbook$;Location=STG_Epics_Base;Extended Properties=&quot;&quot;" command="SELECT * FROM [STG_Epics_Base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B1BBD908-B42B-45A5-80D6-26A328032E5F}" keepAlive="1" name="Abfrage - STG_Epics_StatusHistory" description="Verbindung mit der Abfrage 'STG_Epics_StatusHistory' in der Arbeitsmappe." type="5" refreshedVersion="0" saveData="1">
    <dbPr connection="Provider=Microsoft.Mashup.OleDb.1;Data Source=$Workbook$;Location=STG_Epics_StatusHistory;Extended Properties=&quot;&quot;" command="SELECT * FROM [STG_Epics_StatusHistory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0678BCA9-3F5E-4FB9-8B04-36CE9C77B208}" keepAlive="1" name="Abfrage - STG_Epics_StatusPivot" description="Verbindung mit der Abfrage 'STG_Epics_StatusPivot' in der Arbeitsmappe." type="5" refreshedVersion="0" saveData="1">
    <dbPr connection="Provider=Microsoft.Mashup.OleDb.1;Data Source=$Workbook$;Location=STG_Epics_StatusPivot;Extended Properties=&quot;&quot;" command="SELECT * FROM [STG_Epics_StatusPivot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D13ACD59-3E64-440D-A5A2-DD1A2BB54827}" keepAlive="1" name="Abfrage - STG_Issues_BaseUnion" description="Verbindung mit der Abfrage 'STG_Issues_BaseUnion' in der Arbeitsmappe." type="5" refreshedVersion="0" saveData="1">
    <dbPr connection="Provider=Microsoft.Mashup.OleDb.1;Data Source=$Workbook$;Location=STG_Issues_BaseUnion;Extended Properties=&quot;&quot;" command="SELECT * FROM [STG_Issues_BaseUnion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2E78B813-8EAA-4E18-B2D3-E7DB9C070EC9}" keepAlive="1" name="Abfrage - STG_Issues_BlockedFieldHistory" description="Verbindung mit der Abfrage 'STG_Issues_BlockedFieldHistory' in der Arbeitsmappe." type="5" refreshedVersion="0" saveData="1">
    <dbPr connection="Provider=Microsoft.Mashup.OleDb.1;Data Source=$Workbook$;Location=STG_Issues_BlockedFieldHistory;Extended Properties=&quot;&quot;" command="SELECT * FROM [STG_Issues_BlockedFieldHistory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75F77690-8070-4EAE-8B2F-B644BF687250}" keepAlive="1" name="Abfrage - STG_Issues_BlockedHistory" description="Verbindung mit der Abfrage 'STG_Issues_BlockedHistory' in der Arbeitsmappe." type="5" refreshedVersion="8" background="1" saveData="1">
    <dbPr connection="Provider=Microsoft.Mashup.OleDb.1;Data Source=$Workbook$;Location=STG_Issues_BlockedHistory;Extended Properties=&quot;&quot;" command="SELECT * FROM [STG_Issues_BlockedHistory]"/>
  </connection>
  <connection id="15" xr16:uid="{CDFFCE5C-8324-4940-8264-E56745F0D563}" keepAlive="1" name="Abfrage - STG_Issues_ChangelogFlat" description="Verbindung mit der Abfrage 'STG_Issues_ChangelogFlat' in der Arbeitsmappe." type="5" refreshedVersion="0" saveData="1">
    <dbPr connection="Provider=Microsoft.Mashup.OleDb.1;Data Source=$Workbook$;Location=STG_Issues_ChangelogFlat;Extended Properties=&quot;&quot;" command="SELECT * FROM [STG_Issues_ChangelogFlat]"/>
    <extLst>
      <ext xmlns:x15="http://schemas.microsoft.com/office/spreadsheetml/2010/11/main" uri="{DE250136-89BD-433C-8126-D09CA5730AF9}">
        <x15:connection id="" excludeFromRefreshAll="1"/>
      </ext>
    </extLst>
  </connection>
  <connection id="16" xr16:uid="{14572D00-F4E4-4F15-AC9E-BD863255C517}" keepAlive="1" name="Abfrage - STG_Issues_StatusHistory" description="Verbindung mit der Abfrage 'STG_Issues_StatusHistory' in der Arbeitsmappe." type="5" refreshedVersion="0" saveData="1">
    <dbPr connection="Provider=Microsoft.Mashup.OleDb.1;Data Source=$Workbook$;Location=STG_Issues_StatusHistory;Extended Properties=&quot;&quot;" command="SELECT * FROM [STG_Issues_StatusHistory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ECBAD1F3-A8DF-40A0-B52A-FC07629649D2}" keepAlive="1" name="Abfrage - STG_Stories_Base" description="Verbindung mit der Abfrage 'STG_Stories_Base' in der Arbeitsmappe." type="5" refreshedVersion="0" saveData="1">
    <dbPr connection="Provider=Microsoft.Mashup.OleDb.1;Data Source=$Workbook$;Location=STG_Stories_Base;Extended Properties=&quot;&quot;" command="SELECT * FROM [STG_Stories_Base]"/>
    <extLst>
      <ext xmlns:x15="http://schemas.microsoft.com/office/spreadsheetml/2010/11/main" uri="{DE250136-89BD-433C-8126-D09CA5730AF9}">
        <x15:connection id="" excludeFromRefreshAll="1"/>
      </ext>
    </extLst>
  </connection>
  <connection id="18" xr16:uid="{58D6EDCD-2E80-48F6-B0C7-4ACD03F86740}" keepAlive="1" name="Abfrage - STG_Stories_StatusAgg" description="Verbindung mit der Abfrage 'STG_Stories_StatusAgg' in der Arbeitsmappe." type="5" refreshedVersion="0" saveData="1">
    <dbPr connection="Provider=Microsoft.Mashup.OleDb.1;Data Source=$Workbook$;Location=STG_Stories_StatusAgg;Extended Properties=&quot;&quot;" command="SELECT * FROM [STG_Stories_StatusAgg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6B5B9EF6-D972-4EE9-9F8B-0427832AF67A}" keepAlive="1" name="Abfrage - STG_Stories_StatusEntries" description="Verbindung mit der Abfrage 'STG_Stories_StatusEntries' in der Arbeitsmappe." type="5" refreshedVersion="0" saveData="1">
    <dbPr connection="Provider=Microsoft.Mashup.OleDb.1;Data Source=$Workbook$;Location=STG_Stories_StatusEntries;Extended Properties=&quot;&quot;" command="SELECT * FROM [STG_Stories_StatusEntries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29BCCEA8-B2A1-46ED-A9B1-603959267107}" keepAlive="1" name="Abfrage - STG_Stories_StatusHistory" description="Verbindung mit der Abfrage 'STG_Stories_StatusHistory' in der Arbeitsmappe." type="5" refreshedVersion="0" saveData="1">
    <dbPr connection="Provider=Microsoft.Mashup.OleDb.1;Data Source=$Workbook$;Location=STG_Stories_StatusHistory;Extended Properties=&quot;&quot;" command="SELECT * FROM [STG_Stories_StatusHistory]"/>
    <extLst>
      <ext xmlns:x15="http://schemas.microsoft.com/office/spreadsheetml/2010/11/main" uri="{DE250136-89BD-433C-8126-D09CA5730AF9}">
        <x15:connection id="" excludeFromRefreshAll="1"/>
      </ext>
    </extLst>
  </connection>
  <connection id="21" xr16:uid="{F86CD3F7-90CD-4CBD-992C-9F1CAA32DCAA}" keepAlive="1" name="Abfrage - STG_Stories_StatusLeaves" description="Verbindung mit der Abfrage 'STG_Stories_StatusLeaves' in der Arbeitsmappe." type="5" refreshedVersion="0" saveData="1">
    <dbPr connection="Provider=Microsoft.Mashup.OleDb.1;Data Source=$Workbook$;Location=STG_Stories_StatusLeaves;Extended Properties=&quot;&quot;" command="SELECT * FROM [STG_Stories_StatusLeaves]"/>
    <extLst>
      <ext xmlns:x15="http://schemas.microsoft.com/office/spreadsheetml/2010/11/main" uri="{DE250136-89BD-433C-8126-D09CA5730AF9}">
        <x15:connection id="" excludeFromRefreshAl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<sst xmlns="http://schemas.openxmlformats.org/spreadsheetml/2006/main" count="11236" uniqueCount="1774">
  <si>
    <t>Squad</t>
  </si>
  <si>
    <t>Akzeptanzkriterien</t>
  </si>
  <si>
    <t>Status</t>
  </si>
  <si>
    <t>Datum</t>
  </si>
  <si>
    <t>ausgewähltes Squad</t>
  </si>
  <si>
    <t>Max</t>
  </si>
  <si>
    <t>Min</t>
  </si>
  <si>
    <t>25% Percentil</t>
  </si>
  <si>
    <t>Median</t>
  </si>
  <si>
    <t>85% Percentil1</t>
  </si>
  <si>
    <t>Max1</t>
  </si>
  <si>
    <t>Min1</t>
  </si>
  <si>
    <t>25% Percentil1</t>
  </si>
  <si>
    <t>Median1</t>
  </si>
  <si>
    <t>85% Percentil2</t>
  </si>
  <si>
    <t>Max2</t>
  </si>
  <si>
    <t>Min2</t>
  </si>
  <si>
    <t>25% Percentil2</t>
  </si>
  <si>
    <t>Median2</t>
  </si>
  <si>
    <t>85% Percentil3</t>
  </si>
  <si>
    <t>Max3</t>
  </si>
  <si>
    <t>Min3</t>
  </si>
  <si>
    <t>25% Percentil3</t>
  </si>
  <si>
    <t>Median3</t>
  </si>
  <si>
    <t>85% Percentil4</t>
  </si>
  <si>
    <t>Max4</t>
  </si>
  <si>
    <t>Min4</t>
  </si>
  <si>
    <t>25% Percentil4</t>
  </si>
  <si>
    <t>Median4</t>
  </si>
  <si>
    <t>85% Percentil5</t>
  </si>
  <si>
    <t>Max5</t>
  </si>
  <si>
    <t>Min5</t>
  </si>
  <si>
    <t>25% Percentil5</t>
  </si>
  <si>
    <t>Median5</t>
  </si>
  <si>
    <t>85% Percentil6</t>
  </si>
  <si>
    <t>Max6</t>
  </si>
  <si>
    <t>Min6</t>
  </si>
  <si>
    <t>25% Percentil6</t>
  </si>
  <si>
    <t>Median6</t>
  </si>
  <si>
    <t>85% Percentil7</t>
  </si>
  <si>
    <t>Max7</t>
  </si>
  <si>
    <t>Min7</t>
  </si>
  <si>
    <t>25% Percentil7</t>
  </si>
  <si>
    <t>Median7</t>
  </si>
  <si>
    <t>85% Percentil8</t>
  </si>
  <si>
    <t>Max8</t>
  </si>
  <si>
    <t>Min8</t>
  </si>
  <si>
    <t>25% Percentil8</t>
  </si>
  <si>
    <t>Median8</t>
  </si>
  <si>
    <t>85% Percentil9</t>
  </si>
  <si>
    <t>Max9</t>
  </si>
  <si>
    <t>Min9</t>
  </si>
  <si>
    <t>25% Percentil9</t>
  </si>
  <si>
    <t>Median9</t>
  </si>
  <si>
    <t>85% Percentil10</t>
  </si>
  <si>
    <t>Max10</t>
  </si>
  <si>
    <t>Min10</t>
  </si>
  <si>
    <t>25% Percentil10</t>
  </si>
  <si>
    <t>Median10</t>
  </si>
  <si>
    <t>85% Percentil11</t>
  </si>
  <si>
    <t>Max11</t>
  </si>
  <si>
    <t>Min11</t>
  </si>
  <si>
    <t>25% Percentil11</t>
  </si>
  <si>
    <t>Median11</t>
  </si>
  <si>
    <t>85% Percentil12</t>
  </si>
  <si>
    <t>Max12</t>
  </si>
  <si>
    <t>Min12</t>
  </si>
  <si>
    <t>25% Percentil12</t>
  </si>
  <si>
    <t>Median12</t>
  </si>
  <si>
    <t>85% Percentil13</t>
  </si>
  <si>
    <t>Max13</t>
  </si>
  <si>
    <t>Min13</t>
  </si>
  <si>
    <t>25% Percentil13</t>
  </si>
  <si>
    <t>Median13</t>
  </si>
  <si>
    <t>85% Percentil14</t>
  </si>
  <si>
    <t>Max14</t>
  </si>
  <si>
    <t>Min14</t>
  </si>
  <si>
    <t>25% Percentil14</t>
  </si>
  <si>
    <t>Median14</t>
  </si>
  <si>
    <t>85% Percentil12222222226</t>
  </si>
  <si>
    <t>Max13333333337</t>
  </si>
  <si>
    <t>Min14444444448</t>
  </si>
  <si>
    <t>25% Percentil15555555559</t>
  </si>
  <si>
    <t>Median166666666610</t>
  </si>
  <si>
    <t>Open</t>
  </si>
  <si>
    <t>High</t>
  </si>
  <si>
    <t>Low</t>
  </si>
  <si>
    <t>Close</t>
  </si>
  <si>
    <t>Skala 1-5 (1=niedrig; 5=hoch)</t>
  </si>
  <si>
    <t>In Progress</t>
  </si>
  <si>
    <t>Resolved</t>
  </si>
  <si>
    <t>CycleTime</t>
  </si>
  <si>
    <t>Project</t>
  </si>
  <si>
    <t>Modifier</t>
  </si>
  <si>
    <t>Jira-ID</t>
  </si>
  <si>
    <t>project.key</t>
  </si>
  <si>
    <t>project.name</t>
  </si>
  <si>
    <t>Issue-Type</t>
  </si>
  <si>
    <t>Created (Status New)</t>
  </si>
  <si>
    <t>Blockiert/Wartend</t>
  </si>
  <si>
    <t>Issue-Status</t>
  </si>
  <si>
    <t>Status-Kategorie</t>
  </si>
  <si>
    <t>New</t>
  </si>
  <si>
    <t>Analysed</t>
  </si>
  <si>
    <t>Resume</t>
  </si>
  <si>
    <t>Evaluated</t>
  </si>
  <si>
    <t>Refinement</t>
  </si>
  <si>
    <t>Ready4Progress</t>
  </si>
  <si>
    <t>Blocked</t>
  </si>
  <si>
    <t>Ready4QS</t>
  </si>
  <si>
    <t>Ready4Test</t>
  </si>
  <si>
    <t>In Test</t>
  </si>
  <si>
    <t>Ready4Review</t>
  </si>
  <si>
    <t>Ready4Production</t>
  </si>
  <si>
    <t>Ready4E2E-Test</t>
  </si>
  <si>
    <t>Blockiert/Wartend_Grund</t>
  </si>
  <si>
    <t>Blockiert/Wartend_Zustand</t>
  </si>
  <si>
    <t>TimeInStatusBlocked</t>
  </si>
  <si>
    <t>LeadTime</t>
  </si>
  <si>
    <t>TimeInWIP</t>
  </si>
  <si>
    <t>TimeInActualStatus</t>
  </si>
  <si>
    <t>LoadedFromJiraAt</t>
  </si>
  <si>
    <t>2026_01</t>
  </si>
  <si>
    <t>2025_04</t>
  </si>
  <si>
    <t>2025_03</t>
  </si>
  <si>
    <t>2025_02</t>
  </si>
  <si>
    <t>2025_01</t>
  </si>
  <si>
    <t>issues.key</t>
  </si>
  <si>
    <t>BlockedReason</t>
  </si>
  <si>
    <t>BlockedStart</t>
  </si>
  <si>
    <t>BlockedEnd</t>
  </si>
  <si>
    <t>BlockedDuration</t>
  </si>
  <si>
    <t>BlockedDurationHours</t>
  </si>
  <si>
    <t>2026_02</t>
  </si>
  <si>
    <t>Wie oft in Blocked</t>
  </si>
  <si>
    <t>Abstimmungen mit anderen Teams</t>
  </si>
  <si>
    <t>Externe Abhängigkeiten</t>
  </si>
  <si>
    <t>Abhängigkeit zu anderen Teams</t>
  </si>
  <si>
    <t>Abhängigkeit zu anderen Aufgaben</t>
  </si>
  <si>
    <t>Verzögerte externe Lieferungen</t>
  </si>
  <si>
    <t>Interne Abstimmung / Entscheidung / Termine</t>
  </si>
  <si>
    <t>Blockiert</t>
  </si>
  <si>
    <t>Wartend</t>
  </si>
  <si>
    <t>BlockiertWartendSeit</t>
  </si>
  <si>
    <t>BlockedEndeHilfsSpalte</t>
  </si>
  <si>
    <t>Kurzbeschreibung</t>
  </si>
  <si>
    <t>Stage</t>
  </si>
  <si>
    <t>EPIC-Kategorie</t>
  </si>
  <si>
    <t>BlockedSeq</t>
  </si>
  <si>
    <t/>
  </si>
  <si>
    <t>Rejected</t>
  </si>
  <si>
    <t>Blockiert - Abhängigkeit zu anderen Teams</t>
  </si>
  <si>
    <t>Wartend - Interne Abstimmung / Entscheidung / Termine</t>
  </si>
  <si>
    <t>UNCALLED</t>
  </si>
  <si>
    <t>To Do</t>
  </si>
  <si>
    <t>Done</t>
  </si>
  <si>
    <t>Analysed_first</t>
  </si>
  <si>
    <t>leaving_Analysed_first</t>
  </si>
  <si>
    <t>leaving_Analysed</t>
  </si>
  <si>
    <t>Analysed_Count</t>
  </si>
  <si>
    <t>Blocked_first</t>
  </si>
  <si>
    <t>leaving_Blocked_first</t>
  </si>
  <si>
    <t>leaving_Blocked</t>
  </si>
  <si>
    <t>Blocked_Count</t>
  </si>
  <si>
    <t>Evaluated_first</t>
  </si>
  <si>
    <t>leaving_Evaluated_first</t>
  </si>
  <si>
    <t>leaving_Evaluated</t>
  </si>
  <si>
    <t>Evaluated_Count</t>
  </si>
  <si>
    <t>In Progress_first</t>
  </si>
  <si>
    <t>leaving_In Progress_first</t>
  </si>
  <si>
    <t>leaving_In Progress</t>
  </si>
  <si>
    <t>In Progress_Count</t>
  </si>
  <si>
    <t>In QS</t>
  </si>
  <si>
    <t>In QS_first</t>
  </si>
  <si>
    <t>leaving_In QS_first</t>
  </si>
  <si>
    <t>leaving_In QS</t>
  </si>
  <si>
    <t>In QS_Count</t>
  </si>
  <si>
    <t>In Test_first</t>
  </si>
  <si>
    <t>leaving_In Test_first</t>
  </si>
  <si>
    <t>leaving_In Test</t>
  </si>
  <si>
    <t>In Test_Count</t>
  </si>
  <si>
    <t>New_first</t>
  </si>
  <si>
    <t>leaving_New_first</t>
  </si>
  <si>
    <t>leaving_New</t>
  </si>
  <si>
    <t>New_Count</t>
  </si>
  <si>
    <t>Open_first</t>
  </si>
  <si>
    <t>Open_Count</t>
  </si>
  <si>
    <t>Ready4E2E-Test_first</t>
  </si>
  <si>
    <t>leaving_Ready4E2E-Test_first</t>
  </si>
  <si>
    <t>leaving_Ready4E2E-Test</t>
  </si>
  <si>
    <t>Ready4E2E-Test_Count</t>
  </si>
  <si>
    <t>Ready4Production_first</t>
  </si>
  <si>
    <t>leaving_Ready4Production_first</t>
  </si>
  <si>
    <t>leaving_Ready4Production</t>
  </si>
  <si>
    <t>Ready4Production_Count</t>
  </si>
  <si>
    <t>Ready4Progress_first</t>
  </si>
  <si>
    <t>leaving_Ready4Progress_first</t>
  </si>
  <si>
    <t>leaving_Ready4Progress</t>
  </si>
  <si>
    <t>Ready4Progress_Count</t>
  </si>
  <si>
    <t>Ready4QS_first</t>
  </si>
  <si>
    <t>leaving_Ready4QS_first</t>
  </si>
  <si>
    <t>leaving_Ready4QS</t>
  </si>
  <si>
    <t>Ready4QS_Count</t>
  </si>
  <si>
    <t>Ready4Review_first</t>
  </si>
  <si>
    <t>leaving_Ready4Review_first</t>
  </si>
  <si>
    <t>leaving_Ready4Review</t>
  </si>
  <si>
    <t>Ready4Review_Count</t>
  </si>
  <si>
    <t>Refinement_first</t>
  </si>
  <si>
    <t>leaving_Refinement_first</t>
  </si>
  <si>
    <t>leaving_Refinement</t>
  </si>
  <si>
    <t>Refinement_Count</t>
  </si>
  <si>
    <t>Rejected_first</t>
  </si>
  <si>
    <t>Rejected_Count</t>
  </si>
  <si>
    <t>Resolved_first</t>
  </si>
  <si>
    <t>Resolved_Count</t>
  </si>
  <si>
    <t>Resume_first</t>
  </si>
  <si>
    <t>leaving_Resume_first</t>
  </si>
  <si>
    <t>leaving_Resume</t>
  </si>
  <si>
    <t>Resume_Count</t>
  </si>
  <si>
    <t>Ready4Test_first</t>
  </si>
  <si>
    <t>leaving_Ready4Test_first</t>
  </si>
  <si>
    <t>leaving_Ready4Test</t>
  </si>
  <si>
    <t>Ready4Test_Count</t>
  </si>
  <si>
    <t>Task</t>
  </si>
  <si>
    <t>Bug</t>
  </si>
  <si>
    <t>Story</t>
  </si>
  <si>
    <t>Done_first</t>
  </si>
  <si>
    <t>Done_Count</t>
  </si>
  <si>
    <t>Review</t>
  </si>
  <si>
    <t>Review_first</t>
  </si>
  <si>
    <t>Review_Count</t>
  </si>
  <si>
    <t>To Do_first</t>
  </si>
  <si>
    <t>To Do_Count</t>
  </si>
  <si>
    <t>To be tested</t>
  </si>
  <si>
    <t>To be tested_first</t>
  </si>
  <si>
    <t>To be tested_Count</t>
  </si>
  <si>
    <t>Analyse</t>
  </si>
  <si>
    <t>Call For Ice</t>
  </si>
  <si>
    <t>Closed</t>
  </si>
  <si>
    <t>Commitment</t>
  </si>
  <si>
    <t>Ready for Dev</t>
  </si>
  <si>
    <t>Refined</t>
  </si>
  <si>
    <t>Reopened</t>
  </si>
  <si>
    <t>Story Mapping</t>
  </si>
  <si>
    <t>Validierung</t>
  </si>
  <si>
    <t>Warten</t>
  </si>
  <si>
    <t>Won't Do</t>
  </si>
  <si>
    <t>Won't Fix</t>
  </si>
  <si>
    <t>Konzept / Umsetzung / Test</t>
  </si>
  <si>
    <t>Konzept / Spike</t>
  </si>
  <si>
    <t>Beratung</t>
  </si>
  <si>
    <t>2024_01</t>
  </si>
  <si>
    <t>2024_02</t>
  </si>
  <si>
    <t>2024_03</t>
  </si>
  <si>
    <t>2024_04</t>
  </si>
  <si>
    <t>Wartend - Abstimmungen mit anderen Teams</t>
  </si>
  <si>
    <t>Wartend - Externe Abhängigkeiten</t>
  </si>
  <si>
    <t>DEDETA38-9391</t>
  </si>
  <si>
    <t>Blockiert - Abhängigkeit zu anderen Aufgaben</t>
  </si>
  <si>
    <t>Blockiert - Verzögerte externe Lieferungen</t>
  </si>
  <si>
    <t>DEDETA38-9357</t>
  </si>
  <si>
    <t>DEDETA38-9326</t>
  </si>
  <si>
    <t>DEDETA38-9308</t>
  </si>
  <si>
    <t>DEDETA38-9266</t>
  </si>
  <si>
    <t>DEDETA38-9227</t>
  </si>
  <si>
    <t>DEDETA38-9216</t>
  </si>
  <si>
    <t>DEDETA38-9157</t>
  </si>
  <si>
    <t>DEDETA38-9138</t>
  </si>
  <si>
    <t>DEDETA38-9113</t>
  </si>
  <si>
    <t>DEDETA38-9109</t>
  </si>
  <si>
    <t>DEDETA38-9035</t>
  </si>
  <si>
    <t>Selected</t>
  </si>
  <si>
    <t>Selected_first</t>
  </si>
  <si>
    <t>Selected_Count</t>
  </si>
  <si>
    <t>Validierung_first</t>
  </si>
  <si>
    <t>Validierung_Count</t>
  </si>
  <si>
    <t>Warten_first</t>
  </si>
  <si>
    <t>Warten_Count</t>
  </si>
  <si>
    <t>DEDETA38-9475</t>
  </si>
  <si>
    <t>DEDETA38-9473</t>
  </si>
  <si>
    <t>DEDETA38-9472</t>
  </si>
  <si>
    <t>DEDETA38-9467</t>
  </si>
  <si>
    <t>DEDETA38-9465</t>
  </si>
  <si>
    <t>DEDETA38-9464</t>
  </si>
  <si>
    <t>DEDETA38-9463</t>
  </si>
  <si>
    <t>DEDETA38-9462</t>
  </si>
  <si>
    <t>DEDETA38-9461</t>
  </si>
  <si>
    <t>DEDETA38-9459</t>
  </si>
  <si>
    <t>DEDETA38-9458</t>
  </si>
  <si>
    <t>DEDETA38-9456</t>
  </si>
  <si>
    <t>DEDETA38-9454</t>
  </si>
  <si>
    <t>DEDETA38-9453</t>
  </si>
  <si>
    <t>DEDETA38-9452</t>
  </si>
  <si>
    <t>DEDETA38-9451</t>
  </si>
  <si>
    <t>DEDETA38-9446</t>
  </si>
  <si>
    <t>DEDETA38-9445</t>
  </si>
  <si>
    <t>DEDETA38-9442</t>
  </si>
  <si>
    <t>DEDETA38-9440</t>
  </si>
  <si>
    <t>DEDETA38-9439</t>
  </si>
  <si>
    <t>DEDETA38-9436</t>
  </si>
  <si>
    <t>DEDETA38-9434</t>
  </si>
  <si>
    <t>DEDETA38-9433</t>
  </si>
  <si>
    <t>DEDETA38-9432</t>
  </si>
  <si>
    <t>DEDETA38-9431</t>
  </si>
  <si>
    <t>DEDETA38-9430</t>
  </si>
  <si>
    <t>DEDETA38-9429</t>
  </si>
  <si>
    <t>DEDETA38-9428</t>
  </si>
  <si>
    <t>DEDETA38-9427</t>
  </si>
  <si>
    <t>DEDETA38-9426</t>
  </si>
  <si>
    <t>DEDETA38-9425</t>
  </si>
  <si>
    <t>DEDETA38-9424</t>
  </si>
  <si>
    <t>DEDETA38-9422</t>
  </si>
  <si>
    <t>DEDETA38-9421</t>
  </si>
  <si>
    <t>DEDETA38-9420</t>
  </si>
  <si>
    <t>DEDETA38-9419</t>
  </si>
  <si>
    <t>DEDETA38-9418</t>
  </si>
  <si>
    <t>DEDETA38-9417</t>
  </si>
  <si>
    <t>DEDETA38-9399</t>
  </si>
  <si>
    <t>DEDETA38-9398</t>
  </si>
  <si>
    <t>DEDETA38-9396</t>
  </si>
  <si>
    <t>DEDETA38-9395</t>
  </si>
  <si>
    <t>DEDETA38-9393</t>
  </si>
  <si>
    <t>DEDETA38-9392</t>
  </si>
  <si>
    <t>DEDETA38-9390</t>
  </si>
  <si>
    <t>DEDETA38-9387</t>
  </si>
  <si>
    <t>DEDETA38-9386</t>
  </si>
  <si>
    <t>DEDETA38-9385</t>
  </si>
  <si>
    <t>DEDETA38-9384</t>
  </si>
  <si>
    <t>DEDETA38-9383</t>
  </si>
  <si>
    <t>DEDETA38-9382</t>
  </si>
  <si>
    <t>DEDETA38-9380</t>
  </si>
  <si>
    <t>DEDETA38-9379</t>
  </si>
  <si>
    <t>DEDETA38-9378</t>
  </si>
  <si>
    <t>DEDETA38-9377</t>
  </si>
  <si>
    <t>DEDETA38-9376</t>
  </si>
  <si>
    <t>DEDETA38-9375</t>
  </si>
  <si>
    <t>DEDETA38-9374</t>
  </si>
  <si>
    <t>DEDETA38-9373</t>
  </si>
  <si>
    <t>DEDETA38-9372</t>
  </si>
  <si>
    <t>DEDETA38-9371</t>
  </si>
  <si>
    <t>DEDETA38-9370</t>
  </si>
  <si>
    <t>DEDETA38-9369</t>
  </si>
  <si>
    <t>DEDETA38-9362</t>
  </si>
  <si>
    <t>DEDETA38-9361</t>
  </si>
  <si>
    <t>DEDETA38-9360</t>
  </si>
  <si>
    <t>DEDETA38-9359</t>
  </si>
  <si>
    <t>DEDETA38-9358</t>
  </si>
  <si>
    <t>DEDETA38-9356</t>
  </si>
  <si>
    <t>DEDETA38-9353</t>
  </si>
  <si>
    <t>DEDETA38-9339</t>
  </si>
  <si>
    <t>DEDETA38-9338</t>
  </si>
  <si>
    <t>DEDETA38-9337</t>
  </si>
  <si>
    <t>DEDETA38-9336</t>
  </si>
  <si>
    <t>DEDETA38-9335</t>
  </si>
  <si>
    <t>DEDETA38-9333</t>
  </si>
  <si>
    <t>DEDETA38-9332</t>
  </si>
  <si>
    <t>DEDETA38-9331</t>
  </si>
  <si>
    <t>DEDETA38-9329</t>
  </si>
  <si>
    <t>DEDETA38-9328</t>
  </si>
  <si>
    <t>DEDETA38-9322</t>
  </si>
  <si>
    <t>DEDETA38-9320</t>
  </si>
  <si>
    <t>DEDETA38-9317</t>
  </si>
  <si>
    <t>DEDETA38-9314</t>
  </si>
  <si>
    <t>DEDETA38-9309</t>
  </si>
  <si>
    <t>DEDETA38-9307</t>
  </si>
  <si>
    <t>DEDETA38-9306</t>
  </si>
  <si>
    <t>DEDETA38-9304</t>
  </si>
  <si>
    <t>DEDETA38-9301</t>
  </si>
  <si>
    <t>DEDETA38-9300</t>
  </si>
  <si>
    <t>DEDETA38-9296</t>
  </si>
  <si>
    <t>DEDETA38-9294</t>
  </si>
  <si>
    <t>DEDETA38-9292</t>
  </si>
  <si>
    <t>DEDETA38-9291</t>
  </si>
  <si>
    <t>DEDETA38-9290</t>
  </si>
  <si>
    <t>DEDETA38-9289</t>
  </si>
  <si>
    <t>DEDETA38-9285</t>
  </si>
  <si>
    <t>DEDETA38-9284</t>
  </si>
  <si>
    <t>DEDETA38-9280</t>
  </si>
  <si>
    <t>DEDETA38-9279</t>
  </si>
  <si>
    <t>DEDETA38-9278</t>
  </si>
  <si>
    <t>DEDETA38-9272</t>
  </si>
  <si>
    <t>DEDETA38-9271</t>
  </si>
  <si>
    <t>DEDETA38-9270</t>
  </si>
  <si>
    <t>DEDETA38-9269</t>
  </si>
  <si>
    <t>DEDETA38-9268</t>
  </si>
  <si>
    <t>DEDETA38-9267</t>
  </si>
  <si>
    <t>DEDETA38-9265</t>
  </si>
  <si>
    <t>DEDETA38-9264</t>
  </si>
  <si>
    <t>DEDETA38-9263</t>
  </si>
  <si>
    <t>DEDETA38-9260</t>
  </si>
  <si>
    <t>DEDETA38-9259</t>
  </si>
  <si>
    <t>DEDETA38-9258</t>
  </si>
  <si>
    <t>DEDETA38-9257</t>
  </si>
  <si>
    <t>DEDETA38-9256</t>
  </si>
  <si>
    <t>DEDETA38-9255</t>
  </si>
  <si>
    <t>DEDETA38-9254</t>
  </si>
  <si>
    <t>DEDETA38-9253</t>
  </si>
  <si>
    <t>DEDETA38-9250</t>
  </si>
  <si>
    <t>DEDETA38-9249</t>
  </si>
  <si>
    <t>DEDETA38-9248</t>
  </si>
  <si>
    <t>DEDETA38-9247</t>
  </si>
  <si>
    <t>DEDETA38-9246</t>
  </si>
  <si>
    <t>DEDETA38-9245</t>
  </si>
  <si>
    <t>DEDETA38-9243</t>
  </si>
  <si>
    <t>DEDETA38-9242</t>
  </si>
  <si>
    <t>DEDETA38-9241</t>
  </si>
  <si>
    <t>DEDETA38-9240</t>
  </si>
  <si>
    <t>DEDETA38-9239</t>
  </si>
  <si>
    <t>DEDETA38-9238</t>
  </si>
  <si>
    <t>DEDETA38-9237</t>
  </si>
  <si>
    <t>DEDETA38-9236</t>
  </si>
  <si>
    <t>DEDETA38-9235</t>
  </si>
  <si>
    <t>DEDETA38-9233</t>
  </si>
  <si>
    <t>DEDETA38-9232</t>
  </si>
  <si>
    <t>DEDETA38-9231</t>
  </si>
  <si>
    <t>DEDETA38-9226</t>
  </si>
  <si>
    <t>DEDETA38-9224</t>
  </si>
  <si>
    <t>DEDETA38-9223</t>
  </si>
  <si>
    <t>DEDETA38-9219</t>
  </si>
  <si>
    <t>DEDETA38-9218</t>
  </si>
  <si>
    <t>DEDETA38-9217</t>
  </si>
  <si>
    <t>DEDETA38-9215</t>
  </si>
  <si>
    <t>DEDETA38-9213</t>
  </si>
  <si>
    <t>DEDETA38-9212</t>
  </si>
  <si>
    <t>DEDETA38-9210</t>
  </si>
  <si>
    <t>DEDETA38-9207</t>
  </si>
  <si>
    <t>DEDETA38-9206</t>
  </si>
  <si>
    <t>DEDETA38-9205</t>
  </si>
  <si>
    <t>DEDETA38-9204</t>
  </si>
  <si>
    <t>DEDETA38-9203</t>
  </si>
  <si>
    <t>DEDETA38-9202</t>
  </si>
  <si>
    <t>DEDETA38-9201</t>
  </si>
  <si>
    <t>DEDETA38-9200</t>
  </si>
  <si>
    <t>DEDETA38-9198</t>
  </si>
  <si>
    <t>DEDETA38-9192</t>
  </si>
  <si>
    <t>DEDETA38-9186</t>
  </si>
  <si>
    <t>DEDETA38-9185</t>
  </si>
  <si>
    <t>DEDETA38-9184</t>
  </si>
  <si>
    <t>DEDETA38-9178</t>
  </si>
  <si>
    <t>DEDETA38-9177</t>
  </si>
  <si>
    <t>DEDETA38-9173</t>
  </si>
  <si>
    <t>DEDETA38-9172</t>
  </si>
  <si>
    <t>DEDETA38-9171</t>
  </si>
  <si>
    <t>DEDETA38-9169</t>
  </si>
  <si>
    <t>DEDETA38-9168</t>
  </si>
  <si>
    <t>DEDETA38-9167</t>
  </si>
  <si>
    <t>DEDETA38-9164</t>
  </si>
  <si>
    <t>DEDETA38-9161</t>
  </si>
  <si>
    <t>DEDETA38-9156</t>
  </si>
  <si>
    <t>DEDETA38-9154</t>
  </si>
  <si>
    <t>DEDETA38-9150</t>
  </si>
  <si>
    <t>DEDETA38-9148</t>
  </si>
  <si>
    <t>DEDETA38-9147</t>
  </si>
  <si>
    <t>DEDETA38-9146</t>
  </si>
  <si>
    <t>DEDETA38-9143</t>
  </si>
  <si>
    <t>DEDETA38-9140</t>
  </si>
  <si>
    <t>DEDETA38-9139</t>
  </si>
  <si>
    <t>DEDETA38-9137</t>
  </si>
  <si>
    <t>DEDETA38-9135</t>
  </si>
  <si>
    <t>DEDETA38-9134</t>
  </si>
  <si>
    <t>DEDETA38-9133</t>
  </si>
  <si>
    <t>DEDETA38-9112</t>
  </si>
  <si>
    <t>DEDETA38-9111</t>
  </si>
  <si>
    <t>DEDETA38-9110</t>
  </si>
  <si>
    <t>DEDETA38-9108</t>
  </si>
  <si>
    <t>DEDETA38-9107</t>
  </si>
  <si>
    <t>DEDETA38-9106</t>
  </si>
  <si>
    <t>DEDETA38-9104</t>
  </si>
  <si>
    <t>DEDETA38-9101</t>
  </si>
  <si>
    <t>DEDETA38-9100</t>
  </si>
  <si>
    <t>DEDETA38-9097</t>
  </si>
  <si>
    <t>DEDETA38-9096</t>
  </si>
  <si>
    <t>DEDETA38-9095</t>
  </si>
  <si>
    <t>DEDETA38-9094</t>
  </si>
  <si>
    <t>DEDETA38-9093</t>
  </si>
  <si>
    <t>DEDETA38-9092</t>
  </si>
  <si>
    <t>DEDETA38-9089</t>
  </si>
  <si>
    <t>DEDETA38-9088</t>
  </si>
  <si>
    <t>DEDETA38-9087</t>
  </si>
  <si>
    <t>DEDETA38-9086</t>
  </si>
  <si>
    <t>DEDETA38-9085</t>
  </si>
  <si>
    <t>DEDETA38-9084</t>
  </si>
  <si>
    <t>DEDETA38-9083</t>
  </si>
  <si>
    <t>DEDETA38-9082</t>
  </si>
  <si>
    <t>DEDETA38-9081</t>
  </si>
  <si>
    <t>DEDETA38-9080</t>
  </si>
  <si>
    <t>DEDETA38-9079</t>
  </si>
  <si>
    <t>DEDETA38-9078</t>
  </si>
  <si>
    <t>DEDETA38-9077</t>
  </si>
  <si>
    <t>DEDETA38-9076</t>
  </si>
  <si>
    <t>DEDETA38-9070</t>
  </si>
  <si>
    <t>DEDETA38-9066</t>
  </si>
  <si>
    <t>DEDETA38-9063</t>
  </si>
  <si>
    <t>DEDETA38-9060</t>
  </si>
  <si>
    <t>DEDETA38-9057</t>
  </si>
  <si>
    <t>DEDETA38-9056</t>
  </si>
  <si>
    <t>DEDETA38-9055</t>
  </si>
  <si>
    <t>DEDETA38-9054</t>
  </si>
  <si>
    <t>DEDETA38-9053</t>
  </si>
  <si>
    <t>DEDETA38-9050</t>
  </si>
  <si>
    <t>DEDETA38-9045</t>
  </si>
  <si>
    <t>DEDETA38-9044</t>
  </si>
  <si>
    <t>DEDETA38-9043</t>
  </si>
  <si>
    <t>DEDETA38-9042</t>
  </si>
  <si>
    <t>DEDETA38-9041</t>
  </si>
  <si>
    <t>DEDETA38-9040</t>
  </si>
  <si>
    <t>DEDETA38-9039</t>
  </si>
  <si>
    <t>DEDETA38-9038</t>
  </si>
  <si>
    <t>DEDETA38-9037</t>
  </si>
  <si>
    <t>DEDETA38-9036</t>
  </si>
  <si>
    <t>DEDETA38-9034</t>
  </si>
  <si>
    <t>DEDETA38-9033</t>
  </si>
  <si>
    <t>DEDETA38-9030</t>
  </si>
  <si>
    <t>DEDETA38-9029</t>
  </si>
  <si>
    <t>DEDETA38-9017</t>
  </si>
  <si>
    <t>DEDETA38-9016</t>
  </si>
  <si>
    <t>DEDETA38-9015</t>
  </si>
  <si>
    <t>DEDETA38-9014</t>
  </si>
  <si>
    <t>DEDETA38-9013</t>
  </si>
  <si>
    <t>DEDETA38-9008</t>
  </si>
  <si>
    <t>DEDETA38-9007</t>
  </si>
  <si>
    <t>DEDETA38-9004</t>
  </si>
  <si>
    <t>DEDETA38-9002</t>
  </si>
  <si>
    <t>DEDETA38-9001</t>
  </si>
  <si>
    <t>DEDETA38-8999</t>
  </si>
  <si>
    <t>DEDETA38-8998</t>
  </si>
  <si>
    <t>DEDETA38-8997</t>
  </si>
  <si>
    <t>DEDETA38-8996</t>
  </si>
  <si>
    <t>DEDETA38-8995</t>
  </si>
  <si>
    <t>DEDETA38-8994</t>
  </si>
  <si>
    <t>DEDETA38-8993</t>
  </si>
  <si>
    <t>DEDETA38-8992</t>
  </si>
  <si>
    <t>DEDETA38-8989</t>
  </si>
  <si>
    <t>DEDETA38-8988</t>
  </si>
  <si>
    <t>DEDETA38-8987</t>
  </si>
  <si>
    <t>DEDETA38-8981</t>
  </si>
  <si>
    <t>DEDETA38-8980</t>
  </si>
  <si>
    <t>DEDETA38-8979</t>
  </si>
  <si>
    <t>DEDETA38-8977</t>
  </si>
  <si>
    <t>DEDETA38-8976</t>
  </si>
  <si>
    <t>DEDETA38-8975</t>
  </si>
  <si>
    <t>DEDETA38-8974</t>
  </si>
  <si>
    <t>DEDETA38-8971</t>
  </si>
  <si>
    <t>DEDETA38-8970</t>
  </si>
  <si>
    <t>DEDETA38-8969</t>
  </si>
  <si>
    <t>DEDETA38-8968</t>
  </si>
  <si>
    <t>DEDETA38-8967</t>
  </si>
  <si>
    <t>DEDETA38-8963</t>
  </si>
  <si>
    <t>DEDETA38-8958</t>
  </si>
  <si>
    <t>DEDETA38-8957</t>
  </si>
  <si>
    <t>DEDETA38-8954</t>
  </si>
  <si>
    <t>DEDETA38-8953</t>
  </si>
  <si>
    <t>DEDETA38-8952</t>
  </si>
  <si>
    <t>DEDETA38-8949</t>
  </si>
  <si>
    <t>DEDETA38-8947</t>
  </si>
  <si>
    <t>DEDETA38-8940</t>
  </si>
  <si>
    <t>DEDETA38-8939</t>
  </si>
  <si>
    <t>DEDETA38-8938</t>
  </si>
  <si>
    <t>DEDETA38-8935</t>
  </si>
  <si>
    <t>DEDETA38-8934</t>
  </si>
  <si>
    <t>DEDETA38-8931</t>
  </si>
  <si>
    <t>DEDETA38-8930</t>
  </si>
  <si>
    <t>DEDETA38-8928</t>
  </si>
  <si>
    <t>DEDETA38-8926</t>
  </si>
  <si>
    <t>DEDETA38-8923</t>
  </si>
  <si>
    <t>DEDETA38-8922</t>
  </si>
  <si>
    <t>DEDETA38-8921</t>
  </si>
  <si>
    <t>DEDETA38-8920</t>
  </si>
  <si>
    <t>DEDETA38-8918</t>
  </si>
  <si>
    <t>DEDETA38-8917</t>
  </si>
  <si>
    <t>DEDETA38-8916</t>
  </si>
  <si>
    <t>DEDETA38-8915</t>
  </si>
  <si>
    <t>DEDETA38-8914</t>
  </si>
  <si>
    <t>DEDETA38-8913</t>
  </si>
  <si>
    <t>DEDETA38-8912</t>
  </si>
  <si>
    <t>DEDETA38-8911</t>
  </si>
  <si>
    <t>DEDETA38-8907</t>
  </si>
  <si>
    <t>DEDETA38-8906</t>
  </si>
  <si>
    <t>DEDETA38-8905</t>
  </si>
  <si>
    <t>DEDETA38-8904</t>
  </si>
  <si>
    <t>DEDETA38-8903</t>
  </si>
  <si>
    <t>DEDETA38-8902</t>
  </si>
  <si>
    <t>DEDETA38-8901</t>
  </si>
  <si>
    <t>DEDETA38-8900</t>
  </si>
  <si>
    <t>DEDETA38-8899</t>
  </si>
  <si>
    <t>DEDETA38-8894</t>
  </si>
  <si>
    <t>DEDETA38-8893</t>
  </si>
  <si>
    <t>DEDETA38-8892</t>
  </si>
  <si>
    <t>DEDETA38-8891</t>
  </si>
  <si>
    <t>DEDETA38-8888</t>
  </si>
  <si>
    <t>DEDETA38-8887</t>
  </si>
  <si>
    <t>DEDETA38-8886</t>
  </si>
  <si>
    <t>DEDETA38-8885</t>
  </si>
  <si>
    <t>DEDETA38-8880</t>
  </si>
  <si>
    <t>DEDETA38-8879</t>
  </si>
  <si>
    <t>DEDETA38-8874</t>
  </si>
  <si>
    <t>DEDETA38-8862</t>
  </si>
  <si>
    <t>DEDETA38-8861</t>
  </si>
  <si>
    <t>DEDETA38-8860</t>
  </si>
  <si>
    <t>DEDETA38-8859</t>
  </si>
  <si>
    <t>DEDETA38-8856</t>
  </si>
  <si>
    <t>DEDETA38-8855</t>
  </si>
  <si>
    <t>DEDETA38-8854</t>
  </si>
  <si>
    <t>DEDETA38-8853</t>
  </si>
  <si>
    <t>DEDETA38-8851</t>
  </si>
  <si>
    <t>DEDETA38-8846</t>
  </si>
  <si>
    <t>DEDETA38-8845</t>
  </si>
  <si>
    <t>DEDETA38-8843</t>
  </si>
  <si>
    <t>DEDETA38-8842</t>
  </si>
  <si>
    <t>DEDETA38-8841</t>
  </si>
  <si>
    <t>DEDETA38-8840</t>
  </si>
  <si>
    <t>DEDETA38-8839</t>
  </si>
  <si>
    <t>DEDETA38-8838</t>
  </si>
  <si>
    <t>DEDETA38-8837</t>
  </si>
  <si>
    <t>DEDETA38-8836</t>
  </si>
  <si>
    <t>DEDETA38-8834</t>
  </si>
  <si>
    <t>DEDETA38-8833</t>
  </si>
  <si>
    <t>DEDETA38-8830</t>
  </si>
  <si>
    <t>DEDETA38-8829</t>
  </si>
  <si>
    <t>DEDETA38-8828</t>
  </si>
  <si>
    <t>DEDETA38-8827</t>
  </si>
  <si>
    <t>DEDETA38-8826</t>
  </si>
  <si>
    <t>DEDETA38-8825</t>
  </si>
  <si>
    <t>DEDETA38-8823</t>
  </si>
  <si>
    <t>DEDETA38-8822</t>
  </si>
  <si>
    <t>DEDETA38-8821</t>
  </si>
  <si>
    <t>DEDETA38-8813</t>
  </si>
  <si>
    <t>DEDETA38-8812</t>
  </si>
  <si>
    <t>DEDETA38-8811</t>
  </si>
  <si>
    <t>DEDETA38-8808</t>
  </si>
  <si>
    <t>DEDETA38-8807</t>
  </si>
  <si>
    <t>DEDETA38-8806</t>
  </si>
  <si>
    <t>DEDETA38-8799</t>
  </si>
  <si>
    <t>DEDETA38-8798</t>
  </si>
  <si>
    <t>DEDETA38-8797</t>
  </si>
  <si>
    <t>DEDETA38-8793</t>
  </si>
  <si>
    <t>DEDETA38-8789</t>
  </si>
  <si>
    <t>DEDETA38-8788</t>
  </si>
  <si>
    <t>DEDETA38-8787</t>
  </si>
  <si>
    <t>DEDETA38-8786</t>
  </si>
  <si>
    <t>DEDETA38-8782</t>
  </si>
  <si>
    <t>DEDETA38-8781</t>
  </si>
  <si>
    <t>DEDETA38-8774</t>
  </si>
  <si>
    <t>DEDETA38-8773</t>
  </si>
  <si>
    <t>DEDETA38-8772</t>
  </si>
  <si>
    <t>DEDETA38-8763</t>
  </si>
  <si>
    <t>DEDETA38-8762</t>
  </si>
  <si>
    <t>DEDETA38-8759</t>
  </si>
  <si>
    <t>DEDETA38-8758</t>
  </si>
  <si>
    <t>DEDETA38-8757</t>
  </si>
  <si>
    <t>DEDETA38-8756</t>
  </si>
  <si>
    <t>DEDETA38-8754</t>
  </si>
  <si>
    <t>DEDETA38-8748</t>
  </si>
  <si>
    <t>DEDETA38-8746</t>
  </si>
  <si>
    <t>DEDETA38-8745</t>
  </si>
  <si>
    <t>DEDETA38-8744</t>
  </si>
  <si>
    <t>DEDETA38-8742</t>
  </si>
  <si>
    <t>DEDETA38-8741</t>
  </si>
  <si>
    <t>DEDETA38-8738</t>
  </si>
  <si>
    <t>DEDETA38-8735</t>
  </si>
  <si>
    <t>DEDETA38-8730</t>
  </si>
  <si>
    <t>DEDETA38-8728</t>
  </si>
  <si>
    <t>DEDETA38-8727</t>
  </si>
  <si>
    <t>DEDETA38-8721</t>
  </si>
  <si>
    <t>DEDETA38-8719</t>
  </si>
  <si>
    <t>DEDETA38-8715</t>
  </si>
  <si>
    <t>DEDETA38-8714</t>
  </si>
  <si>
    <t>DEDETA38-8708</t>
  </si>
  <si>
    <t>DEDETA38-8707</t>
  </si>
  <si>
    <t>DEDETA38-8706</t>
  </si>
  <si>
    <t>DEDETA38-8705</t>
  </si>
  <si>
    <t>DEDETA38-8700</t>
  </si>
  <si>
    <t>DEDETA38-8699</t>
  </si>
  <si>
    <t>DEDETA38-8698</t>
  </si>
  <si>
    <t>DEDETA38-8697</t>
  </si>
  <si>
    <t>DEDETA38-8696</t>
  </si>
  <si>
    <t>DEDETA38-8695</t>
  </si>
  <si>
    <t>DEDETA38-8693</t>
  </si>
  <si>
    <t>DEDETA38-8692</t>
  </si>
  <si>
    <t>DEDETA38-8691</t>
  </si>
  <si>
    <t>DEDETA38-8690</t>
  </si>
  <si>
    <t>DEDETA38-8689</t>
  </si>
  <si>
    <t>DEDETA38-8688</t>
  </si>
  <si>
    <t>DEDETA38-8687</t>
  </si>
  <si>
    <t>DEDETA38-8686</t>
  </si>
  <si>
    <t>DEDETA38-8685</t>
  </si>
  <si>
    <t>DEDETA38-8684</t>
  </si>
  <si>
    <t>DEDETA38-8683</t>
  </si>
  <si>
    <t>DEDETA38-8682</t>
  </si>
  <si>
    <t>DEDETA38-8679</t>
  </si>
  <si>
    <t>DEDETA38-8678</t>
  </si>
  <si>
    <t>DEDETA38-8676</t>
  </si>
  <si>
    <t>DEDETA38-8670</t>
  </si>
  <si>
    <t>DEDETA38-8656</t>
  </si>
  <si>
    <t>DEDETA38-8653</t>
  </si>
  <si>
    <t>DEDETA38-8650</t>
  </si>
  <si>
    <t>DEDETA38-8646</t>
  </si>
  <si>
    <t>DEDETA38-8645</t>
  </si>
  <si>
    <t>DEDETA38-8624</t>
  </si>
  <si>
    <t>DEDETA38-8623</t>
  </si>
  <si>
    <t>DEDETA38-8622</t>
  </si>
  <si>
    <t>DEDETA38-8621</t>
  </si>
  <si>
    <t>DEDETA38-8620</t>
  </si>
  <si>
    <t>DEDETA38-8619</t>
  </si>
  <si>
    <t>DEDETA38-8618</t>
  </si>
  <si>
    <t>DEDETA38-8617</t>
  </si>
  <si>
    <t>DEDETA38-8615</t>
  </si>
  <si>
    <t>DEDETA38-8614</t>
  </si>
  <si>
    <t>DEDETA38-8613</t>
  </si>
  <si>
    <t>DEDETA38-8612</t>
  </si>
  <si>
    <t>DEDETA38-8608</t>
  </si>
  <si>
    <t>DEDETA38-8605</t>
  </si>
  <si>
    <t>DEDETA38-8603</t>
  </si>
  <si>
    <t>DEDETA38-8601</t>
  </si>
  <si>
    <t>DEDETA38-8599</t>
  </si>
  <si>
    <t>DEDETA38-8598</t>
  </si>
  <si>
    <t>DEDETA38-8597</t>
  </si>
  <si>
    <t>DEDETA38-8590</t>
  </si>
  <si>
    <t>DEDETA38-8586</t>
  </si>
  <si>
    <t>DEDETA38-8585</t>
  </si>
  <si>
    <t>DEDETA38-8584</t>
  </si>
  <si>
    <t>DEDETA38-8582</t>
  </si>
  <si>
    <t>DEDETA38-8581</t>
  </si>
  <si>
    <t>DEDETA38-8579</t>
  </si>
  <si>
    <t>DEDETA38-8578</t>
  </si>
  <si>
    <t>DEDETA38-8577</t>
  </si>
  <si>
    <t>DEDETA38-8575</t>
  </si>
  <si>
    <t>DEDETA38-8574</t>
  </si>
  <si>
    <t>DEDETA38-8565</t>
  </si>
  <si>
    <t>DEDETA38-8564</t>
  </si>
  <si>
    <t>DEDETA38-8563</t>
  </si>
  <si>
    <t>DEDETA38-8562</t>
  </si>
  <si>
    <t>DEDETA38-8557</t>
  </si>
  <si>
    <t>DEDETA38-8556</t>
  </si>
  <si>
    <t>DEDETA38-8555</t>
  </si>
  <si>
    <t>DEDETA38-8551</t>
  </si>
  <si>
    <t>DEDETA38-8550</t>
  </si>
  <si>
    <t>DEDETA38-8549</t>
  </si>
  <si>
    <t>DEDETA38-8548</t>
  </si>
  <si>
    <t>DEDETA38-8542</t>
  </si>
  <si>
    <t>DEDETA38-8540</t>
  </si>
  <si>
    <t>DEDETA38-8539</t>
  </si>
  <si>
    <t>DEDETA38-8538</t>
  </si>
  <si>
    <t>DEDETA38-8536</t>
  </si>
  <si>
    <t>DEDETA38-8535</t>
  </si>
  <si>
    <t>DEDETA38-8533</t>
  </si>
  <si>
    <t>DEDETA38-8532</t>
  </si>
  <si>
    <t>DEDETA38-8530</t>
  </si>
  <si>
    <t>DEDETA38-8529</t>
  </si>
  <si>
    <t>DEDETA38-8528</t>
  </si>
  <si>
    <t>DEDETA38-8524</t>
  </si>
  <si>
    <t>DEDETA38-8523</t>
  </si>
  <si>
    <t>DEDETA38-8522</t>
  </si>
  <si>
    <t>DEDETA38-8519</t>
  </si>
  <si>
    <t>DEDETA38-8518</t>
  </si>
  <si>
    <t>DEDETA38-8517</t>
  </si>
  <si>
    <t>DEDETA38-8514</t>
  </si>
  <si>
    <t>DEDETA38-8504</t>
  </si>
  <si>
    <t>DEDETA38-8498</t>
  </si>
  <si>
    <t>DEDETA38-8495</t>
  </si>
  <si>
    <t>DEDETA38-8494</t>
  </si>
  <si>
    <t>DEDETA38-8493</t>
  </si>
  <si>
    <t>DEDETA38-8489</t>
  </si>
  <si>
    <t>DEDETA38-8488</t>
  </si>
  <si>
    <t>DEDETA38-8487</t>
  </si>
  <si>
    <t>DEDETA38-8486</t>
  </si>
  <si>
    <t>DEDETA38-8485</t>
  </si>
  <si>
    <t>DEDETA38-8484</t>
  </si>
  <si>
    <t>DEDETA38-8483</t>
  </si>
  <si>
    <t>DEDETA38-8482</t>
  </si>
  <si>
    <t>DEDETA38-8481</t>
  </si>
  <si>
    <t>DEDETA38-8480</t>
  </si>
  <si>
    <t>DEDETA38-8479</t>
  </si>
  <si>
    <t>DEDETA38-8478</t>
  </si>
  <si>
    <t>DEDETA38-8473</t>
  </si>
  <si>
    <t>DEDETA38-8471</t>
  </si>
  <si>
    <t>DEDETA38-8470</t>
  </si>
  <si>
    <t>DEDETA38-8469</t>
  </si>
  <si>
    <t>DEDETA38-8468</t>
  </si>
  <si>
    <t>DEDETA38-8467</t>
  </si>
  <si>
    <t>DEDETA38-8466</t>
  </si>
  <si>
    <t>DEDETA38-8465</t>
  </si>
  <si>
    <t>DEDETA38-8464</t>
  </si>
  <si>
    <t>DEDETA38-8463</t>
  </si>
  <si>
    <t>DEDETA38-8462</t>
  </si>
  <si>
    <t>DEDETA38-8459</t>
  </si>
  <si>
    <t>DEDETA38-8455</t>
  </si>
  <si>
    <t>DEDETA38-8454</t>
  </si>
  <si>
    <t>DEDETA38-8453</t>
  </si>
  <si>
    <t>DEDETA38-8446</t>
  </si>
  <si>
    <t>DEDETA38-8445</t>
  </si>
  <si>
    <t>DEDETA38-8444</t>
  </si>
  <si>
    <t>DEDETA38-8440</t>
  </si>
  <si>
    <t>DEDETA38-8439</t>
  </si>
  <si>
    <t>DEDETA38-8438</t>
  </si>
  <si>
    <t>DEDETA38-8435</t>
  </si>
  <si>
    <t>DEDETA38-8430</t>
  </si>
  <si>
    <t>DEDETA38-8429</t>
  </si>
  <si>
    <t>DEDETA38-8424</t>
  </si>
  <si>
    <t>DEDETA38-8422</t>
  </si>
  <si>
    <t>DEDETA38-8421</t>
  </si>
  <si>
    <t>DEDETA38-8414</t>
  </si>
  <si>
    <t>DEDETA38-8411</t>
  </si>
  <si>
    <t>DEDETA38-8410</t>
  </si>
  <si>
    <t>DEDETA38-8407</t>
  </si>
  <si>
    <t>DEDETA38-8406</t>
  </si>
  <si>
    <t>DEDETA38-8405</t>
  </si>
  <si>
    <t>DEDETA38-8404</t>
  </si>
  <si>
    <t>DEDETA38-8400</t>
  </si>
  <si>
    <t>DEDETA38-8399</t>
  </si>
  <si>
    <t>DEDETA38-8394</t>
  </si>
  <si>
    <t>DEDETA38-8390</t>
  </si>
  <si>
    <t>DEDETA38-8384</t>
  </si>
  <si>
    <t>DEDETA38-8383</t>
  </si>
  <si>
    <t>DEDETA38-8379</t>
  </si>
  <si>
    <t>DEDETA38-8376</t>
  </si>
  <si>
    <t>DEDETA38-8369</t>
  </si>
  <si>
    <t>DEDETA38-8358</t>
  </si>
  <si>
    <t>DEDETA38-8356</t>
  </si>
  <si>
    <t>DEDETA38-8328</t>
  </si>
  <si>
    <t>DEDETA38-8314</t>
  </si>
  <si>
    <t>DEDETA38-8284</t>
  </si>
  <si>
    <t>DEDETA38-8282</t>
  </si>
  <si>
    <t>DEDETA38-8280</t>
  </si>
  <si>
    <t>DEDETA38-8279</t>
  </si>
  <si>
    <t>DEDETA38-8224</t>
  </si>
  <si>
    <t>DEDETA38-8193</t>
  </si>
  <si>
    <t>DEDETA38-8163</t>
  </si>
  <si>
    <t>DEDETA38-8156</t>
  </si>
  <si>
    <t>DEDETA38-8141</t>
  </si>
  <si>
    <t>DEDETA38-8135</t>
  </si>
  <si>
    <t>DEDETA38-8127</t>
  </si>
  <si>
    <t>DEDETA38-8126</t>
  </si>
  <si>
    <t>DEDETA38-8124</t>
  </si>
  <si>
    <t>DEDETA38-8123</t>
  </si>
  <si>
    <t>DEDETA38-8118</t>
  </si>
  <si>
    <t>DEDETA38-8109</t>
  </si>
  <si>
    <t>DEDETA38-8090</t>
  </si>
  <si>
    <t>DEDETA38-8089</t>
  </si>
  <si>
    <t>DEDETA38-8071</t>
  </si>
  <si>
    <t>DEDETA38-8070</t>
  </si>
  <si>
    <t>DEDETA38-8069</t>
  </si>
  <si>
    <t>DEDETA38-8067</t>
  </si>
  <si>
    <t>DEDETA38-8066</t>
  </si>
  <si>
    <t>DEDETA38-8062</t>
  </si>
  <si>
    <t>DEDETA38-8060</t>
  </si>
  <si>
    <t>DEDETA38-8055</t>
  </si>
  <si>
    <t>DEDETA38-8020</t>
  </si>
  <si>
    <t>DEDETA38-8014</t>
  </si>
  <si>
    <t>DEDETA38-8011</t>
  </si>
  <si>
    <t>DEDETA38-8009</t>
  </si>
  <si>
    <t>DEDETA38-7979</t>
  </si>
  <si>
    <t>DEDETA38-7964</t>
  </si>
  <si>
    <t>DEDETA38-7963</t>
  </si>
  <si>
    <t>DEDETA38-7962</t>
  </si>
  <si>
    <t>DEDETA38-7961</t>
  </si>
  <si>
    <t>DEDETA38-7960</t>
  </si>
  <si>
    <t>DEDETA38-7959</t>
  </si>
  <si>
    <t>DEDETA38-7927</t>
  </si>
  <si>
    <t>DEDETA38-7903</t>
  </si>
  <si>
    <t>DEDETA38-7902</t>
  </si>
  <si>
    <t>DEDETA38-7894</t>
  </si>
  <si>
    <t>DEDETA38-7893</t>
  </si>
  <si>
    <t>DEDETA38-7891</t>
  </si>
  <si>
    <t>DEDETA38-7871</t>
  </si>
  <si>
    <t>DEDETA38-7868</t>
  </si>
  <si>
    <t>DEDETA38-7862</t>
  </si>
  <si>
    <t>DEDETA38-7856</t>
  </si>
  <si>
    <t>DEDETA38-7855</t>
  </si>
  <si>
    <t>DEDETA38-7843</t>
  </si>
  <si>
    <t>DEDETA38-7834</t>
  </si>
  <si>
    <t>DEDETA38-7808</t>
  </si>
  <si>
    <t>DEDETA38-7795</t>
  </si>
  <si>
    <t>DEDETA38-7747</t>
  </si>
  <si>
    <t>DEDETA38-7688</t>
  </si>
  <si>
    <t>DEDETA38-7686</t>
  </si>
  <si>
    <t>DEDETA38-7684</t>
  </si>
  <si>
    <t>DEDETA38-7661</t>
  </si>
  <si>
    <t>DEDETA38-7609</t>
  </si>
  <si>
    <t>DEDETA38-7581</t>
  </si>
  <si>
    <t>DEDETA38-7555</t>
  </si>
  <si>
    <t>DEDETA38-7531</t>
  </si>
  <si>
    <t>DEDETA38-7529</t>
  </si>
  <si>
    <t>DEDETA38-7507</t>
  </si>
  <si>
    <t>DEDETA38-7504</t>
  </si>
  <si>
    <t>DEDETA38-7503</t>
  </si>
  <si>
    <t>DEDETA38-7491</t>
  </si>
  <si>
    <t>DEDETA38-7436</t>
  </si>
  <si>
    <t>DEDETA38-7397</t>
  </si>
  <si>
    <t>DEDETA38-7385</t>
  </si>
  <si>
    <t>DEDETA38-7292</t>
  </si>
  <si>
    <t>DEDETA38-7284</t>
  </si>
  <si>
    <t>DEDETA38-7280</t>
  </si>
  <si>
    <t>DEDETA38-7278</t>
  </si>
  <si>
    <t>DEDETA38-7259</t>
  </si>
  <si>
    <t>DEDETA38-7240</t>
  </si>
  <si>
    <t>DEDETA38-7217</t>
  </si>
  <si>
    <t>DEDETA38-7117</t>
  </si>
  <si>
    <t>DEDETA38-7085</t>
  </si>
  <si>
    <t>DEDETA38-7070</t>
  </si>
  <si>
    <t>DEDETA38-6996</t>
  </si>
  <si>
    <t>DEDETA38-6995</t>
  </si>
  <si>
    <t>DEDETA38-6994</t>
  </si>
  <si>
    <t>DEDETA38-6993</t>
  </si>
  <si>
    <t>DEDETA38-6990</t>
  </si>
  <si>
    <t>DEDETA38-6989</t>
  </si>
  <si>
    <t>DEDETA38-6988</t>
  </si>
  <si>
    <t>DEDETA38-6984</t>
  </si>
  <si>
    <t>DEDETA38-6983</t>
  </si>
  <si>
    <t>DEDETA38-6975</t>
  </si>
  <si>
    <t>DEDETA38-6939</t>
  </si>
  <si>
    <t>DEDETA38-6933</t>
  </si>
  <si>
    <t>DEDETA38-6921</t>
  </si>
  <si>
    <t>DEDETA38-6919</t>
  </si>
  <si>
    <t>DEDETA38-6911</t>
  </si>
  <si>
    <t>DEDETA38-6905</t>
  </si>
  <si>
    <t>DEDETA38-6904</t>
  </si>
  <si>
    <t>DEDETA38-6903</t>
  </si>
  <si>
    <t>DEDETA38-6898</t>
  </si>
  <si>
    <t>DEDETA38-6896</t>
  </si>
  <si>
    <t>DEDETA38-6895</t>
  </si>
  <si>
    <t>DEDETA38-6861</t>
  </si>
  <si>
    <t>DEDETA38-6860</t>
  </si>
  <si>
    <t>DEDETA38-6836</t>
  </si>
  <si>
    <t>DEDETA38-6785</t>
  </si>
  <si>
    <t>DEDETA38-6737</t>
  </si>
  <si>
    <t>DEDETA38-6716</t>
  </si>
  <si>
    <t>DEDETA38-6715</t>
  </si>
  <si>
    <t>DEDETA38-6706</t>
  </si>
  <si>
    <t>DEDETA38-6668</t>
  </si>
  <si>
    <t>DEDETA38-6637</t>
  </si>
  <si>
    <t>DEDETA38-6591</t>
  </si>
  <si>
    <t>DEDETA38-6540</t>
  </si>
  <si>
    <t>DEDETA38-6529</t>
  </si>
  <si>
    <t>DEDETA38-6527</t>
  </si>
  <si>
    <t>DEDETA38-6523</t>
  </si>
  <si>
    <t>DEDETA38-6503</t>
  </si>
  <si>
    <t>DEDETA38-6392</t>
  </si>
  <si>
    <t>DEDETA38-6336</t>
  </si>
  <si>
    <t>DEDETA38-6193</t>
  </si>
  <si>
    <t>DEDETA38-6183</t>
  </si>
  <si>
    <t>DEDETA38-6109</t>
  </si>
  <si>
    <t>DEDETA38-6046</t>
  </si>
  <si>
    <t>DEDETA38-6041</t>
  </si>
  <si>
    <t>DEDETA38-6032</t>
  </si>
  <si>
    <t>DEDETA38-6018</t>
  </si>
  <si>
    <t>DEDETA38-5726</t>
  </si>
  <si>
    <t>DEDETA38-5717</t>
  </si>
  <si>
    <t>DEDETA38-5673</t>
  </si>
  <si>
    <t>DEDETA38-5556</t>
  </si>
  <si>
    <t>DEDETA38-5535</t>
  </si>
  <si>
    <t>DEDETA38-5534</t>
  </si>
  <si>
    <t>DEDETA38-5487</t>
  </si>
  <si>
    <t>DEDETA38-5485</t>
  </si>
  <si>
    <t>DEDETA38-5483</t>
  </si>
  <si>
    <t>DEDETA38-5429</t>
  </si>
  <si>
    <t>DEDETA38-5417</t>
  </si>
  <si>
    <t>DEDETA38-5410</t>
  </si>
  <si>
    <t>DEDETA38-5398</t>
  </si>
  <si>
    <t>DEDETA38-5392</t>
  </si>
  <si>
    <t>DEDETA38-5374</t>
  </si>
  <si>
    <t>DEDETA38-5357</t>
  </si>
  <si>
    <t>DEDETA38-5017</t>
  </si>
  <si>
    <t>DEDETA38-5011</t>
  </si>
  <si>
    <t>DEDETA38-4916</t>
  </si>
  <si>
    <t>DEDETA38-4903</t>
  </si>
  <si>
    <t>DEDETA38-4889</t>
  </si>
  <si>
    <t>DEDETA38-4886</t>
  </si>
  <si>
    <t>DEDETA38-4878</t>
  </si>
  <si>
    <t>DEDETA38-4859</t>
  </si>
  <si>
    <t>DEDETA38-4797</t>
  </si>
  <si>
    <t>DEDETA38-4773</t>
  </si>
  <si>
    <t>DEDETA38-4720</t>
  </si>
  <si>
    <t>DEDETA38-4707</t>
  </si>
  <si>
    <t>DEDETA38-4684</t>
  </si>
  <si>
    <t>DEDETA38-4677</t>
  </si>
  <si>
    <t>DEDETA38-4593</t>
  </si>
  <si>
    <t>DEDETA38-4333</t>
  </si>
  <si>
    <t>DEDETA38-4325</t>
  </si>
  <si>
    <t>DEDETA38-4313</t>
  </si>
  <si>
    <t>DEDETA38-4216</t>
  </si>
  <si>
    <t>DEDETA38-4131</t>
  </si>
  <si>
    <t>DEDETA38-3670</t>
  </si>
  <si>
    <t>DEDETA38-3638</t>
  </si>
  <si>
    <t>DEDETA38-3591</t>
  </si>
  <si>
    <t>DEDETA38-2684</t>
  </si>
  <si>
    <t>DEDETA38-9491</t>
  </si>
  <si>
    <t>DEDETA38-9490</t>
  </si>
  <si>
    <t>DEDETA38-9487</t>
  </si>
  <si>
    <t>DEDETA38-9486</t>
  </si>
  <si>
    <t>DEDETA38-9485</t>
  </si>
  <si>
    <t>DEDETA38-9484</t>
  </si>
  <si>
    <t>DEDETA38-9483</t>
  </si>
  <si>
    <t>DEDETA38-9482</t>
  </si>
  <si>
    <t>DEDETA38-9481</t>
  </si>
  <si>
    <t>DEDETA38-9480</t>
  </si>
  <si>
    <t>DEDETA38-9479</t>
  </si>
  <si>
    <t>DEDETA38-9478</t>
  </si>
  <si>
    <t>DEDETA38-9477</t>
  </si>
  <si>
    <t>DEDETA38-9466</t>
  </si>
  <si>
    <t>Squad_1</t>
  </si>
  <si>
    <t>Squad_2</t>
  </si>
  <si>
    <t>Squad_1-9391</t>
  </si>
  <si>
    <t>Squad_1-9357</t>
  </si>
  <si>
    <t>Squad_1-9326</t>
  </si>
  <si>
    <t>Squad_1-9308</t>
  </si>
  <si>
    <t>Squad_1-9266</t>
  </si>
  <si>
    <t>Squad_1-9227</t>
  </si>
  <si>
    <t>Squad_1-9216</t>
  </si>
  <si>
    <t>Squad_1-9157</t>
  </si>
  <si>
    <t>Squad_1-9138</t>
  </si>
  <si>
    <t>Squad_1-9113</t>
  </si>
  <si>
    <t>Squad_1-9109</t>
  </si>
  <si>
    <t>Squad_1-9035</t>
  </si>
  <si>
    <t>Squad_1-6598</t>
  </si>
  <si>
    <t>Squad_1-6599</t>
  </si>
  <si>
    <t>Squad_1-6600</t>
  </si>
  <si>
    <t>Squad_1-6601</t>
  </si>
  <si>
    <t>Squad_1-6602</t>
  </si>
  <si>
    <t>Squad_1-6689</t>
  </si>
  <si>
    <t>Squad_1-6690</t>
  </si>
  <si>
    <t>Squad_1-6691</t>
  </si>
  <si>
    <t>Squad_1-6846</t>
  </si>
  <si>
    <t>Squad_1-6847</t>
  </si>
  <si>
    <t>Squad_1-6848</t>
  </si>
  <si>
    <t>Squad_1-6849</t>
  </si>
  <si>
    <t>Squad_1-6850</t>
  </si>
  <si>
    <t>Squad_1-6851</t>
  </si>
  <si>
    <t>Squad_1-6852</t>
  </si>
  <si>
    <t>Squad_1-6853</t>
  </si>
  <si>
    <t>Squad_1-6854</t>
  </si>
  <si>
    <t>Squad_1-7316</t>
  </si>
  <si>
    <t>Squad_1-7317</t>
  </si>
  <si>
    <t>Squad_1-7318</t>
  </si>
  <si>
    <t>Squad_1-7319</t>
  </si>
  <si>
    <t>Squad_1-7320</t>
  </si>
  <si>
    <t>Squad_1-7321</t>
  </si>
  <si>
    <t>Squad_1-7322</t>
  </si>
  <si>
    <t>Squad_1-7323</t>
  </si>
  <si>
    <t>Squad_1-7324</t>
  </si>
  <si>
    <t>Squad_1-7325</t>
  </si>
  <si>
    <t>Squad_1-7326</t>
  </si>
  <si>
    <t>Squad_1-7429</t>
  </si>
  <si>
    <t>Squad_1-7654</t>
  </si>
  <si>
    <t>Squad_1-7655</t>
  </si>
  <si>
    <t>Squad_1-7656</t>
  </si>
  <si>
    <t>Squad_1-7657</t>
  </si>
  <si>
    <t>Squad_1-7658</t>
  </si>
  <si>
    <t>Squad_1-7659</t>
  </si>
  <si>
    <t>Squad_1-7660</t>
  </si>
  <si>
    <t>Squad_1-7926</t>
  </si>
  <si>
    <t>Squad_1-7942</t>
  </si>
  <si>
    <t>Squad_1-7943</t>
  </si>
  <si>
    <t>Squad_1-7944</t>
  </si>
  <si>
    <t>Squad_1-7945</t>
  </si>
  <si>
    <t>Squad_1-7946</t>
  </si>
  <si>
    <t>Squad_1-7947</t>
  </si>
  <si>
    <t>Squad_1-7948</t>
  </si>
  <si>
    <t>Squad_1-8311</t>
  </si>
  <si>
    <t>Squad_1-8332</t>
  </si>
  <si>
    <t>Squad_1-8333</t>
  </si>
  <si>
    <t>Squad_1-8334</t>
  </si>
  <si>
    <t>Squad_1-8335</t>
  </si>
  <si>
    <t>Squad_1-8336</t>
  </si>
  <si>
    <t>Squad_1-8337</t>
  </si>
  <si>
    <t>Squad_1-8338</t>
  </si>
  <si>
    <t>Squad_1-8339</t>
  </si>
  <si>
    <t>Squad_1-8340</t>
  </si>
  <si>
    <t>Squad_1-8341</t>
  </si>
  <si>
    <t>Squad_1-8342</t>
  </si>
  <si>
    <t>Squad_1-8343</t>
  </si>
  <si>
    <t>Squad_1-8604</t>
  </si>
  <si>
    <t>Squad_1-8657</t>
  </si>
  <si>
    <t>Squad_1-8658</t>
  </si>
  <si>
    <t>Squad_1-8659</t>
  </si>
  <si>
    <t>Squad_1-8660</t>
  </si>
  <si>
    <t>Squad_1-8661</t>
  </si>
  <si>
    <t>Squad_1-8662</t>
  </si>
  <si>
    <t>Squad_1-8663</t>
  </si>
  <si>
    <t>Squad_1-8664</t>
  </si>
  <si>
    <t>Squad_1-8665</t>
  </si>
  <si>
    <t>Squad_1-8666</t>
  </si>
  <si>
    <t>Squad_1-8910</t>
  </si>
  <si>
    <t>Squad_1-8933</t>
  </si>
  <si>
    <t>Squad_1-8941</t>
  </si>
  <si>
    <t>Squad_1-8942</t>
  </si>
  <si>
    <t>Squad_1-8943</t>
  </si>
  <si>
    <t>Squad_1-8944</t>
  </si>
  <si>
    <t>Squad_1-8945</t>
  </si>
  <si>
    <t>Squad_1-8946</t>
  </si>
  <si>
    <t>Squad_1-9061</t>
  </si>
  <si>
    <t>Squad_1-9062</t>
  </si>
  <si>
    <t>Squad_1-9114</t>
  </si>
  <si>
    <t>Squad_1-9115</t>
  </si>
  <si>
    <t>Squad_1-9116</t>
  </si>
  <si>
    <t>Squad_1-9117</t>
  </si>
  <si>
    <t>Squad_1-9118</t>
  </si>
  <si>
    <t>Squad_1-9119</t>
  </si>
  <si>
    <t>Squad_1-9120</t>
  </si>
  <si>
    <t>Squad_1-9121</t>
  </si>
  <si>
    <t>Squad_1-9281</t>
  </si>
  <si>
    <t>Squad_1-9295</t>
  </si>
  <si>
    <t>Squad_1-9343</t>
  </si>
  <si>
    <t>Squad_1-9346</t>
  </si>
  <si>
    <t>Squad_1-9347</t>
  </si>
  <si>
    <t>Squad_1-9349</t>
  </si>
  <si>
    <t>Squad_1-9351</t>
  </si>
  <si>
    <t>Squad_1-9352</t>
  </si>
  <si>
    <t>Squad_1-9354</t>
  </si>
  <si>
    <t>Squad_1-9355</t>
  </si>
  <si>
    <t>Squad_1-9350</t>
  </si>
  <si>
    <t>Squad_1-9348</t>
  </si>
  <si>
    <t>Squad_1-9345</t>
  </si>
  <si>
    <t>Squad_1-9344</t>
  </si>
  <si>
    <t>Squad_1-3218</t>
  </si>
  <si>
    <t>Squad_1-3219</t>
  </si>
  <si>
    <t>Squad_1-3220</t>
  </si>
  <si>
    <t>Squad_1-3221</t>
  </si>
  <si>
    <t>Squad_1-3222</t>
  </si>
  <si>
    <t>Squad_1-3223</t>
  </si>
  <si>
    <t>Squad_1-3224</t>
  </si>
  <si>
    <t>Squad_1-3225</t>
  </si>
  <si>
    <t>Squad_1-3226</t>
  </si>
  <si>
    <t>Squad_1-3227</t>
  </si>
  <si>
    <t>Squad_1-3228</t>
  </si>
  <si>
    <t>Squad_1-3229</t>
  </si>
  <si>
    <t>Squad_1-3230</t>
  </si>
  <si>
    <t>Squad_1-3231</t>
  </si>
  <si>
    <t>Squad_1-3232</t>
  </si>
  <si>
    <t>Squad_1-4495</t>
  </si>
  <si>
    <t>Squad_1-4496</t>
  </si>
  <si>
    <t>Squad_1-4497</t>
  </si>
  <si>
    <t>Squad_1-4498</t>
  </si>
  <si>
    <t>Squad_1-4499</t>
  </si>
  <si>
    <t>Squad_1-4500</t>
  </si>
  <si>
    <t>Squad_1-4501</t>
  </si>
  <si>
    <t>Squad_1-4502</t>
  </si>
  <si>
    <t>Squad_1-4503</t>
  </si>
  <si>
    <t>Squad_1-4504</t>
  </si>
  <si>
    <t>Squad_1-4505</t>
  </si>
  <si>
    <t>Squad_1-4506</t>
  </si>
  <si>
    <t>Squad_1-4507</t>
  </si>
  <si>
    <t>Squad_1-5968</t>
  </si>
  <si>
    <t>Squad_1-5969</t>
  </si>
  <si>
    <t>Squad_1-5970</t>
  </si>
  <si>
    <t>Squad_1-5971</t>
  </si>
  <si>
    <t>Squad_1-5972</t>
  </si>
  <si>
    <t>Squad_1-5973</t>
  </si>
  <si>
    <t>Squad_1-5974</t>
  </si>
  <si>
    <t>Squad_1-5975</t>
  </si>
  <si>
    <t>Squad_1-5976</t>
  </si>
  <si>
    <t>Squad_1-5977</t>
  </si>
  <si>
    <t>Squad_1-6052</t>
  </si>
  <si>
    <t>Squad_1-6053</t>
  </si>
  <si>
    <t>Squad_1-6067</t>
  </si>
  <si>
    <t>Squad_1-6155</t>
  </si>
  <si>
    <t>Squad_1-6168</t>
  </si>
  <si>
    <t>Squad_1-6192</t>
  </si>
  <si>
    <t>Squad_1-6303</t>
  </si>
  <si>
    <t>Squad_1-6304</t>
  </si>
  <si>
    <t>Squad_1-6532</t>
  </si>
  <si>
    <t>Squad_1-6580</t>
  </si>
  <si>
    <t>Squad_1-7004</t>
  </si>
  <si>
    <t>Squad_1-7029</t>
  </si>
  <si>
    <t>Squad_1-7030</t>
  </si>
  <si>
    <t>Squad_1-7542</t>
  </si>
  <si>
    <t>Squad_1-7925</t>
  </si>
  <si>
    <t>Squad_1-7929</t>
  </si>
  <si>
    <t>Squad_1-7958</t>
  </si>
  <si>
    <t>Squad_1-8065</t>
  </si>
  <si>
    <t>Squad_1-8441</t>
  </si>
  <si>
    <t>Squad_1-9091</t>
  </si>
  <si>
    <t>Squad_1-3217</t>
  </si>
  <si>
    <t>Squad_1-3216</t>
  </si>
  <si>
    <t>Squad_1-3215</t>
  </si>
  <si>
    <t>Squad_1-3214</t>
  </si>
  <si>
    <t>Squad_1-3213</t>
  </si>
  <si>
    <t>Squad_1-3212</t>
  </si>
  <si>
    <t>Squad_1-3211</t>
  </si>
  <si>
    <t>Squad_1-3210</t>
  </si>
  <si>
    <t>Squad_1-3209</t>
  </si>
  <si>
    <t>Squad_1-3208</t>
  </si>
  <si>
    <t>Squad_1-3207</t>
  </si>
  <si>
    <t>Squad_1-3206</t>
  </si>
  <si>
    <t>Squad_1-3205</t>
  </si>
  <si>
    <t>Squad_1-3204</t>
  </si>
  <si>
    <t>Squad_1-3203</t>
  </si>
  <si>
    <t>Squad_1-3202</t>
  </si>
  <si>
    <t>Squad_1-3201</t>
  </si>
  <si>
    <t>Squad_1-3200</t>
  </si>
  <si>
    <t>Squad_1-1645</t>
  </si>
  <si>
    <t>Squad_1-1644</t>
  </si>
  <si>
    <t>Squad_1-1643</t>
  </si>
  <si>
    <t>Squad_1-1642</t>
  </si>
  <si>
    <t>Squad_1-1641</t>
  </si>
  <si>
    <t>Squad_1-1640</t>
  </si>
  <si>
    <t>Squad_1-1639</t>
  </si>
  <si>
    <t>Squad_1-1638</t>
  </si>
  <si>
    <t>Squad_1-1637</t>
  </si>
  <si>
    <t>Squad_1-1636</t>
  </si>
  <si>
    <t>Squad_1-1635</t>
  </si>
  <si>
    <t>Squad_1-1634</t>
  </si>
  <si>
    <t>Squad_1-1633</t>
  </si>
  <si>
    <t>Squad_1-1632</t>
  </si>
  <si>
    <t>Squad_1-1631</t>
  </si>
  <si>
    <t>Squad_1-1630</t>
  </si>
  <si>
    <t>Squad_1-1629</t>
  </si>
  <si>
    <t>Squad_1-1628</t>
  </si>
  <si>
    <t>Squad_1-1627</t>
  </si>
  <si>
    <t>Squad_1-1626</t>
  </si>
  <si>
    <t>Squad_1-1625</t>
  </si>
  <si>
    <t>Squad_1-1624</t>
  </si>
  <si>
    <t>Squad_1-1623</t>
  </si>
  <si>
    <t>Squad_1-1622</t>
  </si>
  <si>
    <t>Squad_1-1621</t>
  </si>
  <si>
    <t>Squad_1-1620</t>
  </si>
  <si>
    <t>Squad_1-1619</t>
  </si>
  <si>
    <t>Squad_1-1618</t>
  </si>
  <si>
    <t>Squad_1-1617</t>
  </si>
  <si>
    <t>Squad_2-2927</t>
  </si>
  <si>
    <t>Squad_2-2918</t>
  </si>
  <si>
    <t>Squad_2-2917</t>
  </si>
  <si>
    <t>Squad_2-2916</t>
  </si>
  <si>
    <t>Squad_2-2915</t>
  </si>
  <si>
    <t>Squad_2-2914</t>
  </si>
  <si>
    <t>Squad_2-2913</t>
  </si>
  <si>
    <t>Squad_2-2912</t>
  </si>
  <si>
    <t>Squad_2-2907</t>
  </si>
  <si>
    <t>Squad_2-2885</t>
  </si>
  <si>
    <t>Squad_2-2884</t>
  </si>
  <si>
    <t>Squad_2-2883</t>
  </si>
  <si>
    <t>Squad_2-2882</t>
  </si>
  <si>
    <t>Squad_2-2881</t>
  </si>
  <si>
    <t>Squad_2-2880</t>
  </si>
  <si>
    <t>Squad_2-2879</t>
  </si>
  <si>
    <t>Squad_2-2873</t>
  </si>
  <si>
    <t>Squad_2-2870</t>
  </si>
  <si>
    <t>Squad_2-2869</t>
  </si>
  <si>
    <t>Squad_2-2867</t>
  </si>
  <si>
    <t>Squad_2-2865</t>
  </si>
  <si>
    <t>Squad_2-2864</t>
  </si>
  <si>
    <t>Squad_2-2847</t>
  </si>
  <si>
    <t>Squad_2-2846</t>
  </si>
  <si>
    <t>Squad_2-2844</t>
  </si>
  <si>
    <t>Squad_2-2841</t>
  </si>
  <si>
    <t>Squad_2-2840</t>
  </si>
  <si>
    <t>Squad_2-2823</t>
  </si>
  <si>
    <t>Squad_2-2821</t>
  </si>
  <si>
    <t>Squad_2-2814</t>
  </si>
  <si>
    <t>Squad_2-2813</t>
  </si>
  <si>
    <t>Squad_2-2812</t>
  </si>
  <si>
    <t>Squad_2-2808</t>
  </si>
  <si>
    <t>Squad_2-2801</t>
  </si>
  <si>
    <t>Squad_2-2800</t>
  </si>
  <si>
    <t>Squad_2-2799</t>
  </si>
  <si>
    <t>Squad_2-2798</t>
  </si>
  <si>
    <t>Squad_2-2791</t>
  </si>
  <si>
    <t>Squad_2-2776</t>
  </si>
  <si>
    <t>Squad_2-2774</t>
  </si>
  <si>
    <t>Squad_2-2773</t>
  </si>
  <si>
    <t>Squad_2-2772</t>
  </si>
  <si>
    <t>Squad_2-2771</t>
  </si>
  <si>
    <t>Squad_2-2770</t>
  </si>
  <si>
    <t>Squad_2-2769</t>
  </si>
  <si>
    <t>Squad_2-2768</t>
  </si>
  <si>
    <t>Squad_2-2767</t>
  </si>
  <si>
    <t>Squad_2-2766</t>
  </si>
  <si>
    <t>Squad_2-2754</t>
  </si>
  <si>
    <t>Squad_2-2753</t>
  </si>
  <si>
    <t>Squad_2-2749</t>
  </si>
  <si>
    <t>Squad_2-2748</t>
  </si>
  <si>
    <t>Squad_2-2741</t>
  </si>
  <si>
    <t>Squad_2-2740</t>
  </si>
  <si>
    <t>Squad_2-2739</t>
  </si>
  <si>
    <t>Squad_2-2738</t>
  </si>
  <si>
    <t>Squad_2-2737</t>
  </si>
  <si>
    <t>Squad_2-2735</t>
  </si>
  <si>
    <t>Squad_2-2734</t>
  </si>
  <si>
    <t>Squad_2-2733</t>
  </si>
  <si>
    <t>Squad_2-2732</t>
  </si>
  <si>
    <t>Squad_2-2731</t>
  </si>
  <si>
    <t>Squad_2-2730</t>
  </si>
  <si>
    <t>Squad_2-2729</t>
  </si>
  <si>
    <t>Squad_2-2727</t>
  </si>
  <si>
    <t>Squad_2-2725</t>
  </si>
  <si>
    <t>Squad_2-2724</t>
  </si>
  <si>
    <t>Squad_2-2723</t>
  </si>
  <si>
    <t>Squad_2-2720</t>
  </si>
  <si>
    <t>Squad_2-2719</t>
  </si>
  <si>
    <t>Squad_2-2718</t>
  </si>
  <si>
    <t>Squad_2-2706</t>
  </si>
  <si>
    <t>Squad_2-2704</t>
  </si>
  <si>
    <t>Squad_2-2703</t>
  </si>
  <si>
    <t>Squad_2-2702</t>
  </si>
  <si>
    <t>Squad_2-2701</t>
  </si>
  <si>
    <t>Squad_2-2700</t>
  </si>
  <si>
    <t>Squad_2-2699</t>
  </si>
  <si>
    <t>Squad_2-2698</t>
  </si>
  <si>
    <t>Squad_2-2691</t>
  </si>
  <si>
    <t>Squad_2-2690</t>
  </si>
  <si>
    <t>Squad_2-2688</t>
  </si>
  <si>
    <t>Squad_2-2687</t>
  </si>
  <si>
    <t>Squad_2-2686</t>
  </si>
  <si>
    <t>Squad_2-2685</t>
  </si>
  <si>
    <t>Squad_2-2683</t>
  </si>
  <si>
    <t>Squad_2-2682</t>
  </si>
  <si>
    <t>Squad_2-2679</t>
  </si>
  <si>
    <t>Squad_2-2677</t>
  </si>
  <si>
    <t>Squad_2-2676</t>
  </si>
  <si>
    <t>Squad_2-2672</t>
  </si>
  <si>
    <t>Squad_2-2670</t>
  </si>
  <si>
    <t>Squad_2-2669</t>
  </si>
  <si>
    <t>Squad_2-2668</t>
  </si>
  <si>
    <t>Squad_2-2667</t>
  </si>
  <si>
    <t>Squad_2-2666</t>
  </si>
  <si>
    <t>Squad_2-2665</t>
  </si>
  <si>
    <t>Squad_2-2664</t>
  </si>
  <si>
    <t>Squad_2-2663</t>
  </si>
  <si>
    <t>Squad_2-2662</t>
  </si>
  <si>
    <t>Squad_2-2661</t>
  </si>
  <si>
    <t>Squad_2-2660</t>
  </si>
  <si>
    <t>Squad_2-2659</t>
  </si>
  <si>
    <t>Squad_2-2647</t>
  </si>
  <si>
    <t>Squad_2-2645</t>
  </si>
  <si>
    <t>Squad_2-2644</t>
  </si>
  <si>
    <t>Squad_2-2643</t>
  </si>
  <si>
    <t>Squad_2-2642</t>
  </si>
  <si>
    <t>Squad_2-2641</t>
  </si>
  <si>
    <t>Squad_2-2639</t>
  </si>
  <si>
    <t>Squad_2-2638</t>
  </si>
  <si>
    <t>Squad_2-2637</t>
  </si>
  <si>
    <t>Squad_2-2634</t>
  </si>
  <si>
    <t>Squad_2-2629</t>
  </si>
  <si>
    <t>Squad_2-2628</t>
  </si>
  <si>
    <t>Squad_2-2627</t>
  </si>
  <si>
    <t>Squad_2-2624</t>
  </si>
  <si>
    <t>Squad_2-2623</t>
  </si>
  <si>
    <t>Squad_2-2622</t>
  </si>
  <si>
    <t>Squad_2-2621</t>
  </si>
  <si>
    <t>Squad_2-2618</t>
  </si>
  <si>
    <t>Squad_2-2613</t>
  </si>
  <si>
    <t>Squad_2-2611</t>
  </si>
  <si>
    <t>Squad_2-2610</t>
  </si>
  <si>
    <t>Squad_2-2609</t>
  </si>
  <si>
    <t>Squad_2-2608</t>
  </si>
  <si>
    <t>Squad_2-2607</t>
  </si>
  <si>
    <t>Squad_2-2606</t>
  </si>
  <si>
    <t>Squad_2-2605</t>
  </si>
  <si>
    <t>Squad_2-2600</t>
  </si>
  <si>
    <t>Squad_2-2598</t>
  </si>
  <si>
    <t>Squad_2-2597</t>
  </si>
  <si>
    <t>Squad_2-2596</t>
  </si>
  <si>
    <t>Squad_2-2591</t>
  </si>
  <si>
    <t>Squad_2-2583</t>
  </si>
  <si>
    <t>Squad_2-2582</t>
  </si>
  <si>
    <t>Squad_2-2581</t>
  </si>
  <si>
    <t>Squad_2-2580</t>
  </si>
  <si>
    <t>Squad_2-2579</t>
  </si>
  <si>
    <t>Squad_2-2578</t>
  </si>
  <si>
    <t>Squad_2-2577</t>
  </si>
  <si>
    <t>Squad_2-2576</t>
  </si>
  <si>
    <t>Squad_2-2575</t>
  </si>
  <si>
    <t>Squad_2-2574</t>
  </si>
  <si>
    <t>Squad_2-2563</t>
  </si>
  <si>
    <t>Squad_2-2561</t>
  </si>
  <si>
    <t>Squad_2-2560</t>
  </si>
  <si>
    <t>Squad_2-2559</t>
  </si>
  <si>
    <t>Squad_2-2558</t>
  </si>
  <si>
    <t>Squad_2-2557</t>
  </si>
  <si>
    <t>Squad_2-2556</t>
  </si>
  <si>
    <t>Squad_2-2553</t>
  </si>
  <si>
    <t>Squad_2-2552</t>
  </si>
  <si>
    <t>Squad_2-2551</t>
  </si>
  <si>
    <t>Squad_2-2549</t>
  </si>
  <si>
    <t>Squad_2-2539</t>
  </si>
  <si>
    <t>Squad_2-2538</t>
  </si>
  <si>
    <t>Squad_2-2537</t>
  </si>
  <si>
    <t>Squad_2-2536</t>
  </si>
  <si>
    <t>Squad_2-2532</t>
  </si>
  <si>
    <t>Squad_2-2531</t>
  </si>
  <si>
    <t>Squad_2-2530</t>
  </si>
  <si>
    <t>Squad_2-2529</t>
  </si>
  <si>
    <t>Squad_2-2528</t>
  </si>
  <si>
    <t>Squad_2-2527</t>
  </si>
  <si>
    <t>Squad_2-2507</t>
  </si>
  <si>
    <t>Squad_2-2506</t>
  </si>
  <si>
    <t>Squad_2-2505</t>
  </si>
  <si>
    <t>Squad_2-2504</t>
  </si>
  <si>
    <t>Squad_2-2495</t>
  </si>
  <si>
    <t>Squad_2-2494</t>
  </si>
  <si>
    <t>Squad_2-2493</t>
  </si>
  <si>
    <t>Squad_2-2492</t>
  </si>
  <si>
    <t>Squad_2-2490</t>
  </si>
  <si>
    <t>Squad_2-2489</t>
  </si>
  <si>
    <t>Squad_2-2488</t>
  </si>
  <si>
    <t>Squad_2-2485</t>
  </si>
  <si>
    <t>Squad_2-2481</t>
  </si>
  <si>
    <t>Squad_2-2480</t>
  </si>
  <si>
    <t>Squad_2-2477</t>
  </si>
  <si>
    <t>Squad_2-2476</t>
  </si>
  <si>
    <t>Squad_2-2474</t>
  </si>
  <si>
    <t>Squad_2-2473</t>
  </si>
  <si>
    <t>Squad_2-2471</t>
  </si>
  <si>
    <t>Squad_2-2470</t>
  </si>
  <si>
    <t>Squad_2-2467</t>
  </si>
  <si>
    <t>Squad_2-2466</t>
  </si>
  <si>
    <t>Squad_2-2465</t>
  </si>
  <si>
    <t>Squad_2-2464</t>
  </si>
  <si>
    <t>Squad_2-2463</t>
  </si>
  <si>
    <t>Squad_2-2454</t>
  </si>
  <si>
    <t>Squad_2-2450</t>
  </si>
  <si>
    <t>Squad_2-2449</t>
  </si>
  <si>
    <t>Squad_2-2447</t>
  </si>
  <si>
    <t>Squad_2-2446</t>
  </si>
  <si>
    <t>Squad_2-2445</t>
  </si>
  <si>
    <t>Squad_2-2444</t>
  </si>
  <si>
    <t>Squad_2-2443</t>
  </si>
  <si>
    <t>Squad_2-2442</t>
  </si>
  <si>
    <t>Squad_2-2439</t>
  </si>
  <si>
    <t>Squad_2-2438</t>
  </si>
  <si>
    <t>Squad_2-2437</t>
  </si>
  <si>
    <t>Squad_2-2436</t>
  </si>
  <si>
    <t>Squad_2-2435</t>
  </si>
  <si>
    <t>Squad_2-2434</t>
  </si>
  <si>
    <t>Squad_2-2433</t>
  </si>
  <si>
    <t>Squad_2-2431</t>
  </si>
  <si>
    <t>Squad_2-2427</t>
  </si>
  <si>
    <t>Squad_2-2426</t>
  </si>
  <si>
    <t>Squad_2-2425</t>
  </si>
  <si>
    <t>Squad_2-2423</t>
  </si>
  <si>
    <t>Squad_2-2422</t>
  </si>
  <si>
    <t>Squad_2-2421</t>
  </si>
  <si>
    <t>Squad_2-2420</t>
  </si>
  <si>
    <t>Squad_2-2419</t>
  </si>
  <si>
    <t>Squad_2-2417</t>
  </si>
  <si>
    <t>Squad_2-2416</t>
  </si>
  <si>
    <t>Squad_2-2415</t>
  </si>
  <si>
    <t>Squad_2-2407</t>
  </si>
  <si>
    <t>Squad_2-2406</t>
  </si>
  <si>
    <t>Squad_2-2405</t>
  </si>
  <si>
    <t>Squad_2-2404</t>
  </si>
  <si>
    <t>Squad_2-2403</t>
  </si>
  <si>
    <t>Squad_2-2402</t>
  </si>
  <si>
    <t>Squad_2-2397</t>
  </si>
  <si>
    <t>Squad_2-2396</t>
  </si>
  <si>
    <t>Squad_2-2395</t>
  </si>
  <si>
    <t>Squad_2-2394</t>
  </si>
  <si>
    <t>Squad_2-2393</t>
  </si>
  <si>
    <t>Squad_2-2392</t>
  </si>
  <si>
    <t>Squad_2-2391</t>
  </si>
  <si>
    <t>Squad_2-2390</t>
  </si>
  <si>
    <t>Squad_2-2389</t>
  </si>
  <si>
    <t>Squad_2-2388</t>
  </si>
  <si>
    <t>Squad_2-2387</t>
  </si>
  <si>
    <t>Squad_2-2386</t>
  </si>
  <si>
    <t>Squad_2-2385</t>
  </si>
  <si>
    <t>Squad_2-2371</t>
  </si>
  <si>
    <t>Squad_2-2370</t>
  </si>
  <si>
    <t>Squad_2-2369</t>
  </si>
  <si>
    <t>Squad_2-2368</t>
  </si>
  <si>
    <t>Squad_2-2367</t>
  </si>
  <si>
    <t>Squad_2-2365</t>
  </si>
  <si>
    <t>Squad_2-2364</t>
  </si>
  <si>
    <t>Squad_2-2363</t>
  </si>
  <si>
    <t>Squad_2-2362</t>
  </si>
  <si>
    <t>Squad_2-2361</t>
  </si>
  <si>
    <t>Squad_2-2360</t>
  </si>
  <si>
    <t>Squad_2-2358</t>
  </si>
  <si>
    <t>Squad_2-2349</t>
  </si>
  <si>
    <t>Squad_2-2347</t>
  </si>
  <si>
    <t>Squad_2-2346</t>
  </si>
  <si>
    <t>Squad_2-2339</t>
  </si>
  <si>
    <t>Squad_2-2338</t>
  </si>
  <si>
    <t>Squad_2-2337</t>
  </si>
  <si>
    <t>Squad_2-2336</t>
  </si>
  <si>
    <t>Squad_2-2335</t>
  </si>
  <si>
    <t>Squad_2-2334</t>
  </si>
  <si>
    <t>Squad_2-2333</t>
  </si>
  <si>
    <t>Squad_2-2332</t>
  </si>
  <si>
    <t>Squad_2-2331</t>
  </si>
  <si>
    <t>Squad_2-2330</t>
  </si>
  <si>
    <t>Squad_2-2329</t>
  </si>
  <si>
    <t>Squad_2-2328</t>
  </si>
  <si>
    <t>Squad_2-2327</t>
  </si>
  <si>
    <t>Squad_2-2325</t>
  </si>
  <si>
    <t>Squad_2-2324</t>
  </si>
  <si>
    <t>Squad_2-2323</t>
  </si>
  <si>
    <t>Squad_2-2322</t>
  </si>
  <si>
    <t>Squad_2-2321</t>
  </si>
  <si>
    <t>Squad_2-2319</t>
  </si>
  <si>
    <t>Squad_2-2317</t>
  </si>
  <si>
    <t>Squad_2-2315</t>
  </si>
  <si>
    <t>Squad_2-2314</t>
  </si>
  <si>
    <t>Squad_2-2311</t>
  </si>
  <si>
    <t>Squad_2-2303</t>
  </si>
  <si>
    <t>Squad_2-2302</t>
  </si>
  <si>
    <t>Squad_2-2301</t>
  </si>
  <si>
    <t>Squad_2-2291</t>
  </si>
  <si>
    <t>Squad_2-2290</t>
  </si>
  <si>
    <t>Squad_2-2289</t>
  </si>
  <si>
    <t>Squad_2-2288</t>
  </si>
  <si>
    <t>Squad_2-2287</t>
  </si>
  <si>
    <t>Squad_2-2286</t>
  </si>
  <si>
    <t>Squad_2-2285</t>
  </si>
  <si>
    <t>Squad_2-2284</t>
  </si>
  <si>
    <t>Squad_2-2283</t>
  </si>
  <si>
    <t>Squad_2-2282</t>
  </si>
  <si>
    <t>Squad_2-2281</t>
  </si>
  <si>
    <t>Squad_2-2279</t>
  </si>
  <si>
    <t>Squad_2-2278</t>
  </si>
  <si>
    <t>Squad_2-2277</t>
  </si>
  <si>
    <t>Squad_2-2276</t>
  </si>
  <si>
    <t>Squad_2-2275</t>
  </si>
  <si>
    <t>Squad_2-2270</t>
  </si>
  <si>
    <t>Squad_2-2269</t>
  </si>
  <si>
    <t>Squad_2-2268</t>
  </si>
  <si>
    <t>Squad_2-2267</t>
  </si>
  <si>
    <t>Squad_2-2248</t>
  </si>
  <si>
    <t>Squad_2-2247</t>
  </si>
  <si>
    <t>Squad_2-2246</t>
  </si>
  <si>
    <t>Squad_2-2245</t>
  </si>
  <si>
    <t>Squad_2-2244</t>
  </si>
  <si>
    <t>Squad_2-2243</t>
  </si>
  <si>
    <t>Squad_2-2242</t>
  </si>
  <si>
    <t>Squad_2-2241</t>
  </si>
  <si>
    <t>Squad_2-2240</t>
  </si>
  <si>
    <t>Squad_2-2215</t>
  </si>
  <si>
    <t>Squad_2-2213</t>
  </si>
  <si>
    <t>Squad_2-2212</t>
  </si>
  <si>
    <t>Squad_2-2210</t>
  </si>
  <si>
    <t>Squad_2-2209</t>
  </si>
  <si>
    <t>Squad_2-2207</t>
  </si>
  <si>
    <t>Squad_2-2187</t>
  </si>
  <si>
    <t>Squad_2-2178</t>
  </si>
  <si>
    <t>Squad_2-2158</t>
  </si>
  <si>
    <t>Squad_2-2154</t>
  </si>
  <si>
    <t>Squad_2-2150</t>
  </si>
  <si>
    <t>Squad_2-2131</t>
  </si>
  <si>
    <t>Squad_2-2126</t>
  </si>
  <si>
    <t>Squad_2-2111</t>
  </si>
  <si>
    <t>Squad_2-2100</t>
  </si>
  <si>
    <t>Squad_2-2090</t>
  </si>
  <si>
    <t>Squad_2-2089</t>
  </si>
  <si>
    <t>Squad_2-2046</t>
  </si>
  <si>
    <t>Squad_2-1997</t>
  </si>
  <si>
    <t>Squad_2-1961</t>
  </si>
  <si>
    <t>Squad_2-1919</t>
  </si>
  <si>
    <t>Squad_2-1857</t>
  </si>
  <si>
    <t>Squad_2-1850</t>
  </si>
  <si>
    <t>Squad_2-1849</t>
  </si>
  <si>
    <t>Squad_2-1848</t>
  </si>
  <si>
    <t>Squad_2-1824</t>
  </si>
  <si>
    <t>Squad_2-1804</t>
  </si>
  <si>
    <t>Squad_2-1801</t>
  </si>
  <si>
    <t>Squad_2-1775</t>
  </si>
  <si>
    <t>Squad_2-1769</t>
  </si>
  <si>
    <t>Squad_2-1766</t>
  </si>
  <si>
    <t>Squad_2-1765</t>
  </si>
  <si>
    <t>Squad_2-1764</t>
  </si>
  <si>
    <t>Squad_2-1763</t>
  </si>
  <si>
    <t>Squad_2-1746</t>
  </si>
  <si>
    <t>Squad_2-1701</t>
  </si>
  <si>
    <t>Squad_2-1699</t>
  </si>
  <si>
    <t>Squad_2-1669</t>
  </si>
  <si>
    <t>Squad_2-1631</t>
  </si>
  <si>
    <t>Squad_2-1618</t>
  </si>
  <si>
    <t>Squad_2-1609</t>
  </si>
  <si>
    <t>Squad_2-1596</t>
  </si>
  <si>
    <t>Squad_2-1588</t>
  </si>
  <si>
    <t>Squad_2-1562</t>
  </si>
  <si>
    <t>Squad_2-1552</t>
  </si>
  <si>
    <t>Squad_2-1466</t>
  </si>
  <si>
    <t>Squad_2-1278</t>
  </si>
  <si>
    <t>Squad_2-1255</t>
  </si>
  <si>
    <t>Squad_2-1173</t>
  </si>
  <si>
    <t>Squad_2-1167</t>
  </si>
  <si>
    <t>Squad_2-1159</t>
  </si>
  <si>
    <t>Squad_2-1145</t>
  </si>
  <si>
    <t>Squad_2-1073</t>
  </si>
  <si>
    <t>Squad_2-1041</t>
  </si>
  <si>
    <t>Squad_2-1030</t>
  </si>
  <si>
    <t>Squad_2-383</t>
  </si>
  <si>
    <t>Squad_2-380</t>
  </si>
  <si>
    <t>Squad_2-370</t>
  </si>
  <si>
    <t>Squad_2-361</t>
  </si>
  <si>
    <t>Squad_2-358</t>
  </si>
  <si>
    <t>Squad_2-348</t>
  </si>
  <si>
    <t>Squad_2-316</t>
  </si>
  <si>
    <t>Squad_2-271</t>
  </si>
  <si>
    <t>Squad_2-257</t>
  </si>
  <si>
    <t>Squad_2-256</t>
  </si>
  <si>
    <t>Squad_2-234</t>
  </si>
  <si>
    <t>Squad_2-229</t>
  </si>
  <si>
    <t>Squad_2-214</t>
  </si>
  <si>
    <t>Squad_2-201</t>
  </si>
  <si>
    <t>Squad_2-134</t>
  </si>
  <si>
    <t>Squad_2-125</t>
  </si>
  <si>
    <t>Squad_2-69</t>
  </si>
  <si>
    <t>Squad_2-21</t>
  </si>
  <si>
    <t>Squad_2-18</t>
  </si>
  <si>
    <t>Squad_2-13</t>
  </si>
  <si>
    <t>Squad_2-10</t>
  </si>
  <si>
    <t>Squad_2-5</t>
  </si>
  <si>
    <t>Squad_2-2</t>
  </si>
  <si>
    <t>Squad_2-1421</t>
  </si>
  <si>
    <t>Squad_2-1422</t>
  </si>
  <si>
    <t>Squad_2-1423</t>
  </si>
  <si>
    <t>Squad_2-1424</t>
  </si>
  <si>
    <t>Squad_2-1426</t>
  </si>
  <si>
    <t>Squad_2-1427</t>
  </si>
  <si>
    <t>Squad_2-1428</t>
  </si>
  <si>
    <t>Squad_2-1429</t>
  </si>
  <si>
    <t>Squad_2-1430</t>
  </si>
  <si>
    <t>Squad_2-1431</t>
  </si>
  <si>
    <t>Squad_2-1432</t>
  </si>
  <si>
    <t>Squad_2-1561</t>
  </si>
  <si>
    <t>Squad_2-1563</t>
  </si>
  <si>
    <t>Squad_2-1619</t>
  </si>
  <si>
    <t>Squad_2-1620</t>
  </si>
  <si>
    <t>Squad_2-1621</t>
  </si>
  <si>
    <t>Squad_2-1622</t>
  </si>
  <si>
    <t>Squad_2-1623</t>
  </si>
  <si>
    <t>Squad_2-1624</t>
  </si>
  <si>
    <t>Squad_2-1625</t>
  </si>
  <si>
    <t>Squad_2-1626</t>
  </si>
  <si>
    <t>Squad_2-1627</t>
  </si>
  <si>
    <t>Squad_2-1628</t>
  </si>
  <si>
    <t>Squad_2-1629</t>
  </si>
  <si>
    <t>Squad_2-1780</t>
  </si>
  <si>
    <t>Squad_2-1781</t>
  </si>
  <si>
    <t>Squad_2-1782</t>
  </si>
  <si>
    <t>Squad_2-1783</t>
  </si>
  <si>
    <t>Squad_2-1784</t>
  </si>
  <si>
    <t>Squad_2-1785</t>
  </si>
  <si>
    <t>Squad_2-1786</t>
  </si>
  <si>
    <t>Squad_2-1787</t>
  </si>
  <si>
    <t>Squad_2-1788</t>
  </si>
  <si>
    <t>Squad_2-1789</t>
  </si>
  <si>
    <t>Squad_2-1790</t>
  </si>
  <si>
    <t>Squad_2-1791</t>
  </si>
  <si>
    <t>Squad_2-1792</t>
  </si>
  <si>
    <t>Squad_2-1793</t>
  </si>
  <si>
    <t>Squad_2-1794</t>
  </si>
  <si>
    <t>Squad_2-1795</t>
  </si>
  <si>
    <t>Squad_2-1796</t>
  </si>
  <si>
    <t>Squad_2-1797</t>
  </si>
  <si>
    <t>Squad_2-1899</t>
  </si>
  <si>
    <t>Squad_2-1900</t>
  </si>
  <si>
    <t>Squad_2-1901</t>
  </si>
  <si>
    <t>Squad_2-1902</t>
  </si>
  <si>
    <t>Squad_2-1903</t>
  </si>
  <si>
    <t>Squad_2-2048</t>
  </si>
  <si>
    <t>Squad_2-2049</t>
  </si>
  <si>
    <t>Squad_2-2050</t>
  </si>
  <si>
    <t>Squad_2-2051</t>
  </si>
  <si>
    <t>Squad_2-2052</t>
  </si>
  <si>
    <t>Squad_2-2053</t>
  </si>
  <si>
    <t>Squad_2-2054</t>
  </si>
  <si>
    <t>Squad_2-2055</t>
  </si>
  <si>
    <t>Squad_2-2056</t>
  </si>
  <si>
    <t>Squad_2-2057</t>
  </si>
  <si>
    <t>Squad_2-2058</t>
  </si>
  <si>
    <t>Squad_2-2059</t>
  </si>
  <si>
    <t>Squad_2-2060</t>
  </si>
  <si>
    <t>Squad_2-2222</t>
  </si>
  <si>
    <t>Squad_2-2223</t>
  </si>
  <si>
    <t>Squad_2-2224</t>
  </si>
  <si>
    <t>Squad_2-2225</t>
  </si>
  <si>
    <t>Squad_2-2226</t>
  </si>
  <si>
    <t>Squad_2-2227</t>
  </si>
  <si>
    <t>Squad_2-2228</t>
  </si>
  <si>
    <t>Squad_2-2229</t>
  </si>
  <si>
    <t>Squad_2-2230</t>
  </si>
  <si>
    <t>Squad_2-2231</t>
  </si>
  <si>
    <t>Squad_2-2232</t>
  </si>
  <si>
    <t>Squad_2-2233</t>
  </si>
  <si>
    <t>Squad_2-2234</t>
  </si>
  <si>
    <t>Squad_2-2235</t>
  </si>
  <si>
    <t>Squad_2-2236</t>
  </si>
  <si>
    <t>Squad_2-2237</t>
  </si>
  <si>
    <t>Squad_2-1111</t>
  </si>
  <si>
    <t>Squad_2-1121</t>
  </si>
  <si>
    <t>Squad_2-1147</t>
  </si>
  <si>
    <t>Squad_2-2218</t>
  </si>
  <si>
    <t>Squad_2-2219</t>
  </si>
  <si>
    <t>Squad_2-2372</t>
  </si>
  <si>
    <t>Squad_2-2373</t>
  </si>
  <si>
    <t>Squad_2-2374</t>
  </si>
  <si>
    <t>Squad_2-2375</t>
  </si>
  <si>
    <t>Squad_2-2376</t>
  </si>
  <si>
    <t>Squad_2-2377</t>
  </si>
  <si>
    <t>Squad_2-2378</t>
  </si>
  <si>
    <t>Squad_2-2379</t>
  </si>
  <si>
    <t>Squad_2-2380</t>
  </si>
  <si>
    <t>Squad_2-2381</t>
  </si>
  <si>
    <t>Squad_2-2382</t>
  </si>
  <si>
    <t>Squad_2-2383</t>
  </si>
  <si>
    <t>Squad_2-2384</t>
  </si>
  <si>
    <t>Squad_2-2508</t>
  </si>
  <si>
    <t>Squad_2-2509</t>
  </si>
  <si>
    <t>Squad_2-2510</t>
  </si>
  <si>
    <t>Squad_2-2511</t>
  </si>
  <si>
    <t>Squad_2-2512</t>
  </si>
  <si>
    <t>Squad_2-2513</t>
  </si>
  <si>
    <t>Squad_2-2514</t>
  </si>
  <si>
    <t>Squad_2-2515</t>
  </si>
  <si>
    <t>Squad_2-2516</t>
  </si>
  <si>
    <t>Squad_2-2517</t>
  </si>
  <si>
    <t>Squad_2-2518</t>
  </si>
  <si>
    <t>Squad_2-2519</t>
  </si>
  <si>
    <t>Squad_2-2520</t>
  </si>
  <si>
    <t>Squad_2-2521</t>
  </si>
  <si>
    <t>Squad_2-2522</t>
  </si>
  <si>
    <t>Squad_2-2523</t>
  </si>
  <si>
    <t>Squad_2-2524</t>
  </si>
  <si>
    <t>Squad_2-2525</t>
  </si>
  <si>
    <t>Squad_2-2526</t>
  </si>
  <si>
    <t>Squad_2-2646</t>
  </si>
  <si>
    <t>Squad_2-2648</t>
  </si>
  <si>
    <t>Squad_2-2649</t>
  </si>
  <si>
    <t>Squad_2-2650</t>
  </si>
  <si>
    <t>Squad_2-2651</t>
  </si>
  <si>
    <t>Squad_2-2652</t>
  </si>
  <si>
    <t>Squad_2-2653</t>
  </si>
  <si>
    <t>Squad_2-2654</t>
  </si>
  <si>
    <t>Squad_2-2655</t>
  </si>
  <si>
    <t>Squad_2-2656</t>
  </si>
  <si>
    <t>Squad_2-2657</t>
  </si>
  <si>
    <t>Squad_2-2658</t>
  </si>
  <si>
    <t>Squad_2-2829</t>
  </si>
  <si>
    <t>Squad_2-2832</t>
  </si>
  <si>
    <t>Squad_2-2834</t>
  </si>
  <si>
    <t>Squad_2-2835</t>
  </si>
  <si>
    <t>Squad_2-2845</t>
  </si>
  <si>
    <t>Squad_2-2833</t>
  </si>
  <si>
    <t>Squad_2-2831</t>
  </si>
  <si>
    <t>Squad_2-2830</t>
  </si>
  <si>
    <t>Squad_2-2828</t>
  </si>
  <si>
    <t>Squad_2-2827</t>
  </si>
  <si>
    <t>Squad_2-2826</t>
  </si>
  <si>
    <t>Squad_2-2825</t>
  </si>
  <si>
    <t>Squad_2-2824</t>
  </si>
  <si>
    <t>Squad_2-1102</t>
  </si>
  <si>
    <t>Squad_2-1103</t>
  </si>
  <si>
    <t>Squad_2-1105</t>
  </si>
  <si>
    <t>Squad_2-1106</t>
  </si>
  <si>
    <t>Squad_2-1107</t>
  </si>
  <si>
    <t>Squad_2-1108</t>
  </si>
  <si>
    <t>Squad_2-1109</t>
  </si>
  <si>
    <t>Squad_2-1110</t>
  </si>
  <si>
    <t>Squad_2-1112</t>
  </si>
  <si>
    <t>Squad_2-1113</t>
  </si>
  <si>
    <t>Squad_2-1114</t>
  </si>
  <si>
    <t>Squad_2-1115</t>
  </si>
  <si>
    <t>Squad_2-1116</t>
  </si>
  <si>
    <t>Squad_2-1117</t>
  </si>
  <si>
    <t>Squad_2-1118</t>
  </si>
  <si>
    <t>Squad_2-1119</t>
  </si>
  <si>
    <t>Squad_2-1120</t>
  </si>
  <si>
    <t>Squad_2-1122</t>
  </si>
  <si>
    <t>Squad_2-1123</t>
  </si>
  <si>
    <t>Squad_2-1124</t>
  </si>
  <si>
    <t>Squad_2-1216</t>
  </si>
  <si>
    <t>Squad_2-1217</t>
  </si>
  <si>
    <t>Squad_2-1274</t>
  </si>
  <si>
    <t>Squad_2-1369</t>
  </si>
  <si>
    <t>Squad_2-1403</t>
  </si>
  <si>
    <t>Squad_2-1650</t>
  </si>
  <si>
    <t>Squad_2-1874</t>
  </si>
  <si>
    <t>Squad_2-2534</t>
  </si>
  <si>
    <t>Squad_2-2535</t>
  </si>
  <si>
    <t>Squad_2-2620</t>
  </si>
  <si>
    <t>Squad_2-2868</t>
  </si>
  <si>
    <t>Squad_2-2619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</si>
</sst>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/yy"/>
    <numFmt numFmtId="165" formatCode="dd/mm/yyyy\ hh:mm:ss"/>
    <numFmt numFmtId="168" formatCode="d/hh:mm:ss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rgb="FF000000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medium">
        <color indexed="64"/>
      </right>
      <top style="thin">
        <color auto="1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  <xf numFmtId="164" fontId="0" fillId="2" borderId="0" xfId="0" applyNumberFormat="1" applyFill="1"/>
    <xf numFmtId="164" fontId="0" fillId="2" borderId="3" xfId="0" applyNumberFormat="1" applyFill="1" applyBorder="1"/>
    <xf numFmtId="0" fontId="0" fillId="3" borderId="0" xfId="0" applyFill="1"/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0" fillId="2" borderId="2" xfId="0" applyFill="1" applyBorder="1" applyProtection="1">
      <protection locked="0"/>
    </xf>
    <xf numFmtId="164" fontId="0" fillId="2" borderId="2" xfId="0" applyNumberFormat="1" applyFill="1" applyBorder="1"/>
    <xf numFmtId="0" fontId="0" fillId="2" borderId="3" xfId="0" applyFill="1" applyBorder="1"/>
    <xf numFmtId="0" fontId="0" fillId="2" borderId="2" xfId="0" applyFill="1" applyBorder="1"/>
    <xf numFmtId="0" fontId="0" fillId="2" borderId="3" xfId="0" applyFill="1" applyBorder="1" applyProtection="1">
      <protection locked="0"/>
    </xf>
    <xf numFmtId="0" fontId="2" fillId="0" borderId="3" xfId="0" applyFont="1" applyBorder="1" applyAlignment="1">
      <alignment horizontal="center"/>
    </xf>
    <xf numFmtId="0" fontId="0" fillId="3" borderId="0" xfId="0" applyFill="1" applyProtection="1">
      <protection locked="0"/>
    </xf>
    <xf numFmtId="164" fontId="0" fillId="3" borderId="5" xfId="0" applyNumberFormat="1" applyFill="1" applyBorder="1"/>
    <xf numFmtId="0" fontId="4" fillId="3" borderId="0" xfId="0" applyFont="1" applyFill="1"/>
    <xf numFmtId="0" fontId="5" fillId="3" borderId="0" xfId="0" applyFont="1" applyFill="1"/>
    <xf numFmtId="0" fontId="2" fillId="5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6" fillId="0" borderId="1" xfId="0" applyFont="1" applyBorder="1" applyProtection="1">
      <protection locked="0"/>
    </xf>
    <xf numFmtId="22" fontId="0" fillId="0" borderId="0" xfId="0" applyNumberFormat="1"/>
    <xf numFmtId="0" fontId="7" fillId="3" borderId="0" xfId="0" applyFont="1" applyFill="1"/>
    <xf numFmtId="0" fontId="2" fillId="3" borderId="4" xfId="0" applyFont="1" applyFill="1" applyBorder="1" applyAlignment="1">
      <alignment horizontal="center"/>
    </xf>
    <xf numFmtId="0" fontId="0" fillId="3" borderId="4" xfId="0" applyFill="1" applyBorder="1"/>
    <xf numFmtId="0" fontId="2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4" fillId="3" borderId="15" xfId="0" applyFont="1" applyFill="1" applyBorder="1"/>
    <xf numFmtId="0" fontId="4" fillId="3" borderId="16" xfId="0" applyFont="1" applyFill="1" applyBorder="1"/>
    <xf numFmtId="0" fontId="3" fillId="3" borderId="17" xfId="0" applyFont="1" applyFill="1" applyBorder="1" applyAlignment="1">
      <alignment horizontal="center"/>
    </xf>
    <xf numFmtId="1" fontId="0" fillId="3" borderId="18" xfId="0" applyNumberFormat="1" applyFill="1" applyBorder="1"/>
    <xf numFmtId="1" fontId="0" fillId="6" borderId="7" xfId="0" applyNumberFormat="1" applyFill="1" applyBorder="1"/>
    <xf numFmtId="1" fontId="0" fillId="6" borderId="19" xfId="0" applyNumberFormat="1" applyFill="1" applyBorder="1"/>
    <xf numFmtId="1" fontId="0" fillId="6" borderId="18" xfId="0" applyNumberFormat="1" applyFill="1" applyBorder="1"/>
    <xf numFmtId="1" fontId="0" fillId="3" borderId="20" xfId="0" applyNumberFormat="1" applyFill="1" applyBorder="1"/>
    <xf numFmtId="1" fontId="0" fillId="6" borderId="21" xfId="0" applyNumberFormat="1" applyFill="1" applyBorder="1"/>
    <xf numFmtId="1" fontId="0" fillId="6" borderId="22" xfId="0" applyNumberFormat="1" applyFill="1" applyBorder="1"/>
    <xf numFmtId="1" fontId="0" fillId="6" borderId="20" xfId="0" applyNumberFormat="1" applyFill="1" applyBorder="1"/>
    <xf numFmtId="165" fontId="7" fillId="3" borderId="0" xfId="0" applyNumberFormat="1" applyFont="1" applyFill="1"/>
    <xf numFmtId="1" fontId="4" fillId="3" borderId="0" xfId="0" applyNumberFormat="1" applyFont="1" applyFill="1"/>
    <xf numFmtId="168" fontId="0" fillId="0" borderId="0" xfId="0" applyNumberFormat="1"/>
    <xf numFmtId="164" fontId="0" fillId="3" borderId="8" xfId="0" applyNumberFormat="1" applyFill="1" applyBorder="1"/>
    <xf numFmtId="164" fontId="0" fillId="3" borderId="6" xfId="0" applyNumberFormat="1" applyFill="1" applyBorder="1"/>
    <xf numFmtId="0" fontId="0" fillId="0" borderId="1" xfId="0" applyBorder="1" applyProtection="1">
      <protection locked="0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0" fillId="3" borderId="2" xfId="0" applyFill="1" applyBorder="1" applyAlignment="1">
      <alignment horizontal="left"/>
    </xf>
    <xf numFmtId="0" fontId="0" fillId="0" borderId="0" xfId="0" applyFill="1" applyProtection="1">
      <protection locked="0"/>
    </xf>
  </cellXfs>
  <cellStyles count="1">
    <cellStyle name="Standard" xfId="0" builtinId="0"/>
  </cellStyles>
  <dxfs count="218"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protection locked="0" hidden="0"/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64" formatCode="m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theme="0"/>
        </patternFill>
      </fill>
    </dxf>
    <dxf>
      <border>
        <bottom style="thin">
          <color rgb="FF000000"/>
        </bottom>
      </border>
    </dxf>
    <dxf>
      <fill>
        <patternFill>
          <bgColor theme="0"/>
        </patternFill>
      </fill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168" formatCode="d/hh:mm:ss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LeadTime_CS!$H$2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LeadTime_CS!$H$4:$H$16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9-4E6F-BB75-C6265B35A0F4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LeadTime_CS!$I$4:$I$16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9-4E6F-BB75-C6265B35A0F4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3"/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LeadTime_CS!$J$4:$J$16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9-4E6F-BB75-C6265B35A0F4}"/>
            </c:ext>
          </c:extLst>
        </c:ser>
        <c:ser>
          <c:idx val="3"/>
          <c:order val="3"/>
          <c:tx>
            <c:strRef>
              <c:f>LeadTime_CS!$F$3</c:f>
              <c:strCache>
                <c:ptCount val="1"/>
                <c:pt idx="0">
                  <c:v>25% Percentil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4"/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LeadTime_CS!$K$4:$K$16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9-4E6F-BB75-C6265B35A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LeadTime_CS!$L$4:$L$16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9-4E6F-BB75-C6265B35A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LeadTime_CS!$M$2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LeadTime_CS!$M$4:$M$16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16-41B5-ACCB-7D5C12F5819A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LeadTime_CS!$N$4:$N$16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16-41B5-ACCB-7D5C12F5819A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LeadTime_CS!$O$4:$O$16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16-41B5-ACCB-7D5C12F5819A}"/>
            </c:ext>
          </c:extLst>
        </c:ser>
        <c:ser>
          <c:idx val="3"/>
          <c:order val="3"/>
          <c:tx>
            <c:strRef>
              <c:f>LeadTime_CS!$F$3</c:f>
              <c:strCache>
                <c:ptCount val="1"/>
                <c:pt idx="0">
                  <c:v>25% Percentil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LeadTime_CS!$P$4:$P$16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16-41B5-ACCB-7D5C12F58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LeadTime_CS!$Q$4:$Q$16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16-41B5-ACCB-7D5C12F58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LeadTime_CS!$R$2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LeadTime_CS!$R$4:$R$16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B-405C-B3EF-CA77A06AC1A1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LeadTime_CS!$S$4:$S$16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B-405C-B3EF-CA77A06AC1A1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3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LeadTime_CS!$T$4:$T$16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B-405C-B3EF-CA77A06AC1A1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LeadTime_CS!$U$4:$U$16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B-405C-B3EF-CA77A06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LeadTime_CS!$V$4:$V$16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0B-405C-B3EF-CA77A06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LeadTime_CS!$W$2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LeadTime_CS!$W$4:$W$16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A-42FD-B856-A67CF70033F4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LeadTime_CS!$X$4:$X$16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6A-42FD-B856-A67CF70033F4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LeadTime_CS!$Y$4:$Y$16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A-42FD-B856-A67CF70033F4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LeadTime_CS!$Z$4:$Z$16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6A-42FD-B856-A67CF7003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LeadTime_CS!$AA$4:$AA$16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66A-42FD-B856-A67CF7003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LeadTime_CS!$AB$2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LeadTime_CS!$AB$4:$AB$16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BD-4508-82E1-830D5DCCDAF9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dPt>
            <c:idx val="11"/>
            <c:marker>
              <c:symbol val="dash"/>
              <c:size val="5"/>
              <c:spPr>
                <a:solidFill>
                  <a:schemeClr val="tx2"/>
                </a:solidFill>
                <a:ln w="9525">
                  <a:solidFill>
                    <a:schemeClr val="tx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BD-4508-82E1-830D5DCCDAF9}"/>
              </c:ext>
            </c:extLst>
          </c:dPt>
          <c:val>
            <c:numRef>
              <c:f>LeadTime_CS!$AC$4:$AC$16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BD-4508-82E1-830D5DCCDAF9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LeadTime_CS!$AD$4:$AD$16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BD-4508-82E1-830D5DCCDAF9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LeadTime_CS!$AE$4:$AE$16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BD-4508-82E1-830D5DCCD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LeadTime_CS!$AF$4:$AF$16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BD-4508-82E1-830D5DCCD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cat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Algn val="ctr"/>
        <c:lblOffset val="100"/>
        <c:noMultiLvlLbl val="0"/>
      </c:cat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LeadTime_CS!$AG$2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LeadTime_CS!$AG$4:$AG$16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9-4C74-BE95-48006195E4C2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LeadTime_CS!$AH$4:$AH$16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D9-4C74-BE95-48006195E4C2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LeadTime_CS!$AI$4:$AI$16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D9-4C74-BE95-48006195E4C2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LeadTime_CS!$AJ$4:$AJ$16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D9-4C74-BE95-48006195E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LeadTime_CS!$AK$4:$AK$16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D9-4C74-BE95-48006195E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LeadTime_CS!$AL$2</c:f>
          <c:strCache>
            <c:ptCount val="1"/>
            <c:pt idx="0">
              <c:v>#BEZUG!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LeadTime_CS!$AL$4:$AL$16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79-4C6F-8A00-A37D1D2EBAE5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LeadTime_CS!$AM$4:$AM$16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79-4C6F-8A00-A37D1D2EBAE5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LeadTime_CS!$AN$4:$AN$16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79-4C6F-8A00-A37D1D2EBAE5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LeadTime_CS!$AO$4:$AO$16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79-4C6F-8A00-A37D1D2EBAE5}"/>
            </c:ext>
          </c:extLst>
        </c:ser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LeadTime_CS!$AP$4:$AP$16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79-4C6F-8A00-A37D1D2EB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LeadTime_CS!$AQ$2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LeadTime_CS!$AQ$4:$AQ$16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0A-4701-ADFC-DDB647A18CC6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val>
            <c:numRef>
              <c:f>LeadTime_CS!$AR$4:$AR$16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0A-4701-ADFC-DDB647A18CC6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LeadTime_CS!$AS$4:$AS$16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0A-4701-ADFC-DDB647A18CC6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LeadTime_CS!$AT$4:$AT$16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0A-4701-ADFC-DDB647A18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LeadTime_CS!$AU$4:$AU$16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B0A-4701-ADFC-DDB647A18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cat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Algn val="ctr"/>
        <c:lblOffset val="100"/>
        <c:noMultiLvlLbl val="0"/>
      </c:cat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LeadTime_CS!$AV$2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LeadTime_CS!$AV$4:$AV$16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C-4752-A98C-9A95E6270690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LeadTime_CS!$AW$4:$AW$16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C-4752-A98C-9A95E6270690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LeadTime_CS!$AX$4:$AX$16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C-4752-A98C-9A95E6270690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LeadTime_CS!$AX$2:$AX$16</c:f>
              <c:numCache>
                <c:formatCode>General</c:formatCode>
                <c:ptCount val="15"/>
                <c:pt idx="1">
                  <c:v>0</c:v>
                </c:pt>
                <c:pt idx="2" formatCode="0">
                  <c:v>0</c:v>
                </c:pt>
                <c:pt idx="3" formatCode="0">
                  <c:v>0</c:v>
                </c:pt>
                <c:pt idx="4" formatCode="0">
                  <c:v>0</c:v>
                </c:pt>
                <c:pt idx="5" formatCode="0">
                  <c:v>0</c:v>
                </c:pt>
                <c:pt idx="6" formatCode="0">
                  <c:v>0</c:v>
                </c:pt>
                <c:pt idx="7" formatCode="0">
                  <c:v>0</c:v>
                </c:pt>
                <c:pt idx="8" formatCode="0">
                  <c:v>0</c:v>
                </c:pt>
                <c:pt idx="9" formatCode="0">
                  <c:v>0</c:v>
                </c:pt>
                <c:pt idx="10" formatCode="0">
                  <c:v>0</c:v>
                </c:pt>
                <c:pt idx="11" formatCode="0">
                  <c:v>0</c:v>
                </c:pt>
                <c:pt idx="12" formatCode="0">
                  <c:v>0</c:v>
                </c:pt>
                <c:pt idx="13" formatCode="0">
                  <c:v>0</c:v>
                </c:pt>
                <c:pt idx="14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C-4752-A98C-9A95E6270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LeadTime_CS!$AY$2:$AY$16</c:f>
              <c:numCache>
                <c:formatCode>General</c:formatCode>
                <c:ptCount val="15"/>
                <c:pt idx="1">
                  <c:v>0</c:v>
                </c:pt>
                <c:pt idx="2" formatCode="0">
                  <c:v>0</c:v>
                </c:pt>
                <c:pt idx="3" formatCode="0">
                  <c:v>0</c:v>
                </c:pt>
                <c:pt idx="4" formatCode="0">
                  <c:v>0</c:v>
                </c:pt>
                <c:pt idx="5" formatCode="0">
                  <c:v>0</c:v>
                </c:pt>
                <c:pt idx="6" formatCode="0">
                  <c:v>0</c:v>
                </c:pt>
                <c:pt idx="7" formatCode="0">
                  <c:v>0</c:v>
                </c:pt>
                <c:pt idx="8" formatCode="0">
                  <c:v>0</c:v>
                </c:pt>
                <c:pt idx="9" formatCode="0">
                  <c:v>0</c:v>
                </c:pt>
                <c:pt idx="10" formatCode="0">
                  <c:v>0</c:v>
                </c:pt>
                <c:pt idx="11" formatCode="0">
                  <c:v>0</c:v>
                </c:pt>
                <c:pt idx="12" formatCode="0">
                  <c:v>0</c:v>
                </c:pt>
                <c:pt idx="13" formatCode="0">
                  <c:v>0</c:v>
                </c:pt>
                <c:pt idx="14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4C-4752-A98C-9A95E6270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LeadTime_CS!$BA$2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LeadTime_CS!$BA$4:$BA$16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E9-4F22-80CF-58C1F2ECB56E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LeadTime_CS!$BB$4:$BB$16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E9-4F22-80CF-58C1F2ECB56E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LeadTime_CS!$BC$4:$BC$16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E9-4F22-80CF-58C1F2ECB56E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LeadTime_CS!$BD$4:$BD$16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E9-4F22-80CF-58C1F2ECB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LeadTime_CS!$BE$4:$BE$16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E9-4F22-80CF-58C1F2ECB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cat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Algn val="ctr"/>
        <c:lblOffset val="100"/>
        <c:noMultiLvlLbl val="0"/>
      </c:cat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LeadTime_CS!$BF$2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LeadTime_CS!$BF$4:$BF$16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8-4138-80F5-09F434B384A1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LeadTime_CS!$BG$4:$BG$16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8-4138-80F5-09F434B384A1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LeadTime_CS!$BH$4:$BH$16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E8-4138-80F5-09F434B384A1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LeadTime_CS!$BI$4:$BI$16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E8-4138-80F5-09F434B38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LeadTime_CS!$BJ$4:$BJ$16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E8-4138-80F5-09F434B38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LeadTime_CS!$BK$2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LeadTime_CS!$BK$4:$BK$16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D-4960-9620-3EB3B88B59E2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LeadTime_CS!$BL$4:$BL$16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1D-4960-9620-3EB3B88B59E2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LeadTime_CS!$BM$4:$BM$16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1D-4960-9620-3EB3B88B59E2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LeadTime_CS!$BN$4:$BN$16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1D-4960-9620-3EB3B88B5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LeadTime_CS!$BO$4:$BO$16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1D-4960-9620-3EB3B88B5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LeadTime_CS!$BP$2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LeadTime_CS!$BP$4:$BP$16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8D-4BC2-A9EF-F2EFE18AFE6D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LeadTime_CS!$BQ$4:$BQ$16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8D-4BC2-A9EF-F2EFE18AFE6D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LeadTime_CS!$BR$4:$BR$16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8D-4BC2-A9EF-F2EFE18AFE6D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LeadTime_CS!$BS$4:$BS$16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8D-4BC2-A9EF-F2EFE18AF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LeadTime_CS!$BT$4:$BT$16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98D-4BC2-A9EF-F2EFE18AF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LeadTime_CS!$BU$2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LeadTime_CS!$BU$4:$BU$16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22-4F62-BFDB-D9DC9CF1B3F8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LeadTime_CS!$BV$4:$BV$16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2-4F62-BFDB-D9DC9CF1B3F8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LeadTime_CS!$BW$4:$BW$16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22-4F62-BFDB-D9DC9CF1B3F8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LeadTime_CS!$BX$4:$BX$16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22-4F62-BFDB-D9DC9CF1B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LeadTime_CS!$BY$4:$BY$16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22-4F62-BFDB-D9DC9CF1B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LeadTime_CS!$BZ$2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LeadTime_CS!$BZ$4:$BZ$16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FC-4FAE-B897-EB6342E3C09D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LeadTime_CS!$CA$4:$CA$16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FC-4FAE-B897-EB6342E3C09D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LeadTime_CS!$CB$4:$CB$16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FC-4FAE-B897-EB6342E3C09D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LeadTime_CS!$CC$4:$CC$16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FC-4FAE-B897-EB6342E3C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LeadTime_CS!$CD$4:$CD$16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FC-4FAE-B897-EB6342E3C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image" Target="../media/image2.svg"/><Relationship Id="rId2" Type="http://schemas.openxmlformats.org/officeDocument/2006/relationships/chart" Target="../charts/chart2.xml"/><Relationship Id="rId16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777241</xdr:colOff>
      <xdr:row>17</xdr:row>
      <xdr:rowOff>111030</xdr:rowOff>
    </xdr:from>
    <xdr:to>
      <xdr:col>10</xdr:col>
      <xdr:colOff>139527</xdr:colOff>
      <xdr:row>37</xdr:row>
      <xdr:rowOff>31659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CC59AE7-F034-4C0D-8532-C1A3B96CF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327299</xdr:colOff>
      <xdr:row>17</xdr:row>
      <xdr:rowOff>111030</xdr:rowOff>
    </xdr:from>
    <xdr:to>
      <xdr:col>19</xdr:col>
      <xdr:colOff>473356</xdr:colOff>
      <xdr:row>37</xdr:row>
      <xdr:rowOff>31659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682FE95-52BE-4068-9FB0-1B3AB2DB2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661128</xdr:colOff>
      <xdr:row>17</xdr:row>
      <xdr:rowOff>111030</xdr:rowOff>
    </xdr:from>
    <xdr:to>
      <xdr:col>29</xdr:col>
      <xdr:colOff>23414</xdr:colOff>
      <xdr:row>37</xdr:row>
      <xdr:rowOff>31659</xdr:rowOff>
    </xdr:to>
    <xdr:graphicFrame macro="">
      <xdr:nvGraphicFramePr>
        <xdr:cNvPr id="19" name="Diagramm 3">
          <a:extLst>
            <a:ext uri="{FF2B5EF4-FFF2-40B4-BE49-F238E27FC236}">
              <a16:creationId xmlns:a16="http://schemas.microsoft.com/office/drawing/2014/main" id="{74F13ED3-1823-4084-817A-71DB2B4B2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211185</xdr:colOff>
      <xdr:row>17</xdr:row>
      <xdr:rowOff>111030</xdr:rowOff>
    </xdr:from>
    <xdr:to>
      <xdr:col>38</xdr:col>
      <xdr:colOff>357242</xdr:colOff>
      <xdr:row>37</xdr:row>
      <xdr:rowOff>31659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5509FCA9-8369-48C1-ABA1-FAD7E2D91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772886</xdr:colOff>
      <xdr:row>38</xdr:row>
      <xdr:rowOff>87086</xdr:rowOff>
    </xdr:from>
    <xdr:to>
      <xdr:col>10</xdr:col>
      <xdr:colOff>135172</xdr:colOff>
      <xdr:row>59</xdr:row>
      <xdr:rowOff>29486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6BDD1E84-9B68-484D-A1EB-9725E8E20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324395</xdr:colOff>
      <xdr:row>38</xdr:row>
      <xdr:rowOff>87086</xdr:rowOff>
    </xdr:from>
    <xdr:to>
      <xdr:col>19</xdr:col>
      <xdr:colOff>470452</xdr:colOff>
      <xdr:row>59</xdr:row>
      <xdr:rowOff>29486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2CEB47A1-0278-4B21-A4E4-18D02647C1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659675</xdr:colOff>
      <xdr:row>38</xdr:row>
      <xdr:rowOff>87086</xdr:rowOff>
    </xdr:from>
    <xdr:to>
      <xdr:col>29</xdr:col>
      <xdr:colOff>21961</xdr:colOff>
      <xdr:row>59</xdr:row>
      <xdr:rowOff>29486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6388DE1D-263D-4A92-9352-E43EB75DE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211185</xdr:colOff>
      <xdr:row>38</xdr:row>
      <xdr:rowOff>87086</xdr:rowOff>
    </xdr:from>
    <xdr:to>
      <xdr:col>38</xdr:col>
      <xdr:colOff>357242</xdr:colOff>
      <xdr:row>59</xdr:row>
      <xdr:rowOff>29486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BC0B6ECA-AB9A-4F10-A31D-55A86C1E4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743430</xdr:colOff>
      <xdr:row>60</xdr:row>
      <xdr:rowOff>61046</xdr:rowOff>
    </xdr:from>
    <xdr:to>
      <xdr:col>10</xdr:col>
      <xdr:colOff>105716</xdr:colOff>
      <xdr:row>81</xdr:row>
      <xdr:rowOff>3446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7889B34E-822C-476F-86B7-8FB5CF2F3A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305665</xdr:colOff>
      <xdr:row>60</xdr:row>
      <xdr:rowOff>61046</xdr:rowOff>
    </xdr:from>
    <xdr:to>
      <xdr:col>19</xdr:col>
      <xdr:colOff>451722</xdr:colOff>
      <xdr:row>81</xdr:row>
      <xdr:rowOff>3446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A53397CA-BFF6-4CB3-8CE2-0F8D92EE9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651671</xdr:colOff>
      <xdr:row>60</xdr:row>
      <xdr:rowOff>61046</xdr:rowOff>
    </xdr:from>
    <xdr:to>
      <xdr:col>29</xdr:col>
      <xdr:colOff>13957</xdr:colOff>
      <xdr:row>81</xdr:row>
      <xdr:rowOff>3446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A2B7A5BF-6EA6-4D3F-A658-622AA6957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213906</xdr:colOff>
      <xdr:row>60</xdr:row>
      <xdr:rowOff>61046</xdr:rowOff>
    </xdr:from>
    <xdr:to>
      <xdr:col>38</xdr:col>
      <xdr:colOff>357242</xdr:colOff>
      <xdr:row>81</xdr:row>
      <xdr:rowOff>3446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E1DE0C9C-2C75-4FBC-A06A-192FC0BE73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704850</xdr:colOff>
      <xdr:row>82</xdr:row>
      <xdr:rowOff>9525</xdr:rowOff>
    </xdr:from>
    <xdr:to>
      <xdr:col>10</xdr:col>
      <xdr:colOff>67136</xdr:colOff>
      <xdr:row>102</xdr:row>
      <xdr:rowOff>123375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8E3B0E94-9538-4E12-9326-2091746A4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287735</xdr:colOff>
      <xdr:row>82</xdr:row>
      <xdr:rowOff>9525</xdr:rowOff>
    </xdr:from>
    <xdr:to>
      <xdr:col>19</xdr:col>
      <xdr:colOff>431071</xdr:colOff>
      <xdr:row>102</xdr:row>
      <xdr:rowOff>123375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B4F0C509-B9D7-48B3-9DB9-F79DA3806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651671</xdr:colOff>
      <xdr:row>82</xdr:row>
      <xdr:rowOff>9525</xdr:rowOff>
    </xdr:from>
    <xdr:to>
      <xdr:col>29</xdr:col>
      <xdr:colOff>13957</xdr:colOff>
      <xdr:row>102</xdr:row>
      <xdr:rowOff>123375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1D89C647-D1E7-49AF-90FF-8809535CE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39</xdr:col>
      <xdr:colOff>571500</xdr:colOff>
      <xdr:row>19</xdr:row>
      <xdr:rowOff>23813</xdr:rowOff>
    </xdr:from>
    <xdr:to>
      <xdr:col>47</xdr:col>
      <xdr:colOff>257175</xdr:colOff>
      <xdr:row>48</xdr:row>
      <xdr:rowOff>83344</xdr:rowOff>
    </xdr:to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2113CAF5-AC3F-41F9-A12F-86D63C15348B}"/>
            </a:ext>
          </a:extLst>
        </xdr:cNvPr>
        <xdr:cNvSpPr txBox="1"/>
      </xdr:nvSpPr>
      <xdr:spPr>
        <a:xfrm>
          <a:off x="30289500" y="3667126"/>
          <a:ext cx="5781675" cy="5274468"/>
        </a:xfrm>
        <a:prstGeom prst="rect">
          <a:avLst/>
        </a:prstGeom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936000" rtlCol="0" anchor="t">
          <a:noAutofit/>
        </a:bodyPr>
        <a:lstStyle/>
        <a:p>
          <a:r>
            <a:rPr lang="de-DE" sz="1400" b="1"/>
            <a:t>Berechnung:</a:t>
          </a:r>
        </a:p>
        <a:p>
          <a:endParaRPr lang="de-DE" sz="1400"/>
        </a:p>
        <a:p>
          <a:r>
            <a:rPr lang="de-DE" sz="1400"/>
            <a:t>Die </a:t>
          </a:r>
          <a:r>
            <a:rPr lang="de-DE" sz="1400" b="1"/>
            <a:t>Lead Time</a:t>
          </a:r>
          <a:r>
            <a:rPr lang="de-DE" sz="1400"/>
            <a:t> wird als die Zeitspanne definiert, die vom </a:t>
          </a:r>
          <a:r>
            <a:rPr lang="de-DE" sz="1400" b="1" i="1"/>
            <a:t>Erreichen des Status "ready4Progress" bis zum Erreichen des Status "Resolved"</a:t>
          </a:r>
          <a:r>
            <a:rPr lang="de-DE" sz="1400"/>
            <a:t> vergeht, wobei wir zusätzlich einen Tag hinzuzufügen, da jeder begonnene Tag als voller Tag zählt. </a:t>
          </a:r>
        </a:p>
        <a:p>
          <a:endParaRPr lang="de-DE" sz="1400"/>
        </a:p>
        <a:p>
          <a:r>
            <a:rPr lang="de-DE" sz="1400"/>
            <a:t>Um die</a:t>
          </a:r>
          <a:r>
            <a:rPr lang="de-DE" sz="1400" baseline="0"/>
            <a:t> </a:t>
          </a:r>
          <a:r>
            <a:rPr lang="de-DE" sz="1400" b="1" baseline="0"/>
            <a:t>Percentile, Min &amp; Max</a:t>
          </a:r>
          <a:r>
            <a:rPr lang="de-DE" sz="1400" b="1"/>
            <a:t> </a:t>
          </a:r>
          <a:r>
            <a:rPr lang="de-DE" sz="1400"/>
            <a:t>der Lead Times zu berechnen, betrachten wir alle </a:t>
          </a:r>
          <a:r>
            <a:rPr lang="de-DE" sz="1400" b="1"/>
            <a:t>Stories und Tasks</a:t>
          </a:r>
          <a:r>
            <a:rPr lang="de-DE" sz="1400"/>
            <a:t>, die im jeweiligen Monat gelöst wurden.</a:t>
          </a:r>
        </a:p>
        <a:p>
          <a:endParaRPr lang="de-DE" sz="1400"/>
        </a:p>
        <a:p>
          <a:r>
            <a:rPr lang="de-DE" sz="1400"/>
            <a:t>Die</a:t>
          </a:r>
          <a:r>
            <a:rPr lang="de-DE" sz="1400" baseline="0"/>
            <a:t> Box des Candle Stick ist die Verteilung zwischen </a:t>
          </a:r>
          <a:r>
            <a:rPr lang="de-DE" sz="1400" b="1" baseline="0"/>
            <a:t>25% Percentil </a:t>
          </a:r>
          <a:r>
            <a:rPr lang="de-DE" sz="1400" baseline="0"/>
            <a:t>und </a:t>
          </a:r>
          <a:r>
            <a:rPr lang="de-DE" sz="1400" b="1" baseline="0"/>
            <a:t>85% Percentil</a:t>
          </a:r>
          <a:r>
            <a:rPr lang="de-DE" sz="1400" baseline="0"/>
            <a:t>. Je gestreckter die Box des Candle Sticks ist, desto größer sind eure Prozessvarianzen. Wenn die Box klein ist, ist die Prozessvarianz entsprechend kleiner.</a:t>
          </a:r>
        </a:p>
        <a:p>
          <a:endParaRPr lang="de-DE" sz="1400" baseline="0"/>
        </a:p>
        <a:p>
          <a:r>
            <a:rPr lang="de-DE" sz="1400" baseline="0"/>
            <a:t>Die Whisker (Linien) sind der Abstand zum </a:t>
          </a:r>
          <a:r>
            <a:rPr lang="de-DE" sz="1400" b="1" baseline="0"/>
            <a:t>Min</a:t>
          </a:r>
          <a:r>
            <a:rPr lang="de-DE" sz="1400" baseline="0"/>
            <a:t> bzw. </a:t>
          </a:r>
          <a:r>
            <a:rPr lang="de-DE" sz="1400" b="1" baseline="0"/>
            <a:t>Max</a:t>
          </a:r>
          <a:r>
            <a:rPr lang="de-DE" sz="1400" baseline="0"/>
            <a:t> Wert der Lead Time und zeigen die komplette Varianz an.</a:t>
          </a:r>
        </a:p>
        <a:p>
          <a:endParaRPr lang="de-DE" sz="1400" baseline="0"/>
        </a:p>
        <a:p>
          <a:r>
            <a:rPr lang="de-DE" sz="1400" baseline="0"/>
            <a:t>Grundsätzlich lässt sich sagen: Eine kleine erze spricht für wenig Prozessvarianz und eine gute Vorhersagbarkeit. Eine große Kerze spricht für eine hohe Prozessvarianz und geringe Vorhersagbarkeit)</a:t>
          </a:r>
          <a:endParaRPr lang="de-DE" sz="1400"/>
        </a:p>
      </xdr:txBody>
    </xdr:sp>
    <xdr:clientData/>
  </xdr:twoCellAnchor>
  <xdr:twoCellAnchor>
    <xdr:from>
      <xdr:col>39</xdr:col>
      <xdr:colOff>571500</xdr:colOff>
      <xdr:row>19</xdr:row>
      <xdr:rowOff>130968</xdr:rowOff>
    </xdr:from>
    <xdr:to>
      <xdr:col>40</xdr:col>
      <xdr:colOff>723900</xdr:colOff>
      <xdr:row>24</xdr:row>
      <xdr:rowOff>92868</xdr:rowOff>
    </xdr:to>
    <xdr:pic>
      <xdr:nvPicPr>
        <xdr:cNvPr id="21" name="Grafik 20" descr="Glühlampe mit einfarbiger Füllung">
          <a:extLst>
            <a:ext uri="{FF2B5EF4-FFF2-40B4-BE49-F238E27FC236}">
              <a16:creationId xmlns:a16="http://schemas.microsoft.com/office/drawing/2014/main" id="{4656E3D7-EBF6-455A-8DE6-82BF1B0A1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30289500" y="3774281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733425</xdr:colOff>
      <xdr:row>17</xdr:row>
      <xdr:rowOff>76198</xdr:rowOff>
    </xdr:from>
    <xdr:to>
      <xdr:col>7</xdr:col>
      <xdr:colOff>133350</xdr:colOff>
      <xdr:row>31</xdr:row>
      <xdr:rowOff>38099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64E5ED8C-9230-4EB1-A0F0-B1204EBD7E77}"/>
            </a:ext>
          </a:extLst>
        </xdr:cNvPr>
        <xdr:cNvGrpSpPr/>
      </xdr:nvGrpSpPr>
      <xdr:grpSpPr>
        <a:xfrm>
          <a:off x="733425" y="3152773"/>
          <a:ext cx="6353175" cy="2495551"/>
          <a:chOff x="4286249" y="295273"/>
          <a:chExt cx="5552081" cy="2628901"/>
        </a:xfrm>
      </xdr:grpSpPr>
      <xdr:sp macro="" textlink="">
        <xdr:nvSpPr>
          <xdr:cNvPr id="3" name="Textfeld 2">
            <a:extLst>
              <a:ext uri="{FF2B5EF4-FFF2-40B4-BE49-F238E27FC236}">
                <a16:creationId xmlns:a16="http://schemas.microsoft.com/office/drawing/2014/main" id="{0C6979DD-0539-B418-3153-7886D08941F4}"/>
              </a:ext>
            </a:extLst>
          </xdr:cNvPr>
          <xdr:cNvSpPr txBox="1"/>
        </xdr:nvSpPr>
        <xdr:spPr>
          <a:xfrm>
            <a:off x="4286249" y="295273"/>
            <a:ext cx="5552081" cy="2628901"/>
          </a:xfrm>
          <a:prstGeom prst="rect">
            <a:avLst/>
          </a:prstGeom>
          <a:solidFill>
            <a:schemeClr val="bg1"/>
          </a:solidFill>
          <a:ln>
            <a:solidFill>
              <a:schemeClr val="bg1">
                <a:lumMod val="6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936000" rtlCol="0" anchor="t">
            <a:noAutofit/>
          </a:bodyPr>
          <a:lstStyle/>
          <a:p>
            <a:r>
              <a:rPr lang="de-DE" sz="1600" b="1"/>
              <a:t>Nutzung:</a:t>
            </a:r>
          </a:p>
          <a:p>
            <a:endParaRPr lang="de-DE" sz="1600"/>
          </a:p>
          <a:p>
            <a:r>
              <a:rPr lang="de-DE" sz="1400"/>
              <a:t>Bitte berechne den Happiness Faktor mit einem Tool oder einer Methode deiner Wahl. </a:t>
            </a:r>
          </a:p>
          <a:p>
            <a:endParaRPr lang="de-DE" sz="1400"/>
          </a:p>
          <a:p>
            <a:r>
              <a:rPr lang="de-DE" sz="1400"/>
              <a:t>Normiere dein Ergebnis auf einer Skala von 1 bis 5, wobei 1 den niedrigsten und 5 den höchsten Wert darstellt. </a:t>
            </a:r>
          </a:p>
          <a:p>
            <a:r>
              <a:rPr lang="de-DE" sz="1400"/>
              <a:t>Trage die ermittelten Werte,</a:t>
            </a:r>
            <a:r>
              <a:rPr lang="de-DE" sz="1400" baseline="0"/>
              <a:t> je Squad, </a:t>
            </a:r>
            <a:r>
              <a:rPr lang="de-DE" sz="1400"/>
              <a:t>anschließend in die Tabelle ein.</a:t>
            </a:r>
          </a:p>
          <a:p>
            <a:endParaRPr lang="de-DE" sz="1400"/>
          </a:p>
          <a:p>
            <a:r>
              <a:rPr lang="de-DE" sz="1400"/>
              <a:t>Deine Squads erscheinen als Spalte</a:t>
            </a:r>
            <a:r>
              <a:rPr lang="de-DE" sz="1400" baseline="0"/>
              <a:t> sobald Du sie im Reiter JIRA Projects eingetragen hast.</a:t>
            </a:r>
            <a:endParaRPr lang="de-DE" sz="1400"/>
          </a:p>
        </xdr:txBody>
      </xdr:sp>
      <xdr:pic>
        <xdr:nvPicPr>
          <xdr:cNvPr id="4" name="Grafik 3" descr="Glühlampe mit einfarbiger Füllung">
            <a:extLst>
              <a:ext uri="{FF2B5EF4-FFF2-40B4-BE49-F238E27FC236}">
                <a16:creationId xmlns:a16="http://schemas.microsoft.com/office/drawing/2014/main" id="{61A52D52-510A-A42F-BFC7-86F34D5B0CC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4305300" y="381000"/>
            <a:ext cx="914400" cy="914400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632460</xdr:colOff>
      <xdr:row>1</xdr:row>
      <xdr:rowOff>129540</xdr:rowOff>
    </xdr:from>
    <xdr:to>
      <xdr:col>19</xdr:col>
      <xdr:colOff>19050</xdr:colOff>
      <xdr:row>18</xdr:row>
      <xdr:rowOff>104775</xdr:rowOff>
    </xdr:to>
    <xdr:grpSp>
      <xdr:nvGrpSpPr>
        <xdr:cNvPr id="407" name="Gruppieren 3">
          <a:extLst>
            <a:ext uri="{FF2B5EF4-FFF2-40B4-BE49-F238E27FC236}">
              <a16:creationId xmlns:a16="http://schemas.microsoft.com/office/drawing/2014/main" id="{01DCFC41-B7BD-49E6-54E2-818C27D0523A}"/>
            </a:ext>
          </a:extLst>
        </xdr:cNvPr>
        <xdr:cNvGrpSpPr/>
      </xdr:nvGrpSpPr>
      <xdr:grpSpPr>
        <a:xfrm>
          <a:off x="8681085" y="310515"/>
          <a:ext cx="6416040" cy="3051810"/>
          <a:chOff x="8854440" y="731520"/>
          <a:chExt cx="6439287" cy="3080266"/>
        </a:xfrm>
      </xdr:grpSpPr>
      <xdr:sp macro="" textlink="">
        <xdr:nvSpPr>
          <xdr:cNvPr id="408" name="Textfeld 1">
            <a:extLst>
              <a:ext uri="{FF2B5EF4-FFF2-40B4-BE49-F238E27FC236}">
                <a16:creationId xmlns:a16="http://schemas.microsoft.com/office/drawing/2014/main" id="{374DE01D-00F6-4230-A10B-DC6B0D38AC4F}"/>
              </a:ext>
            </a:extLst>
          </xdr:cNvPr>
          <xdr:cNvSpPr txBox="1"/>
        </xdr:nvSpPr>
        <xdr:spPr>
          <a:xfrm>
            <a:off x="8854440" y="731520"/>
            <a:ext cx="6439287" cy="3080266"/>
          </a:xfrm>
          <a:prstGeom prst="rect">
            <a:avLst/>
          </a:prstGeom>
          <a:solidFill>
            <a:schemeClr val="bg1"/>
          </a:solidFill>
          <a:ln>
            <a:solidFill>
              <a:schemeClr val="bg1">
                <a:lumMod val="6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936000" rtlCol="0" anchor="t">
            <a:noAutofit/>
          </a:bodyPr>
          <a:lstStyle/>
          <a:p>
            <a:r>
              <a:rPr lang="de-DE" sz="1600" b="1"/>
              <a:t>Beschreibung</a:t>
            </a:r>
          </a:p>
          <a:p>
            <a:endParaRPr lang="de-DE" sz="1400" b="0"/>
          </a:p>
          <a:p>
            <a:r>
              <a:rPr lang="de-DE" sz="1200" b="0"/>
              <a:t>Bitte trage die Anzahl an Mitarbeitenden deiner Squads für jede Etappe in die Tabelle ein. Diese Informationen sind wichtig, um das Work in Progress (WiP) pro Mitarbeitenden genau darzustellen.</a:t>
            </a:r>
          </a:p>
          <a:p>
            <a:endParaRPr lang="de-DE" sz="1200" b="0"/>
          </a:p>
          <a:p>
            <a:r>
              <a:rPr lang="de-DE" sz="1200" b="0"/>
              <a:t>Nutze hier die tatsächliche Anzahl an Personen, die an Aufgaben auf dem Board gearbeitet hat. </a:t>
            </a:r>
          </a:p>
          <a:p>
            <a:r>
              <a:rPr lang="de-DE" sz="1200" b="0"/>
              <a:t>Beachte dabei Folgendes:</a:t>
            </a:r>
          </a:p>
          <a:p>
            <a:pPr marL="285750" indent="-285750">
              <a:buFont typeface="Arial" panose="020B0604020202020204" pitchFamily="34" charset="0"/>
              <a:buChar char="•"/>
            </a:pPr>
            <a:r>
              <a:rPr lang="de-DE" sz="1200" b="1"/>
              <a:t>Einbeziehen</a:t>
            </a:r>
            <a:r>
              <a:rPr lang="de-DE" sz="1200" b="0"/>
              <a:t>: Alle internen und esternen Teammitglieder, die aktiv an den</a:t>
            </a:r>
            <a:r>
              <a:rPr lang="de-DE" sz="1200" b="0" baseline="0"/>
              <a:t> Aufgaben auf dem Board</a:t>
            </a:r>
            <a:r>
              <a:rPr lang="de-DE" sz="1200" b="0"/>
              <a:t> mitgewirkt haben</a:t>
            </a:r>
          </a:p>
          <a:p>
            <a:pPr marL="285750" indent="-285750">
              <a:buFont typeface="Arial" panose="020B0604020202020204" pitchFamily="34" charset="0"/>
              <a:buChar char="•"/>
            </a:pPr>
            <a:r>
              <a:rPr lang="de-DE" sz="1200" b="1"/>
              <a:t>Nicht einbeziehen</a:t>
            </a:r>
            <a:r>
              <a:rPr lang="de-DE" sz="1200" b="0"/>
              <a:t>: langfristig kranke Mitarbeiter, Product Owner (PO) und Agile Master (AM).</a:t>
            </a:r>
          </a:p>
          <a:p>
            <a:pPr marL="285750" indent="-285750">
              <a:buFont typeface="Arial" panose="020B0604020202020204" pitchFamily="34" charset="0"/>
              <a:buChar char="•"/>
            </a:pPr>
            <a:r>
              <a:rPr lang="de-DE" sz="1200" b="1"/>
              <a:t>Urlaub</a:t>
            </a:r>
            <a:r>
              <a:rPr lang="de-DE" sz="1200" b="0"/>
              <a:t>: Bitte ignoriere Urlaubszeiten bei der Personenangabe.</a:t>
            </a:r>
          </a:p>
        </xdr:txBody>
      </xdr:sp>
      <xdr:pic>
        <xdr:nvPicPr>
          <xdr:cNvPr id="409" name="Grafik 2" descr="Glühlampe mit einfarbiger Füllung">
            <a:extLst>
              <a:ext uri="{FF2B5EF4-FFF2-40B4-BE49-F238E27FC236}">
                <a16:creationId xmlns:a16="http://schemas.microsoft.com/office/drawing/2014/main" id="{7EA8822F-887F-4752-ABC3-7E21F1FB48E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8854440" y="731520"/>
            <a:ext cx="946129" cy="869630"/>
          </a:xfrm>
          <a:prstGeom prst="rect">
            <a:avLst/>
          </a:prstGeom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eam-Dashboard_Mindestmetrikenset_1.411.xlsx" TargetMode="External"/><Relationship Id="rId2" Type="http://schemas.openxmlformats.org/officeDocument/2006/relationships/externalLinkPath" Target="file:///D:\Team-Dashboard_Mindestmetrikenset_1.411.xlsx" TargetMode="External"/><Relationship Id="rId1" Type="http://schemas.openxmlformats.org/officeDocument/2006/relationships/externalLinkPath" Target="/Team-Dashboard_Mindestmetrikenset_1.4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inrichtung"/>
      <sheetName val="Dashboard"/>
      <sheetName val="Blockermanagement"/>
      <sheetName val="FlowEfficiency"/>
      <sheetName val="SayDo Ratio"/>
      <sheetName val="Akzeptanzkriterien"/>
      <sheetName val="LeadTime_CS"/>
      <sheetName val="LeadTime"/>
      <sheetName val="LeadTime Neu"/>
      <sheetName val="WiP"/>
      <sheetName val="Happiness Faktor"/>
      <sheetName val="Aging WIP"/>
      <sheetName val="CycleTime Scatterplot"/>
      <sheetName val="CycleTimeViewer"/>
      <sheetName val="TAM Reflexion"/>
      <sheetName val="JiraProjects"/>
      <sheetName val="JiraBlockermanagement"/>
      <sheetName val="JiraStories"/>
      <sheetName val="JiraEpics"/>
      <sheetName val="SquadDaten"/>
      <sheetName val="BRP Etappen"/>
      <sheetName val="Datumstabelle"/>
      <sheetName val="Hilfsfelder"/>
      <sheetName val="CACHE_BlockedFieldHistory"/>
      <sheetName val="Changelog"/>
    </sheetNames>
    <sheetDataSet>
      <sheetData sheetId="0" refreshError="1"/>
      <sheetData sheetId="1">
        <row r="3">
          <cell r="C3" t="str">
            <v>Connected Services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>
        <row r="2">
          <cell r="B2" t="str">
            <v>Squad</v>
          </cell>
          <cell r="C2" t="str">
            <v>2025_01</v>
          </cell>
          <cell r="D2" t="str">
            <v>2025_02</v>
          </cell>
          <cell r="E2" t="str">
            <v>2025_03</v>
          </cell>
          <cell r="F2" t="str">
            <v>2025_04</v>
          </cell>
          <cell r="G2" t="str">
            <v>2026_01</v>
          </cell>
          <cell r="H2" t="str">
            <v>2026_02</v>
          </cell>
          <cell r="I2" t="str">
            <v>2026_03</v>
          </cell>
          <cell r="J2" t="str">
            <v>2026_04</v>
          </cell>
        </row>
        <row r="3">
          <cell r="B3" t="str">
            <v>My AXA Dream Department</v>
          </cell>
          <cell r="C3">
            <v>8</v>
          </cell>
          <cell r="D3">
            <v>8</v>
          </cell>
          <cell r="E3">
            <v>9</v>
          </cell>
          <cell r="F3">
            <v>8</v>
          </cell>
          <cell r="G3">
            <v>7</v>
          </cell>
          <cell r="H3">
            <v>7</v>
          </cell>
          <cell r="I3">
            <v>7</v>
          </cell>
          <cell r="J3">
            <v>7</v>
          </cell>
        </row>
        <row r="4">
          <cell r="B4" t="str">
            <v>My AXA Police Academy</v>
          </cell>
          <cell r="C4">
            <v>9</v>
          </cell>
          <cell r="D4">
            <v>9</v>
          </cell>
          <cell r="E4">
            <v>9</v>
          </cell>
          <cell r="F4">
            <v>10</v>
          </cell>
          <cell r="G4">
            <v>9</v>
          </cell>
          <cell r="H4">
            <v>9</v>
          </cell>
          <cell r="I4">
            <v>9</v>
          </cell>
          <cell r="J4">
            <v>9</v>
          </cell>
        </row>
        <row r="5">
          <cell r="B5" t="str">
            <v>My AXA App</v>
          </cell>
          <cell r="C5">
            <v>9</v>
          </cell>
          <cell r="D5">
            <v>9</v>
          </cell>
          <cell r="E5">
            <v>9</v>
          </cell>
          <cell r="F5">
            <v>9</v>
          </cell>
          <cell r="G5">
            <v>8</v>
          </cell>
          <cell r="H5">
            <v>8</v>
          </cell>
          <cell r="I5">
            <v>8</v>
          </cell>
          <cell r="J5">
            <v>8</v>
          </cell>
        </row>
        <row r="6">
          <cell r="B6" t="str">
            <v>My AXA Gesamt</v>
          </cell>
          <cell r="C6">
            <v>26</v>
          </cell>
          <cell r="D6">
            <v>26</v>
          </cell>
          <cell r="E6">
            <v>27</v>
          </cell>
          <cell r="F6">
            <v>26</v>
          </cell>
          <cell r="G6">
            <v>24</v>
          </cell>
          <cell r="H6">
            <v>24</v>
          </cell>
          <cell r="I6">
            <v>24</v>
          </cell>
          <cell r="J6">
            <v>24</v>
          </cell>
        </row>
        <row r="7">
          <cell r="B7" t="str">
            <v>eCommerce Shop</v>
          </cell>
          <cell r="C7">
            <v>2</v>
          </cell>
          <cell r="D7">
            <v>5</v>
          </cell>
          <cell r="E7">
            <v>5</v>
          </cell>
          <cell r="F7">
            <v>5</v>
          </cell>
          <cell r="G7">
            <v>4</v>
          </cell>
          <cell r="H7">
            <v>4</v>
          </cell>
          <cell r="I7">
            <v>4</v>
          </cell>
          <cell r="J7">
            <v>4</v>
          </cell>
        </row>
        <row r="8">
          <cell r="B8" t="str">
            <v>Connected Services</v>
          </cell>
          <cell r="C8">
            <v>5</v>
          </cell>
          <cell r="D8">
            <v>5</v>
          </cell>
          <cell r="E8">
            <v>5</v>
          </cell>
          <cell r="F8">
            <v>5</v>
          </cell>
          <cell r="G8">
            <v>5</v>
          </cell>
          <cell r="H8">
            <v>5</v>
          </cell>
          <cell r="I8">
            <v>5</v>
          </cell>
          <cell r="J8">
            <v>5</v>
          </cell>
        </row>
        <row r="9">
          <cell r="B9" t="str">
            <v>Cognitive Services</v>
          </cell>
          <cell r="C9">
            <v>9</v>
          </cell>
          <cell r="D9">
            <v>9</v>
          </cell>
          <cell r="E9">
            <v>8</v>
          </cell>
          <cell r="F9">
            <v>6</v>
          </cell>
          <cell r="G9">
            <v>7</v>
          </cell>
          <cell r="H9">
            <v>7</v>
          </cell>
          <cell r="I9">
            <v>7</v>
          </cell>
          <cell r="J9">
            <v>7</v>
          </cell>
        </row>
      </sheetData>
      <sheetData sheetId="20" refreshError="1"/>
      <sheetData sheetId="21">
        <row r="3">
          <cell r="B3">
            <v>45809</v>
          </cell>
        </row>
        <row r="4">
          <cell r="B4">
            <v>45839</v>
          </cell>
        </row>
        <row r="5">
          <cell r="B5">
            <v>45870</v>
          </cell>
        </row>
        <row r="6">
          <cell r="B6">
            <v>45901</v>
          </cell>
        </row>
        <row r="7">
          <cell r="B7">
            <v>45931</v>
          </cell>
        </row>
        <row r="8">
          <cell r="B8">
            <v>45962</v>
          </cell>
        </row>
        <row r="9">
          <cell r="B9">
            <v>45992</v>
          </cell>
        </row>
        <row r="10">
          <cell r="B10">
            <v>46023</v>
          </cell>
        </row>
        <row r="11">
          <cell r="B11">
            <v>46054</v>
          </cell>
        </row>
        <row r="12">
          <cell r="B12">
            <v>46082</v>
          </cell>
        </row>
        <row r="13">
          <cell r="B13">
            <v>46113</v>
          </cell>
        </row>
        <row r="14">
          <cell r="B14">
            <v>46143</v>
          </cell>
        </row>
        <row r="15">
          <cell r="B15">
            <v>46174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connectionId="1" xr16:uid="{4EE0D17F-50BD-47F4-98C4-E99ABF9EC764}" autoFormatId="16" applyNumberFormats="0" applyBorderFormats="0" applyFontFormats="0" applyPatternFormats="0" applyAlignmentFormats="0" applyWidthHeightFormats="0">
  <queryTableRefresh nextId="20">
    <queryTableFields count="16">
      <queryTableField id="1" name="issues.key" tableColumnId="1"/>
      <queryTableField id="2" name="Status" tableColumnId="2"/>
      <queryTableField id="3" name="Squad" tableColumnId="3"/>
      <queryTableField id="18" name="Modifier" tableColumnId="16"/>
      <queryTableField id="5" name="BlockedStart" tableColumnId="5"/>
      <queryTableField id="4" name="BlockedReason" tableColumnId="4"/>
      <queryTableField id="15" name="BlockedSeq" tableColumnId="15"/>
      <queryTableField id="6" name="BlockedEnd" tableColumnId="6"/>
      <queryTableField id="7" name="BlockedDuration" tableColumnId="7"/>
      <queryTableField id="8" name="BlockedDurationHours" tableColumnId="8"/>
      <queryTableField id="9" name="Blockiert/Wartend_Zustand" tableColumnId="9"/>
      <queryTableField id="10" name="Blockiert/Wartend_Grund" tableColumnId="10"/>
      <queryTableField id="11" name="Wie oft in Blocked" tableColumnId="11"/>
      <queryTableField id="12" name="BlockiertWartendSeit" tableColumnId="12"/>
      <queryTableField id="13" name="BlockedEndeHilfsSpalte" tableColumnId="13"/>
      <queryTableField id="14" name="LoadedFromJiraAt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A3C67C76-9EE1-4F31-B33A-BE9F25CB6A8D}" autoFormatId="16" applyNumberFormats="0" applyBorderFormats="0" applyFontFormats="0" applyPatternFormats="0" applyAlignmentFormats="0" applyWidthHeightFormats="0">
  <queryTableRefresh nextId="989">
    <queryTableFields count="123">
      <queryTableField id="1" name="Jira-ID" tableColumnId="1"/>
      <queryTableField id="2" name="project.key" tableColumnId="2"/>
      <queryTableField id="3" name="project.name" tableColumnId="3"/>
      <queryTableField id="4" name="Issue-Type" tableColumnId="4"/>
      <queryTableField id="5" name="Created (Status New)" tableColumnId="5"/>
      <queryTableField id="6" name="Blockiert/Wartend" tableColumnId="6"/>
      <queryTableField id="7" name="Issue-Status" tableColumnId="7"/>
      <queryTableField id="8" name="Status-Kategorie" tableColumnId="8"/>
      <queryTableField id="724" name="Analysed" tableColumnId="9"/>
      <queryTableField id="725" name="Analysed_first" tableColumnId="10"/>
      <queryTableField id="726" name="leaving_Analysed_first" tableColumnId="11"/>
      <queryTableField id="727" name="leaving_Analysed" tableColumnId="12"/>
      <queryTableField id="728" name="Analysed_Count" tableColumnId="13"/>
      <queryTableField id="729" name="Blocked" tableColumnId="14"/>
      <queryTableField id="730" name="Blocked_first" tableColumnId="15"/>
      <queryTableField id="731" name="leaving_Blocked_first" tableColumnId="16"/>
      <queryTableField id="732" name="leaving_Blocked" tableColumnId="17"/>
      <queryTableField id="733" name="Blocked_Count" tableColumnId="18"/>
      <queryTableField id="947" name="Done" tableColumnId="19"/>
      <queryTableField id="948" name="Done_first" tableColumnId="20"/>
      <queryTableField id="949" name="Done_Count" tableColumnId="21"/>
      <queryTableField id="737" name="Evaluated" tableColumnId="22"/>
      <queryTableField id="738" name="Evaluated_first" tableColumnId="23"/>
      <queryTableField id="739" name="leaving_Evaluated_first" tableColumnId="24"/>
      <queryTableField id="740" name="leaving_Evaluated" tableColumnId="25"/>
      <queryTableField id="741" name="Evaluated_Count" tableColumnId="26"/>
      <queryTableField id="742" name="In Progress" tableColumnId="27"/>
      <queryTableField id="743" name="In Progress_first" tableColumnId="28"/>
      <queryTableField id="744" name="leaving_In Progress_first" tableColumnId="29"/>
      <queryTableField id="745" name="leaving_In Progress" tableColumnId="30"/>
      <queryTableField id="746" name="In Progress_Count" tableColumnId="31"/>
      <queryTableField id="747" name="In QS" tableColumnId="32"/>
      <queryTableField id="748" name="In QS_first" tableColumnId="33"/>
      <queryTableField id="749" name="leaving_In QS_first" tableColumnId="34"/>
      <queryTableField id="750" name="leaving_In QS" tableColumnId="35"/>
      <queryTableField id="751" name="In QS_Count" tableColumnId="36"/>
      <queryTableField id="752" name="In Test" tableColumnId="37"/>
      <queryTableField id="753" name="In Test_first" tableColumnId="38"/>
      <queryTableField id="754" name="leaving_In Test_first" tableColumnId="39"/>
      <queryTableField id="755" name="leaving_In Test" tableColumnId="40"/>
      <queryTableField id="756" name="In Test_Count" tableColumnId="41"/>
      <queryTableField id="760" name="New" tableColumnId="45"/>
      <queryTableField id="761" name="New_first" tableColumnId="46"/>
      <queryTableField id="762" name="leaving_New_first" tableColumnId="47"/>
      <queryTableField id="763" name="leaving_New" tableColumnId="48"/>
      <queryTableField id="764" name="New_Count" tableColumnId="49"/>
      <queryTableField id="765" name="Open" tableColumnId="50"/>
      <queryTableField id="766" name="Open_first" tableColumnId="51"/>
      <queryTableField id="767" name="Open_Count" tableColumnId="52"/>
      <queryTableField id="771" name="Ready4E2E-Test" tableColumnId="56"/>
      <queryTableField id="772" name="Ready4E2E-Test_first" tableColumnId="57"/>
      <queryTableField id="773" name="leaving_Ready4E2E-Test_first" tableColumnId="58"/>
      <queryTableField id="774" name="leaving_Ready4E2E-Test" tableColumnId="59"/>
      <queryTableField id="775" name="Ready4E2E-Test_Count" tableColumnId="60"/>
      <queryTableField id="776" name="Ready4Production" tableColumnId="61"/>
      <queryTableField id="777" name="Ready4Production_first" tableColumnId="62"/>
      <queryTableField id="778" name="leaving_Ready4Production_first" tableColumnId="63"/>
      <queryTableField id="779" name="leaving_Ready4Production" tableColumnId="64"/>
      <queryTableField id="780" name="Ready4Production_Count" tableColumnId="65"/>
      <queryTableField id="781" name="Ready4Progress" tableColumnId="66"/>
      <queryTableField id="782" name="Ready4Progress_first" tableColumnId="67"/>
      <queryTableField id="783" name="leaving_Ready4Progress_first" tableColumnId="68"/>
      <queryTableField id="784" name="leaving_Ready4Progress" tableColumnId="69"/>
      <queryTableField id="785" name="Ready4Progress_Count" tableColumnId="70"/>
      <queryTableField id="786" name="Ready4QS" tableColumnId="71"/>
      <queryTableField id="787" name="Ready4QS_first" tableColumnId="72"/>
      <queryTableField id="788" name="leaving_Ready4QS_first" tableColumnId="73"/>
      <queryTableField id="789" name="leaving_Ready4QS" tableColumnId="74"/>
      <queryTableField id="790" name="Ready4QS_Count" tableColumnId="75"/>
      <queryTableField id="791" name="Ready4Review" tableColumnId="76"/>
      <queryTableField id="792" name="Ready4Review_first" tableColumnId="77"/>
      <queryTableField id="793" name="leaving_Ready4Review_first" tableColumnId="78"/>
      <queryTableField id="794" name="leaving_Ready4Review" tableColumnId="79"/>
      <queryTableField id="795" name="Ready4Review_Count" tableColumnId="80"/>
      <queryTableField id="799" name="Refinement" tableColumnId="84"/>
      <queryTableField id="800" name="Refinement_first" tableColumnId="85"/>
      <queryTableField id="801" name="leaving_Refinement_first" tableColumnId="86"/>
      <queryTableField id="802" name="leaving_Refinement" tableColumnId="87"/>
      <queryTableField id="803" name="Refinement_Count" tableColumnId="88"/>
      <queryTableField id="804" name="Rejected" tableColumnId="89"/>
      <queryTableField id="805" name="Rejected_first" tableColumnId="90"/>
      <queryTableField id="806" name="Rejected_Count" tableColumnId="91"/>
      <queryTableField id="810" name="Resolved" tableColumnId="95"/>
      <queryTableField id="811" name="Resolved_first" tableColumnId="96"/>
      <queryTableField id="812" name="Resolved_Count" tableColumnId="97"/>
      <queryTableField id="813" name="Resume" tableColumnId="98"/>
      <queryTableField id="814" name="Resume_first" tableColumnId="99"/>
      <queryTableField id="815" name="leaving_Resume_first" tableColumnId="100"/>
      <queryTableField id="816" name="leaving_Resume" tableColumnId="101"/>
      <queryTableField id="817" name="Resume_Count" tableColumnId="102"/>
      <queryTableField id="950" name="Review" tableColumnId="42"/>
      <queryTableField id="951" name="Review_first" tableColumnId="43"/>
      <queryTableField id="952" name="Review_Count" tableColumnId="44"/>
      <queryTableField id="971" name="Selected" tableColumnId="92"/>
      <queryTableField id="972" name="Selected_first" tableColumnId="93"/>
      <queryTableField id="973" name="Selected_Count" tableColumnId="94"/>
      <queryTableField id="953" name="To Do" tableColumnId="53"/>
      <queryTableField id="954" name="To Do_first" tableColumnId="54"/>
      <queryTableField id="955" name="To Do_Count" tableColumnId="55"/>
      <queryTableField id="956" name="To be tested" tableColumnId="81"/>
      <queryTableField id="957" name="To be tested_first" tableColumnId="82"/>
      <queryTableField id="958" name="To be tested_Count" tableColumnId="83"/>
      <queryTableField id="974" name="Validierung" tableColumnId="118"/>
      <queryTableField id="975" name="Validierung_first" tableColumnId="119"/>
      <queryTableField id="976" name="Validierung_Count" tableColumnId="120"/>
      <queryTableField id="977" name="Warten" tableColumnId="121"/>
      <queryTableField id="978" name="Warten_first" tableColumnId="122"/>
      <queryTableField id="979" name="Warten_Count" tableColumnId="123"/>
      <queryTableField id="818" name="Ready4Test" tableColumnId="103"/>
      <queryTableField id="819" name="Ready4Test_first" tableColumnId="104"/>
      <queryTableField id="820" name="leaving_Ready4Test_first" tableColumnId="105"/>
      <queryTableField id="821" name="leaving_Ready4Test" tableColumnId="106"/>
      <queryTableField id="822" name="Ready4Test_Count" tableColumnId="107"/>
      <queryTableField id="108" name="Blockiert/Wartend_Grund" tableColumnId="108"/>
      <queryTableField id="109" name="Blockiert/Wartend_Zustand" tableColumnId="109"/>
      <queryTableField id="110" name="TimeInStatusBlocked" tableColumnId="110"/>
      <queryTableField id="111" name="LeadTime" tableColumnId="111"/>
      <queryTableField id="112" name="CycleTime" tableColumnId="112"/>
      <queryTableField id="113" name="TimeInWIP" tableColumnId="113"/>
      <queryTableField id="114" name="TimeInActualStatus" tableColumnId="114"/>
      <queryTableField id="115" name="Squad" tableColumnId="115"/>
      <queryTableField id="116" name="Modifier" tableColumnId="116"/>
      <queryTableField id="117" name="LoadedFromJiraAt" tableColumnId="1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443924E3-92E3-43E0-A3D9-2B79A2ABFE5C}" autoFormatId="16" applyNumberFormats="0" applyBorderFormats="0" applyFontFormats="0" applyPatternFormats="0" applyAlignmentFormats="0" applyWidthHeightFormats="0">
  <queryTableRefresh nextId="117">
    <queryTableFields count="33">
      <queryTableField id="1" name="Jira-ID" tableColumnId="1"/>
      <queryTableField id="2" name="Kurzbeschreibung" tableColumnId="2"/>
      <queryTableField id="3" name="Stage" tableColumnId="3"/>
      <queryTableField id="4" name="Created (Status New)" tableColumnId="4"/>
      <queryTableField id="5" name="Issue-Status" tableColumnId="5"/>
      <queryTableField id="6" name="Status-Kategorie" tableColumnId="6"/>
      <queryTableField id="7" name="EPIC-Kategorie" tableColumnId="7"/>
      <queryTableField id="8" name="Akzeptanzkriterien" tableColumnId="8"/>
      <queryTableField id="9" name="project.key" tableColumnId="9"/>
      <queryTableField id="10" name="project.name" tableColumnId="10"/>
      <queryTableField id="11" name="Squad" tableColumnId="11"/>
      <queryTableField id="89" name="Analyse" tableColumnId="20"/>
      <queryTableField id="90" name="Call For Ice" tableColumnId="21"/>
      <queryTableField id="91" name="Closed" tableColumnId="22"/>
      <queryTableField id="92" name="Commitment" tableColumnId="23"/>
      <queryTableField id="85" name="Done" tableColumnId="13"/>
      <queryTableField id="72" name="In Progress" tableColumnId="14"/>
      <queryTableField id="74" name="Open" tableColumnId="16"/>
      <queryTableField id="93" name="Ready for Dev" tableColumnId="24"/>
      <queryTableField id="94" name="Ready4Progress" tableColumnId="25"/>
      <queryTableField id="95" name="Refined" tableColumnId="26"/>
      <queryTableField id="96" name="Refinement" tableColumnId="27"/>
      <queryTableField id="75" name="Rejected" tableColumnId="17"/>
      <queryTableField id="97" name="Reopened" tableColumnId="28"/>
      <queryTableField id="76" name="Resolved" tableColumnId="18"/>
      <queryTableField id="98" name="Story Mapping" tableColumnId="29"/>
      <queryTableField id="86" name="To Do" tableColumnId="15"/>
      <queryTableField id="77" name="UNCALLED" tableColumnId="19"/>
      <queryTableField id="99" name="Validierung" tableColumnId="30"/>
      <queryTableField id="100" name="Warten" tableColumnId="31"/>
      <queryTableField id="101" name="Won't Do" tableColumnId="32"/>
      <queryTableField id="102" name="Won't Fix" tableColumnId="33"/>
      <queryTableField id="12" name="LoadedFromJiraAt" tableColumnId="1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5D7768-9A29-4001-9C90-31D9E608E398}" name="LeadTime13" displayName="LeadTime13" ref="B3:CD16" totalsRowShown="0" headerRowDxfId="206" dataDxfId="204" headerRowBorderDxfId="205" tableBorderDxfId="203">
  <autoFilter ref="B3:CD16" xr:uid="{DC16CD45-74D7-4623-92BD-B62D289A281F}"/>
  <tableColumns count="81">
    <tableColumn id="1" xr3:uid="{6CB6D9C8-F1E3-4A2F-A728-DE72214A17C1}" name="Datum" dataDxfId="202">
      <calculatedColumnFormula>#REF!</calculatedColumnFormula>
    </tableColumn>
    <tableColumn id="2" xr3:uid="{014DE846-DE1A-450D-8BA7-0EFE3B1FE949}" name="ausgewähltes Squad" dataDxfId="201"/>
    <tableColumn id="3" xr3:uid="{2AB58A67-86E9-4BAF-9A4A-7B197D80F685}" name="Max" dataDxfId="200"/>
    <tableColumn id="4" xr3:uid="{FDC67095-4622-44E5-84B0-47FA627EBEBA}" name="Min" dataDxfId="199"/>
    <tableColumn id="5" xr3:uid="{FDEEB817-6C5B-44A4-B9F0-E4364FA28BDF}" name="25% Percentil" dataDxfId="198"/>
    <tableColumn id="6" xr3:uid="{446FDC4F-51B6-49EE-B5CB-752605F1E1CB}" name="Median" dataDxfId="197"/>
    <tableColumn id="7" xr3:uid="{1F20780F-DFDC-4B33-A511-23B6D07AB3C1}" name="85% Percentil1" dataDxfId="196"/>
    <tableColumn id="8" xr3:uid="{6D894CD3-2C6C-4CD9-9D48-CCF13F90F392}" name="Max1" dataDxfId="195"/>
    <tableColumn id="9" xr3:uid="{07FCCFB4-94E5-4751-893F-CA763BAC79A7}" name="Min1" dataDxfId="194"/>
    <tableColumn id="10" xr3:uid="{666BE031-542F-46D7-8B3E-9479DB6E1D68}" name="25% Percentil1" dataDxfId="193"/>
    <tableColumn id="11" xr3:uid="{12497A21-5745-4606-8FF8-CE4932BD3E2C}" name="Median1" dataDxfId="192"/>
    <tableColumn id="12" xr3:uid="{94892BA1-112C-4171-AC52-E4F999FBDDA3}" name="85% Percentil2" dataDxfId="191"/>
    <tableColumn id="13" xr3:uid="{2F795C15-EF0C-4025-9923-326A9952898B}" name="Max2" dataDxfId="190"/>
    <tableColumn id="14" xr3:uid="{1CCC96C0-B91E-41DD-AA07-A6B8B79E8290}" name="Min2" dataDxfId="189"/>
    <tableColumn id="15" xr3:uid="{F35F696C-D6F8-4614-A879-00BD5C3ED7EF}" name="25% Percentil2" dataDxfId="188"/>
    <tableColumn id="16" xr3:uid="{7928AD12-C92E-4130-8F06-15A9A82B0BD5}" name="Median2" dataDxfId="187"/>
    <tableColumn id="17" xr3:uid="{86539D01-3033-4FDA-9550-F6C083B06780}" name="85% Percentil3" dataDxfId="186"/>
    <tableColumn id="18" xr3:uid="{7024548F-E780-4ABF-8398-FA009C5297D4}" name="Max3" dataDxfId="185"/>
    <tableColumn id="19" xr3:uid="{F1B63722-A30C-4DB6-BB1F-0954896EAC57}" name="Min3" dataDxfId="184"/>
    <tableColumn id="20" xr3:uid="{576D83C5-DF07-472F-AC28-A37156C7A341}" name="25% Percentil3" dataDxfId="183"/>
    <tableColumn id="21" xr3:uid="{7F78CF40-F222-469A-AA3A-183E4C52914C}" name="Median3" dataDxfId="182"/>
    <tableColumn id="22" xr3:uid="{F86D99E0-10B8-45C1-881A-B833394AF51B}" name="85% Percentil4" dataDxfId="181"/>
    <tableColumn id="23" xr3:uid="{89E07114-1E68-40BE-B111-7BD5D25709F4}" name="Max4" dataDxfId="180"/>
    <tableColumn id="24" xr3:uid="{85617F49-D519-4892-80B1-7811EAD82143}" name="Min4" dataDxfId="179"/>
    <tableColumn id="25" xr3:uid="{B6D99010-FB12-4DAE-9333-75088BA05B42}" name="25% Percentil4" dataDxfId="178"/>
    <tableColumn id="26" xr3:uid="{BEB88376-3F1D-4146-ABB8-1A0005AB5038}" name="Median4" dataDxfId="177"/>
    <tableColumn id="27" xr3:uid="{2530E7E3-8392-4408-A5EB-25DCCE7FF024}" name="85% Percentil5" dataDxfId="176"/>
    <tableColumn id="28" xr3:uid="{BC9E03C2-8832-40BC-86DA-9A424326BBCB}" name="Max5" dataDxfId="175"/>
    <tableColumn id="29" xr3:uid="{3F9978E0-EDF9-4CDE-8B8F-0B79D039EA4F}" name="Min5" dataDxfId="174"/>
    <tableColumn id="30" xr3:uid="{40377996-D183-4566-B055-9AB9FFFA644A}" name="25% Percentil5" dataDxfId="173"/>
    <tableColumn id="31" xr3:uid="{E8FA5CED-F967-4B7A-8CA5-A46DA007E2F8}" name="Median5" dataDxfId="172"/>
    <tableColumn id="32" xr3:uid="{CE3A055C-29F8-4C35-8140-95E24A7E3D0A}" name="85% Percentil6" dataDxfId="171"/>
    <tableColumn id="33" xr3:uid="{66D23FAF-F6DA-4C30-A2A4-BD83B2D6E49A}" name="Max6" dataDxfId="170"/>
    <tableColumn id="34" xr3:uid="{C3DD7FAB-D97D-46DE-AD6F-E1F4682053AB}" name="Min6" dataDxfId="169"/>
    <tableColumn id="35" xr3:uid="{78638C55-7E1C-4E72-9418-53577AE88D6B}" name="25% Percentil6" dataDxfId="168"/>
    <tableColumn id="36" xr3:uid="{794A40FB-B529-420C-ABF7-A82E40D3A1FD}" name="Median6" dataDxfId="167"/>
    <tableColumn id="37" xr3:uid="{C62FBA52-3794-4E9F-8894-F506B9CDBB92}" name="85% Percentil7" dataDxfId="166"/>
    <tableColumn id="38" xr3:uid="{99762F6B-7904-4B2F-8274-E59C3B1CCFC6}" name="Max7" dataDxfId="165"/>
    <tableColumn id="39" xr3:uid="{1A5D971D-39AD-410D-9CC6-0221489FC180}" name="Min7" dataDxfId="164"/>
    <tableColumn id="40" xr3:uid="{6FE61342-DC96-4237-BFC0-D037A8E7937E}" name="25% Percentil7" dataDxfId="163"/>
    <tableColumn id="41" xr3:uid="{E2730641-5FF1-432F-9B05-6DAC39DC9EAA}" name="Median7" dataDxfId="162"/>
    <tableColumn id="42" xr3:uid="{4B5BFB6B-DE41-458F-A31E-52FC3374B974}" name="85% Percentil8" dataDxfId="161"/>
    <tableColumn id="43" xr3:uid="{91F8445F-B329-4EDB-B8C0-000BADFC2380}" name="Max8" dataDxfId="160"/>
    <tableColumn id="44" xr3:uid="{DF9F635A-55BF-4201-83B5-B8791EAD6CEE}" name="Min8" dataDxfId="159"/>
    <tableColumn id="45" xr3:uid="{0CDA0323-172C-402F-9CC9-C1B96B37C6B9}" name="25% Percentil8" dataDxfId="158"/>
    <tableColumn id="46" xr3:uid="{967618DB-99F3-4728-81B4-575EEED4D03F}" name="Median8" dataDxfId="157"/>
    <tableColumn id="47" xr3:uid="{C8C8890D-0F43-44E9-8432-2FD4E743A962}" name="85% Percentil9" dataDxfId="156"/>
    <tableColumn id="48" xr3:uid="{2A01E557-94C7-49FD-8F1C-5807C9E30529}" name="Max9" dataDxfId="155"/>
    <tableColumn id="49" xr3:uid="{EF2C746A-6C8F-4D22-A90A-1AEB2422BB5D}" name="Min9" dataDxfId="154"/>
    <tableColumn id="50" xr3:uid="{6AC18196-1DD5-4D8D-9841-A384A24CD095}" name="25% Percentil9" dataDxfId="153"/>
    <tableColumn id="51" xr3:uid="{CBD7DA2A-2D4B-4AFB-AE6E-BA83A0D9C463}" name="Median9" dataDxfId="152"/>
    <tableColumn id="52" xr3:uid="{067AAEA5-43D1-4483-9582-7F56988D7B85}" name="85% Percentil10" dataDxfId="151"/>
    <tableColumn id="53" xr3:uid="{82AAF38B-58A5-4880-A1CF-95703AAC4318}" name="Max10" dataDxfId="150"/>
    <tableColumn id="54" xr3:uid="{8B007A06-1218-4209-AF29-C12763E24A6A}" name="Min10" dataDxfId="149"/>
    <tableColumn id="55" xr3:uid="{782BDD7D-EA01-470E-8A32-C25CCDB69D68}" name="25% Percentil10" dataDxfId="148"/>
    <tableColumn id="56" xr3:uid="{E6448193-2D9B-4826-887E-C5BD4D7978CF}" name="Median10" dataDxfId="147"/>
    <tableColumn id="57" xr3:uid="{E6FB01F9-8007-4C1C-B783-87A781539CE6}" name="85% Percentil11" dataDxfId="146"/>
    <tableColumn id="58" xr3:uid="{5C39E168-0639-40E9-8337-2EF80388E0FA}" name="Max11" dataDxfId="145"/>
    <tableColumn id="59" xr3:uid="{A19C85C3-11F4-48EB-B9CC-5591BCD5823D}" name="Min11" dataDxfId="144"/>
    <tableColumn id="60" xr3:uid="{EFD17F08-A124-4B15-8CB6-CD9D1C3CC738}" name="25% Percentil11" dataDxfId="143"/>
    <tableColumn id="61" xr3:uid="{DD3E2FE3-D05A-4BB5-B940-2EE3960CF418}" name="Median11" dataDxfId="142"/>
    <tableColumn id="62" xr3:uid="{41D95E0E-F5F2-4CE5-9293-D89CB574991D}" name="85% Percentil12" dataDxfId="141"/>
    <tableColumn id="63" xr3:uid="{44E2CAAF-30BC-4B3A-ABC4-BCF0D10BF77B}" name="Max12" dataDxfId="140"/>
    <tableColumn id="64" xr3:uid="{993D1E6E-C6D2-4BD6-9110-7F4F604B52B9}" name="Min12" dataDxfId="139"/>
    <tableColumn id="65" xr3:uid="{168A106E-87C8-4D6B-BC76-D801A2A5263E}" name="25% Percentil12" dataDxfId="138"/>
    <tableColumn id="66" xr3:uid="{7DE68283-3966-4AC2-B482-87EC6EB725C4}" name="Median12" dataDxfId="137"/>
    <tableColumn id="67" xr3:uid="{0AB20CC7-ABF9-407A-9727-29656B3614BE}" name="85% Percentil13" dataDxfId="136"/>
    <tableColumn id="68" xr3:uid="{45FCA430-DDF9-47B5-A864-8DE5815D4F38}" name="Max13" dataDxfId="135"/>
    <tableColumn id="69" xr3:uid="{DA848557-4500-44E7-8235-BD05F83D648C}" name="Min13" dataDxfId="134"/>
    <tableColumn id="70" xr3:uid="{03954E8E-2972-4050-942C-10543A09305D}" name="25% Percentil13" dataDxfId="133"/>
    <tableColumn id="71" xr3:uid="{F225AE4A-AA70-49DA-8583-CD1ACDA84010}" name="Median13" dataDxfId="132"/>
    <tableColumn id="72" xr3:uid="{BA6A5220-A387-416F-A132-5F86AF4B1276}" name="85% Percentil14" dataDxfId="131"/>
    <tableColumn id="73" xr3:uid="{5FBD6549-6F4D-444B-B84B-1FAF79E268AB}" name="Max14" dataDxfId="130"/>
    <tableColumn id="74" xr3:uid="{E662C391-9B92-46AA-8E58-A64BEBC2B6AB}" name="Min14" dataDxfId="129"/>
    <tableColumn id="75" xr3:uid="{FFC6F6B6-591C-4941-9255-C5362D092B34}" name="25% Percentil14" dataDxfId="128"/>
    <tableColumn id="76" xr3:uid="{E774AD25-6D26-4B1E-9ABB-904F5BAC258C}" name="Median14" dataDxfId="127"/>
    <tableColumn id="77" xr3:uid="{071FB183-EA74-4459-BFEF-E492DCD066F3}" name="85% Percentil12222222226" dataDxfId="126"/>
    <tableColumn id="78" xr3:uid="{8BA69525-7E05-44F7-8D95-A398411C0C0B}" name="Max13333333337" dataDxfId="125"/>
    <tableColumn id="79" xr3:uid="{FF135D59-2AF8-4313-82F1-AACC86B63A23}" name="Min14444444448" dataDxfId="124"/>
    <tableColumn id="80" xr3:uid="{8FCD81AB-A1F9-4AB8-A7D2-AC1E603E681E}" name="25% Percentil15555555559" dataDxfId="123"/>
    <tableColumn id="81" xr3:uid="{C35476B8-412B-44C4-99CE-58F609335727}" name="Median166666666610" dataDxfId="12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C6312B-AB4C-4C1A-9747-74C608D5FC89}" name="jiraProjectsTable" displayName="jiraProjectsTable" ref="B3:D20" totalsRowShown="0" headerRowDxfId="121" dataDxfId="120">
  <autoFilter ref="B3:D20" xr:uid="{4EC6312B-AB4C-4C1A-9747-74C608D5FC89}"/>
  <tableColumns count="3">
    <tableColumn id="1" xr3:uid="{D9B1D9BE-42DA-46AC-9ABE-EF80875E8727}" name="Project" dataDxfId="119"/>
    <tableColumn id="2" xr3:uid="{C8D34C82-C979-461B-BFAF-B6BF8A7DFAD2}" name="Modifier" dataDxfId="118"/>
    <tableColumn id="3" xr3:uid="{5350C6D3-40E7-4FA6-B364-03292602EF70}" name="Squad" dataDxfId="1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779CB5A-8A22-48A4-B87B-1AA68FE99F4C}" name="JiraBlockermanagement" displayName="JiraBlockermanagement" ref="A1:P17" tableType="queryTable" totalsRowShown="0">
  <autoFilter ref="A1:P17" xr:uid="{E779CB5A-8A22-48A4-B87B-1AA68FE99F4C}"/>
  <tableColumns count="16">
    <tableColumn id="1" xr3:uid="{F37BC0F8-75C4-4796-A666-8DFCB5E6EBD3}" uniqueName="1" name="issues.key" queryTableFieldId="1" dataDxfId="217"/>
    <tableColumn id="2" xr3:uid="{060560D4-BA1F-4002-930C-010ED7C49F18}" uniqueName="2" name="Status" queryTableFieldId="2" dataDxfId="216"/>
    <tableColumn id="3" xr3:uid="{E8FBA56A-66E3-487D-B56C-6CE68EAE9145}" uniqueName="3" name="Squad" queryTableFieldId="3" dataDxfId="215"/>
    <tableColumn id="16" xr3:uid="{C09EC99D-59E5-4432-915A-2BA8F165E3AF}" uniqueName="16" name="Modifier" queryTableFieldId="18" dataDxfId="214"/>
    <tableColumn id="5" xr3:uid="{028E3ABF-DAF3-4F35-83AE-49115A60B6EF}" uniqueName="5" name="BlockedStart" queryTableFieldId="5" dataDxfId="213"/>
    <tableColumn id="4" xr3:uid="{83684FE4-B221-478F-B39C-DB2B3A4E8C06}" uniqueName="4" name="BlockedReason" queryTableFieldId="4"/>
    <tableColumn id="15" xr3:uid="{0CAF4189-FE7D-48C6-8AB7-56DF2D8B2049}" uniqueName="15" name="BlockedSeq" queryTableFieldId="15"/>
    <tableColumn id="6" xr3:uid="{F2D954EA-C186-4C9C-9D18-BED5288428C9}" uniqueName="6" name="BlockedEnd" queryTableFieldId="6" dataDxfId="212"/>
    <tableColumn id="7" xr3:uid="{C5B66FEA-1B59-425B-9345-1CEC1A73D357}" uniqueName="7" name="BlockedDuration" queryTableFieldId="7" dataDxfId="211"/>
    <tableColumn id="8" xr3:uid="{C31EBFDA-D56B-462F-96C6-0A33441A3A44}" uniqueName="8" name="BlockedDurationHours" queryTableFieldId="8"/>
    <tableColumn id="9" xr3:uid="{2A28BBC2-1671-409F-9279-FCE7B71DAB9C}" uniqueName="9" name="Blockiert/Wartend_Zustand" queryTableFieldId="9" dataDxfId="210"/>
    <tableColumn id="10" xr3:uid="{97E7CA68-0478-466D-A4AD-AA998D309191}" uniqueName="10" name="Blockiert/Wartend_Grund" queryTableFieldId="10" dataDxfId="209"/>
    <tableColumn id="11" xr3:uid="{A07C40BF-640A-4001-8915-C7B9D2092AA3}" uniqueName="11" name="Wie oft in Blocked" queryTableFieldId="11"/>
    <tableColumn id="12" xr3:uid="{903CE85F-E294-49E0-AD6B-155F26C17F3F}" uniqueName="12" name="BlockiertWartendSeit" queryTableFieldId="12"/>
    <tableColumn id="13" xr3:uid="{B51ED896-B351-4476-BCDB-822DCD7AA375}" uniqueName="13" name="BlockedEndeHilfsSpalte" queryTableFieldId="13" dataDxfId="208"/>
    <tableColumn id="14" xr3:uid="{BF6EE1C0-9ED8-4A00-BE39-58FE55F9F6AC}" uniqueName="14" name="LoadedFromJiraAt" queryTableFieldId="14" dataDxfId="20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0591618-8E61-4A22-A6C3-6EDA47EE0124}" name="JiraStories" displayName="JiraStories" ref="A1:DS1120" tableType="queryTable" totalsRowShown="0">
  <autoFilter ref="A1:DS1120" xr:uid="{60591618-8E61-4A22-A6C3-6EDA47EE0124}"/>
  <tableColumns count="123">
    <tableColumn id="1" xr3:uid="{C58193CE-F3FC-412D-8780-B51624365D0B}" uniqueName="1" name="Jira-ID" queryTableFieldId="1"/>
    <tableColumn id="2" xr3:uid="{A66AF6A4-02B4-40EC-837E-20B7F144B5EA}" uniqueName="2" name="project.key" queryTableFieldId="2"/>
    <tableColumn id="3" xr3:uid="{ADDCD1EB-09EE-461C-967E-0677973CBFB2}" uniqueName="3" name="project.name" queryTableFieldId="3"/>
    <tableColumn id="4" xr3:uid="{608BC966-D440-4F00-A565-E2C5E45427D4}" uniqueName="4" name="Issue-Type" queryTableFieldId="4" dataDxfId="116"/>
    <tableColumn id="5" xr3:uid="{6E968D62-57E1-4EB1-8510-47309FB5668F}" uniqueName="5" name="Created (Status New)" queryTableFieldId="5" dataDxfId="115"/>
    <tableColumn id="6" xr3:uid="{CD90546C-1940-4B92-A2E5-ED02B91E2190}" uniqueName="6" name="Blockiert/Wartend" queryTableFieldId="6"/>
    <tableColumn id="7" xr3:uid="{F2C0021A-CABF-402A-8912-F612EE8FE5D6}" uniqueName="7" name="Issue-Status" queryTableFieldId="7" dataDxfId="114"/>
    <tableColumn id="8" xr3:uid="{4F357668-8A85-43B4-9D2A-C203935281F3}" uniqueName="8" name="Status-Kategorie" queryTableFieldId="8" dataDxfId="113"/>
    <tableColumn id="9" xr3:uid="{7F3CCE62-9154-49C4-9338-A5F841CF3975}" uniqueName="9" name="Analysed" queryTableFieldId="724" dataDxfId="112"/>
    <tableColumn id="10" xr3:uid="{BE25AA8B-9B04-4621-9C81-C844A5C7BF5B}" uniqueName="10" name="Analysed_first" queryTableFieldId="725" dataDxfId="111"/>
    <tableColumn id="11" xr3:uid="{C60C0B26-E92B-4CD2-A412-96A5F7469DEC}" uniqueName="11" name="leaving_Analysed_first" queryTableFieldId="726" dataDxfId="110"/>
    <tableColumn id="12" xr3:uid="{1A73D93D-715D-4821-8FA1-F7592008131E}" uniqueName="12" name="leaving_Analysed" queryTableFieldId="727" dataDxfId="109"/>
    <tableColumn id="13" xr3:uid="{9EC6FE52-BD52-4A1F-BB27-2B40AC26B87D}" uniqueName="13" name="Analysed_Count" queryTableFieldId="728" dataDxfId="108"/>
    <tableColumn id="14" xr3:uid="{7BA9BF05-A21D-4EEB-B89F-D1B14283C1C2}" uniqueName="14" name="Blocked" queryTableFieldId="729" dataDxfId="107"/>
    <tableColumn id="15" xr3:uid="{0252D613-7DDF-4760-9815-3C66937FC1CF}" uniqueName="15" name="Blocked_first" queryTableFieldId="730" dataDxfId="106"/>
    <tableColumn id="16" xr3:uid="{C55B1130-81AB-4AC9-8709-EADA1D27CE1A}" uniqueName="16" name="leaving_Blocked_first" queryTableFieldId="731" dataDxfId="105"/>
    <tableColumn id="17" xr3:uid="{E7427D76-AD9D-4C39-8DD2-487445D9351C}" uniqueName="17" name="leaving_Blocked" queryTableFieldId="732" dataDxfId="104"/>
    <tableColumn id="18" xr3:uid="{E838EA7A-F953-40C6-BAA1-AE12404FC0A4}" uniqueName="18" name="Blocked_Count" queryTableFieldId="733" dataDxfId="103"/>
    <tableColumn id="19" xr3:uid="{01BC3EDC-A67A-44C5-BA96-C4EFC18AA112}" uniqueName="19" name="Done" queryTableFieldId="947"/>
    <tableColumn id="20" xr3:uid="{D5CA77F9-44CF-4B6F-86C4-A2027C376848}" uniqueName="20" name="Done_first" queryTableFieldId="948"/>
    <tableColumn id="21" xr3:uid="{71278BF7-EEC3-4767-AE62-1B707288573D}" uniqueName="21" name="Done_Count" queryTableFieldId="949"/>
    <tableColumn id="22" xr3:uid="{A3134157-7507-4E29-A490-3B8C305249C9}" uniqueName="22" name="Evaluated" queryTableFieldId="737" dataDxfId="102"/>
    <tableColumn id="23" xr3:uid="{6DA5FD60-2FF9-44E9-BDFA-4720680A6E80}" uniqueName="23" name="Evaluated_first" queryTableFieldId="738" dataDxfId="101"/>
    <tableColumn id="24" xr3:uid="{B6F85695-96E6-4AA7-B9A2-1BDB34BF47B7}" uniqueName="24" name="leaving_Evaluated_first" queryTableFieldId="739" dataDxfId="100"/>
    <tableColumn id="25" xr3:uid="{24021DBA-C3A6-4558-8424-CB2421EA951D}" uniqueName="25" name="leaving_Evaluated" queryTableFieldId="740" dataDxfId="99"/>
    <tableColumn id="26" xr3:uid="{76682926-7532-41CB-A3F7-D33CFDB3A58E}" uniqueName="26" name="Evaluated_Count" queryTableFieldId="741" dataDxfId="98"/>
    <tableColumn id="27" xr3:uid="{3CBB614E-44C9-41AB-B6F3-025C3E565DA5}" uniqueName="27" name="In Progress" queryTableFieldId="742" dataDxfId="97"/>
    <tableColumn id="28" xr3:uid="{2BC5DF60-768F-430A-BCB4-52D334B4C845}" uniqueName="28" name="In Progress_first" queryTableFieldId="743" dataDxfId="96"/>
    <tableColumn id="29" xr3:uid="{22962B49-05B4-480D-943B-14A6633CF9F6}" uniqueName="29" name="leaving_In Progress_first" queryTableFieldId="744" dataDxfId="95"/>
    <tableColumn id="30" xr3:uid="{2D696646-CA6E-4B40-AAFC-F0A04A6F0F3C}" uniqueName="30" name="leaving_In Progress" queryTableFieldId="745" dataDxfId="94"/>
    <tableColumn id="31" xr3:uid="{D11378CE-AEB3-45C0-B9C4-8F955E376B84}" uniqueName="31" name="In Progress_Count" queryTableFieldId="746" dataDxfId="93"/>
    <tableColumn id="32" xr3:uid="{06F672AF-E33C-49E8-BBC7-E9E4A3E9C150}" uniqueName="32" name="In QS" queryTableFieldId="747" dataDxfId="92"/>
    <tableColumn id="33" xr3:uid="{56C5D6EE-8A90-4111-9A1C-5EC44E70A513}" uniqueName="33" name="In QS_first" queryTableFieldId="748" dataDxfId="91"/>
    <tableColumn id="34" xr3:uid="{3591FACE-ADEC-4060-A8E6-27B1F254E229}" uniqueName="34" name="leaving_In QS_first" queryTableFieldId="749" dataDxfId="90"/>
    <tableColumn id="35" xr3:uid="{1E4CCD1B-767A-479C-A6B6-361FA794E6F2}" uniqueName="35" name="leaving_In QS" queryTableFieldId="750" dataDxfId="89"/>
    <tableColumn id="36" xr3:uid="{7434F21A-BC22-4302-9328-99649CCD76D4}" uniqueName="36" name="In QS_Count" queryTableFieldId="751" dataDxfId="88"/>
    <tableColumn id="37" xr3:uid="{0783431F-65B0-4B2F-8759-6EFFB0BA9358}" uniqueName="37" name="In Test" queryTableFieldId="752" dataDxfId="87"/>
    <tableColumn id="38" xr3:uid="{D833CA58-5762-4D2D-B206-11EBD6C33885}" uniqueName="38" name="In Test_first" queryTableFieldId="753" dataDxfId="86"/>
    <tableColumn id="39" xr3:uid="{E8BEEEBC-7E67-47B7-90C4-277F578D061D}" uniqueName="39" name="leaving_In Test_first" queryTableFieldId="754" dataDxfId="85"/>
    <tableColumn id="40" xr3:uid="{BDE33030-DC20-4A3F-9396-D1D0A1C80888}" uniqueName="40" name="leaving_In Test" queryTableFieldId="755" dataDxfId="84"/>
    <tableColumn id="41" xr3:uid="{9882F043-44A2-48F6-A0A6-0A66CC6A64F0}" uniqueName="41" name="In Test_Count" queryTableFieldId="756" dataDxfId="83"/>
    <tableColumn id="45" xr3:uid="{9E14F638-59C4-4D72-A020-E90356DC9844}" uniqueName="45" name="New" queryTableFieldId="760" dataDxfId="82"/>
    <tableColumn id="46" xr3:uid="{4CAA6435-4731-4B2B-B636-2AF67E6485F6}" uniqueName="46" name="New_first" queryTableFieldId="761" dataDxfId="81"/>
    <tableColumn id="47" xr3:uid="{891C64C8-F1CA-48F3-AA06-BE7CE365C554}" uniqueName="47" name="leaving_New_first" queryTableFieldId="762" dataDxfId="80"/>
    <tableColumn id="48" xr3:uid="{9B09732B-C287-4D17-9FFF-E16301CB7C11}" uniqueName="48" name="leaving_New" queryTableFieldId="763" dataDxfId="79"/>
    <tableColumn id="49" xr3:uid="{62B3032B-61E5-4E4F-B42B-0A554157E878}" uniqueName="49" name="New_Count" queryTableFieldId="764" dataDxfId="78"/>
    <tableColumn id="50" xr3:uid="{294D5970-D7A0-40BA-98A3-31086C0EFA1C}" uniqueName="50" name="Open" queryTableFieldId="765" dataDxfId="77"/>
    <tableColumn id="51" xr3:uid="{8C044E6F-924C-4D8D-B6FD-D7D72C3A6E43}" uniqueName="51" name="Open_first" queryTableFieldId="766" dataDxfId="76"/>
    <tableColumn id="52" xr3:uid="{9F816BA1-FC4F-4C2B-AC3F-F3F19AD9069C}" uniqueName="52" name="Open_Count" queryTableFieldId="767" dataDxfId="75"/>
    <tableColumn id="56" xr3:uid="{80A00EA3-2D7B-4F38-B713-1DF502564336}" uniqueName="56" name="Ready4E2E-Test" queryTableFieldId="771" dataDxfId="74"/>
    <tableColumn id="57" xr3:uid="{0683C5C4-E596-4E60-98D0-F9EC42D307A5}" uniqueName="57" name="Ready4E2E-Test_first" queryTableFieldId="772" dataDxfId="73"/>
    <tableColumn id="58" xr3:uid="{5919E6CF-F9AC-46E3-B807-608C08C81900}" uniqueName="58" name="leaving_Ready4E2E-Test_first" queryTableFieldId="773" dataDxfId="72"/>
    <tableColumn id="59" xr3:uid="{4EFF3FB0-B129-4E81-991A-AE6FC9371F8D}" uniqueName="59" name="leaving_Ready4E2E-Test" queryTableFieldId="774" dataDxfId="71"/>
    <tableColumn id="60" xr3:uid="{5A4C4940-BA21-4F07-9A7E-A5027182400D}" uniqueName="60" name="Ready4E2E-Test_Count" queryTableFieldId="775" dataDxfId="70"/>
    <tableColumn id="61" xr3:uid="{0455B356-01BC-42B2-89A5-1487D4503428}" uniqueName="61" name="Ready4Production" queryTableFieldId="776" dataDxfId="69"/>
    <tableColumn id="62" xr3:uid="{AA2773B8-25FB-4EBF-87F1-5CA9D839818C}" uniqueName="62" name="Ready4Production_first" queryTableFieldId="777" dataDxfId="68"/>
    <tableColumn id="63" xr3:uid="{B679D8A3-A669-4263-8079-790BA5552608}" uniqueName="63" name="leaving_Ready4Production_first" queryTableFieldId="778" dataDxfId="67"/>
    <tableColumn id="64" xr3:uid="{378C8F7F-351C-403B-8C80-E2CF88B478C6}" uniqueName="64" name="leaving_Ready4Production" queryTableFieldId="779" dataDxfId="66"/>
    <tableColumn id="65" xr3:uid="{7168E9F5-211A-4CB4-AD6A-802EBF218029}" uniqueName="65" name="Ready4Production_Count" queryTableFieldId="780" dataDxfId="65"/>
    <tableColumn id="66" xr3:uid="{CA617597-48B3-4BD6-B3A7-C9005FCF7F65}" uniqueName="66" name="Ready4Progress" queryTableFieldId="781" dataDxfId="64"/>
    <tableColumn id="67" xr3:uid="{9CDE6155-3534-4517-81A4-D9FE62949593}" uniqueName="67" name="Ready4Progress_first" queryTableFieldId="782" dataDxfId="63"/>
    <tableColumn id="68" xr3:uid="{6CCC2F9D-2A4D-4CC3-8428-61F6A98D3F8D}" uniqueName="68" name="leaving_Ready4Progress_first" queryTableFieldId="783" dataDxfId="62"/>
    <tableColumn id="69" xr3:uid="{CD6A8EA3-D033-4DC1-85FE-A3BAF4ABA500}" uniqueName="69" name="leaving_Ready4Progress" queryTableFieldId="784" dataDxfId="61"/>
    <tableColumn id="70" xr3:uid="{3C06962D-37C1-4249-8B9A-962DA6659311}" uniqueName="70" name="Ready4Progress_Count" queryTableFieldId="785" dataDxfId="60"/>
    <tableColumn id="71" xr3:uid="{80BA79CE-7AA4-4285-A334-55BEC411084F}" uniqueName="71" name="Ready4QS" queryTableFieldId="786" dataDxfId="59"/>
    <tableColumn id="72" xr3:uid="{B33FE785-D4B5-447C-BE78-9E72A6C7E217}" uniqueName="72" name="Ready4QS_first" queryTableFieldId="787" dataDxfId="58"/>
    <tableColumn id="73" xr3:uid="{FADC589C-26FE-4672-A969-4EA764795A95}" uniqueName="73" name="leaving_Ready4QS_first" queryTableFieldId="788" dataDxfId="57"/>
    <tableColumn id="74" xr3:uid="{A3F003C7-57F7-4F04-97DF-E87C3977C478}" uniqueName="74" name="leaving_Ready4QS" queryTableFieldId="789" dataDxfId="56"/>
    <tableColumn id="75" xr3:uid="{59A540BD-FF60-4758-9422-4A082A2F7BBC}" uniqueName="75" name="Ready4QS_Count" queryTableFieldId="790" dataDxfId="55"/>
    <tableColumn id="76" xr3:uid="{0B1AF284-09D3-47D6-8950-5D8A2E07186D}" uniqueName="76" name="Ready4Review" queryTableFieldId="791" dataDxfId="54"/>
    <tableColumn id="77" xr3:uid="{577BB22B-9333-425C-8E71-B0C220255748}" uniqueName="77" name="Ready4Review_first" queryTableFieldId="792" dataDxfId="53"/>
    <tableColumn id="78" xr3:uid="{90E5DDBD-15BD-4EA6-B6F6-9D57432971A9}" uniqueName="78" name="leaving_Ready4Review_first" queryTableFieldId="793" dataDxfId="52"/>
    <tableColumn id="79" xr3:uid="{4B52C9C1-EAAB-4A21-9875-7712B63282B3}" uniqueName="79" name="leaving_Ready4Review" queryTableFieldId="794" dataDxfId="51"/>
    <tableColumn id="80" xr3:uid="{80CFF7E2-B2C6-4544-905C-758744CB7B4F}" uniqueName="80" name="Ready4Review_Count" queryTableFieldId="795" dataDxfId="50"/>
    <tableColumn id="84" xr3:uid="{F0DCAB33-A184-410A-A207-7F6B09BC2D19}" uniqueName="84" name="Refinement" queryTableFieldId="799" dataDxfId="49"/>
    <tableColumn id="85" xr3:uid="{CE8E0437-0A3D-4789-9949-B61138623D35}" uniqueName="85" name="Refinement_first" queryTableFieldId="800" dataDxfId="48"/>
    <tableColumn id="86" xr3:uid="{931D2579-FA49-40AE-9169-EF5D3DAD1FAE}" uniqueName="86" name="leaving_Refinement_first" queryTableFieldId="801" dataDxfId="47"/>
    <tableColumn id="87" xr3:uid="{2853F9BD-F0DA-4E09-A631-9BF8E329C9EF}" uniqueName="87" name="leaving_Refinement" queryTableFieldId="802" dataDxfId="46"/>
    <tableColumn id="88" xr3:uid="{6244AD59-ED95-4755-BE90-A6A7AE5BCB93}" uniqueName="88" name="Refinement_Count" queryTableFieldId="803" dataDxfId="45"/>
    <tableColumn id="89" xr3:uid="{3BD785FA-C833-42A4-BA09-CAD7A38CB0D2}" uniqueName="89" name="Rejected" queryTableFieldId="804" dataDxfId="44"/>
    <tableColumn id="90" xr3:uid="{2FB48DDE-83EB-4E0C-88EE-07DE3BAED51A}" uniqueName="90" name="Rejected_first" queryTableFieldId="805" dataDxfId="43"/>
    <tableColumn id="91" xr3:uid="{5A82CB52-577B-4092-BF8F-2E47A86132A3}" uniqueName="91" name="Rejected_Count" queryTableFieldId="806" dataDxfId="42"/>
    <tableColumn id="95" xr3:uid="{9FC97272-3E1A-4C66-B3C5-33E2B3E49D05}" uniqueName="95" name="Resolved" queryTableFieldId="810" dataDxfId="41"/>
    <tableColumn id="96" xr3:uid="{95F5DF7A-B1A9-41FA-8599-0170BDEFDAD5}" uniqueName="96" name="Resolved_first" queryTableFieldId="811" dataDxfId="40"/>
    <tableColumn id="97" xr3:uid="{42DF52DE-CBDA-4631-B0AB-D1AF37DEF04F}" uniqueName="97" name="Resolved_Count" queryTableFieldId="812" dataDxfId="39"/>
    <tableColumn id="98" xr3:uid="{CEA03FAF-DADE-4088-B11C-2B4D701666B3}" uniqueName="98" name="Resume" queryTableFieldId="813" dataDxfId="38"/>
    <tableColumn id="99" xr3:uid="{BF8A17C9-F08D-492A-9790-F987ECD1EAB1}" uniqueName="99" name="Resume_first" queryTableFieldId="814" dataDxfId="37"/>
    <tableColumn id="100" xr3:uid="{5BD7E444-6D80-4FB1-8F77-52B4404B6F8C}" uniqueName="100" name="leaving_Resume_first" queryTableFieldId="815" dataDxfId="36"/>
    <tableColumn id="101" xr3:uid="{DD9C79E4-546F-4D52-8713-ECEC8D354992}" uniqueName="101" name="leaving_Resume" queryTableFieldId="816" dataDxfId="35"/>
    <tableColumn id="102" xr3:uid="{0DFD582E-D91D-420E-ABF5-870A4EFEE44C}" uniqueName="102" name="Resume_Count" queryTableFieldId="817" dataDxfId="34"/>
    <tableColumn id="42" xr3:uid="{EB928A7B-8CAD-4747-AB51-19319BAEAD17}" uniqueName="42" name="Review" queryTableFieldId="950"/>
    <tableColumn id="43" xr3:uid="{5C5994E3-4304-4007-9268-A94C74424F26}" uniqueName="43" name="Review_first" queryTableFieldId="951"/>
    <tableColumn id="44" xr3:uid="{EA409D2E-6F72-453F-BC61-D88818CD7167}" uniqueName="44" name="Review_Count" queryTableFieldId="952"/>
    <tableColumn id="92" xr3:uid="{5CD238F8-257C-4372-93E6-EA7262691870}" uniqueName="92" name="Selected" queryTableFieldId="971"/>
    <tableColumn id="93" xr3:uid="{2E682769-A3CD-4456-9D7C-D174561021BB}" uniqueName="93" name="Selected_first" queryTableFieldId="972"/>
    <tableColumn id="94" xr3:uid="{85BF6FAF-2246-48C7-BE48-5734B07B582F}" uniqueName="94" name="Selected_Count" queryTableFieldId="973"/>
    <tableColumn id="53" xr3:uid="{1496A53C-4A50-43A0-8ED0-54A1040F220D}" uniqueName="53" name="To Do" queryTableFieldId="953"/>
    <tableColumn id="54" xr3:uid="{3B0D9CD2-9C8C-43D8-AF92-533636FCBCB8}" uniqueName="54" name="To Do_first" queryTableFieldId="954"/>
    <tableColumn id="55" xr3:uid="{D7F09903-5312-42AC-B1A3-89B1C60C72F0}" uniqueName="55" name="To Do_Count" queryTableFieldId="955"/>
    <tableColumn id="81" xr3:uid="{F345A518-A6B2-417C-A8F1-584C555D371B}" uniqueName="81" name="To be tested" queryTableFieldId="956"/>
    <tableColumn id="82" xr3:uid="{D24303C0-AF3D-4DDE-873A-F88F108F4BDE}" uniqueName="82" name="To be tested_first" queryTableFieldId="957"/>
    <tableColumn id="83" xr3:uid="{EBBBB9C3-6E9D-4114-882D-98A4F02D9464}" uniqueName="83" name="To be tested_Count" queryTableFieldId="958"/>
    <tableColumn id="118" xr3:uid="{7776B75C-A99C-4668-8B80-80595B49972B}" uniqueName="118" name="Validierung" queryTableFieldId="974"/>
    <tableColumn id="119" xr3:uid="{7709DE5F-7BC0-446A-984A-AA99C039C9AD}" uniqueName="119" name="Validierung_first" queryTableFieldId="975"/>
    <tableColumn id="120" xr3:uid="{94F336F4-F67A-4084-BD40-D7F2D1305BA2}" uniqueName="120" name="Validierung_Count" queryTableFieldId="976"/>
    <tableColumn id="121" xr3:uid="{EA1C069C-50BE-421D-B4D7-1F167D18D29D}" uniqueName="121" name="Warten" queryTableFieldId="977"/>
    <tableColumn id="122" xr3:uid="{AA7C9F3B-664A-4AB0-A3E9-45DC81DF7174}" uniqueName="122" name="Warten_first" queryTableFieldId="978"/>
    <tableColumn id="123" xr3:uid="{838DC0F1-3919-4B3C-9092-06DAEDB323CA}" uniqueName="123" name="Warten_Count" queryTableFieldId="979"/>
    <tableColumn id="103" xr3:uid="{C9F197C1-6BD7-4B27-BE5D-D19DA9D83242}" uniqueName="103" name="Ready4Test" queryTableFieldId="818" dataDxfId="33"/>
    <tableColumn id="104" xr3:uid="{0742CE3A-8DBE-4DFC-A4EF-0139EBD38D64}" uniqueName="104" name="Ready4Test_first" queryTableFieldId="819" dataDxfId="32"/>
    <tableColumn id="105" xr3:uid="{0D0DC0D5-5B34-431D-96F6-7B19824D58A7}" uniqueName="105" name="leaving_Ready4Test_first" queryTableFieldId="820" dataDxfId="31"/>
    <tableColumn id="106" xr3:uid="{9C8E3F11-4A3C-420B-8E55-880FDCF6C374}" uniqueName="106" name="leaving_Ready4Test" queryTableFieldId="821" dataDxfId="30"/>
    <tableColumn id="107" xr3:uid="{FC934128-B91D-4BD4-88B7-948E95CDCF63}" uniqueName="107" name="Ready4Test_Count" queryTableFieldId="822" dataDxfId="29"/>
    <tableColumn id="108" xr3:uid="{0EE152AF-E56E-4C2F-8A41-259A79B88E6D}" uniqueName="108" name="Blockiert/Wartend_Grund" queryTableFieldId="108" dataDxfId="28"/>
    <tableColumn id="109" xr3:uid="{46825164-90A0-4291-AA38-A0BF2AB059A9}" uniqueName="109" name="Blockiert/Wartend_Zustand" queryTableFieldId="109" dataDxfId="27"/>
    <tableColumn id="110" xr3:uid="{A877CB85-1A4E-49C4-BE87-98E25E4C73A6}" uniqueName="110" name="TimeInStatusBlocked" queryTableFieldId="110"/>
    <tableColumn id="111" xr3:uid="{606F146B-B343-4711-83C4-102B29619570}" uniqueName="111" name="LeadTime" queryTableFieldId="111"/>
    <tableColumn id="112" xr3:uid="{E3FB8F23-60F5-47AE-BAD5-B085E3A1D76F}" uniqueName="112" name="CycleTime" queryTableFieldId="112"/>
    <tableColumn id="113" xr3:uid="{4627160E-6A4B-4BE4-B1A4-918ED60234E0}" uniqueName="113" name="TimeInWIP" queryTableFieldId="113"/>
    <tableColumn id="114" xr3:uid="{316B5381-99C3-435E-889F-952692761E89}" uniqueName="114" name="TimeInActualStatus" queryTableFieldId="114"/>
    <tableColumn id="115" xr3:uid="{82B63EEB-569A-48EB-9820-D97CE2C831F4}" uniqueName="115" name="Squad" queryTableFieldId="115" dataDxfId="26"/>
    <tableColumn id="116" xr3:uid="{7985C7FA-D3AA-4052-9BA3-50F908D79F7F}" uniqueName="116" name="Modifier" queryTableFieldId="116" dataDxfId="25"/>
    <tableColumn id="117" xr3:uid="{0B7F9054-9D87-42A3-BE77-8EFBBA40442B}" uniqueName="117" name="LoadedFromJiraAt" queryTableFieldId="117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C7B2606-F105-46E9-B3EA-DA2919E36AAE}" name="JiraEpics" displayName="JiraEpics" ref="A1:AG376" tableType="queryTable" totalsRowShown="0">
  <autoFilter ref="A1:AG376" xr:uid="{1C7B2606-F105-46E9-B3EA-DA2919E36AAE}"/>
  <tableColumns count="33">
    <tableColumn id="1" xr3:uid="{7392F947-B28D-4E7D-AB2F-9B2437693224}" uniqueName="1" name="Jira-ID" queryTableFieldId="1"/>
    <tableColumn id="2" xr3:uid="{33EE3875-A5A1-4517-BBA4-F1ED0A7B53CB}" uniqueName="2" name="Kurzbeschreibung" queryTableFieldId="2"/>
    <tableColumn id="3" xr3:uid="{AD41B337-4778-4BE6-905F-8284160C7BA5}" uniqueName="3" name="Stage" queryTableFieldId="3"/>
    <tableColumn id="4" xr3:uid="{8755F8E6-C45F-475C-9DCB-9F6FBA38BF5B}" uniqueName="4" name="Created (Status New)" queryTableFieldId="4" dataDxfId="23"/>
    <tableColumn id="5" xr3:uid="{FAA091A1-8B7D-4A18-993E-2DCC26113545}" uniqueName="5" name="Issue-Status" queryTableFieldId="5"/>
    <tableColumn id="6" xr3:uid="{1D1A99E6-80A9-49C2-908D-A0ADBD87E59E}" uniqueName="6" name="Status-Kategorie" queryTableFieldId="6"/>
    <tableColumn id="7" xr3:uid="{69537E24-D228-4840-B82B-0EE2DB690ADF}" uniqueName="7" name="EPIC-Kategorie" queryTableFieldId="7"/>
    <tableColumn id="8" xr3:uid="{D80A88EA-F408-4A29-B820-64C1B4E7174B}" uniqueName="8" name="Akzeptanzkriterien" queryTableFieldId="8"/>
    <tableColumn id="9" xr3:uid="{8AA85823-6E94-473C-B24F-E045D812159D}" uniqueName="9" name="project.key" queryTableFieldId="9"/>
    <tableColumn id="10" xr3:uid="{0286AFC4-39BE-47E3-8BBE-94B76DF709E5}" uniqueName="10" name="project.name" queryTableFieldId="10"/>
    <tableColumn id="11" xr3:uid="{D87497DA-C931-4B84-A5B0-3E3CCFD89705}" uniqueName="11" name="Squad" queryTableFieldId="11" dataDxfId="22"/>
    <tableColumn id="20" xr3:uid="{9B352519-CCB9-4064-BAFD-375301FC5428}" uniqueName="20" name="Analyse" queryTableFieldId="89" dataDxfId="21"/>
    <tableColumn id="21" xr3:uid="{D6FA31E8-674C-4608-A7C8-EC749B564E71}" uniqueName="21" name="Call For Ice" queryTableFieldId="90" dataDxfId="20"/>
    <tableColumn id="22" xr3:uid="{38AC1A1F-E4EC-4D7E-AE4E-FFF3AF71AF1D}" uniqueName="22" name="Closed" queryTableFieldId="91" dataDxfId="19"/>
    <tableColumn id="23" xr3:uid="{CD328508-A4F2-47F4-8299-873D8548B8E8}" uniqueName="23" name="Commitment" queryTableFieldId="92" dataDxfId="18"/>
    <tableColumn id="13" xr3:uid="{EC269317-9E14-431E-A401-7A67837BC241}" uniqueName="13" name="Done" queryTableFieldId="85" dataDxfId="17"/>
    <tableColumn id="14" xr3:uid="{586EE178-309C-4331-B272-B514CE8A6AE0}" uniqueName="14" name="In Progress" queryTableFieldId="72" dataDxfId="16"/>
    <tableColumn id="16" xr3:uid="{F444FF65-3E0B-4B5D-ABA5-42CE5CE97306}" uniqueName="16" name="Open" queryTableFieldId="74" dataDxfId="15"/>
    <tableColumn id="24" xr3:uid="{B9811B0D-6D4D-4CBA-85BD-56397A2BB82C}" uniqueName="24" name="Ready for Dev" queryTableFieldId="93" dataDxfId="14"/>
    <tableColumn id="25" xr3:uid="{4E4CE60B-75E5-4352-9AB8-9018F55DC7D3}" uniqueName="25" name="Ready4Progress" queryTableFieldId="94" dataDxfId="13"/>
    <tableColumn id="26" xr3:uid="{110829C9-A253-4894-8FD1-28945B4AA029}" uniqueName="26" name="Refined" queryTableFieldId="95" dataDxfId="12"/>
    <tableColumn id="27" xr3:uid="{D86877BD-55F0-4124-8CAB-D25481B081D9}" uniqueName="27" name="Refinement" queryTableFieldId="96" dataDxfId="11"/>
    <tableColumn id="17" xr3:uid="{264EACC1-53E5-4783-944A-1FD9524A03AA}" uniqueName="17" name="Rejected" queryTableFieldId="75" dataDxfId="10"/>
    <tableColumn id="28" xr3:uid="{7F52CCCC-6425-4356-8550-4E68BD275692}" uniqueName="28" name="Reopened" queryTableFieldId="97" dataDxfId="9"/>
    <tableColumn id="18" xr3:uid="{833AC36B-4226-436C-8314-37E9399C1635}" uniqueName="18" name="Resolved" queryTableFieldId="76" dataDxfId="8"/>
    <tableColumn id="29" xr3:uid="{5476B728-7300-4671-B557-B267D6B4DEE2}" uniqueName="29" name="Story Mapping" queryTableFieldId="98" dataDxfId="7"/>
    <tableColumn id="15" xr3:uid="{7DB69BEF-AB21-4EF5-9694-9D7882EAB290}" uniqueName="15" name="To Do" queryTableFieldId="86" dataDxfId="6"/>
    <tableColumn id="19" xr3:uid="{07B7F91A-B743-4672-9315-636E8EDC7009}" uniqueName="19" name="UNCALLED" queryTableFieldId="77" dataDxfId="5"/>
    <tableColumn id="30" xr3:uid="{FBCB1632-1AD1-4D39-AD9B-317724EB7201}" uniqueName="30" name="Validierung" queryTableFieldId="99" dataDxfId="4"/>
    <tableColumn id="31" xr3:uid="{73D43382-914B-45A4-AEF1-9ACDABC452C4}" uniqueName="31" name="Warten" queryTableFieldId="100" dataDxfId="3"/>
    <tableColumn id="32" xr3:uid="{2424AA4C-7007-4D02-8725-F004DBA7ABEB}" uniqueName="32" name="Won't Do" queryTableFieldId="101" dataDxfId="2"/>
    <tableColumn id="33" xr3:uid="{F16C2B16-ED0C-480F-B2B6-1001716A4D5D}" uniqueName="33" name="Won't Fix" queryTableFieldId="102" dataDxfId="1"/>
    <tableColumn id="12" xr3:uid="{50ED2B34-9AF9-48BC-9308-7DE30D727827}" uniqueName="12" name="LoadedFromJiraAt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1FB4D-46A2-4282-92C9-33DD08E75298}">
  <sheetPr codeName="Tabelle8">
    <tabColor theme="2" tint="-9.9978637043366805E-2"/>
  </sheetPr>
  <dimension ref="A1:CD35"/>
  <sheetViews>
    <sheetView zoomScaleNormal="100" workbookViewId="0">
      <selection activeCell="A25" sqref="A25"/>
    </sheetView>
  </sheetViews>
  <sheetFormatPr baseColWidth="10" defaultColWidth="11.44140625" defaultRowHeight="13.8" x14ac:dyDescent="0.3"/>
  <cols>
    <col min="1" max="2" width="11.44140625" style="17" customWidth="1"/>
    <col min="3" max="16384" width="11.44140625" style="17"/>
  </cols>
  <sheetData>
    <row r="1" spans="1:82" ht="15" thickBot="1" x14ac:dyDescent="0.35">
      <c r="A1" s="25"/>
      <c r="B1" s="25"/>
    </row>
    <row r="2" spans="1:82" ht="14.4" x14ac:dyDescent="0.3">
      <c r="A2" s="25"/>
      <c r="B2" s="26" t="s">
        <v>0</v>
      </c>
      <c r="C2" s="48" t="e">
        <f>#REF!</f>
        <v>#REF!</v>
      </c>
      <c r="D2" s="49"/>
      <c r="E2" s="49"/>
      <c r="F2" s="49"/>
      <c r="G2" s="50"/>
      <c r="H2" s="48" t="e">
        <f>JiraProjects!#REF!</f>
        <v>#REF!</v>
      </c>
      <c r="I2" s="49"/>
      <c r="J2" s="49"/>
      <c r="K2" s="49"/>
      <c r="L2" s="50"/>
      <c r="M2" s="48" t="e">
        <f>JiraProjects!#REF!</f>
        <v>#REF!</v>
      </c>
      <c r="N2" s="49"/>
      <c r="O2" s="49"/>
      <c r="P2" s="49"/>
      <c r="Q2" s="50"/>
      <c r="R2" s="48" t="e">
        <f>JiraProjects!#REF!</f>
        <v>#REF!</v>
      </c>
      <c r="S2" s="49"/>
      <c r="T2" s="49"/>
      <c r="U2" s="49"/>
      <c r="V2" s="50"/>
      <c r="W2" s="48" t="e">
        <f>JiraProjects!#REF!</f>
        <v>#REF!</v>
      </c>
      <c r="X2" s="49"/>
      <c r="Y2" s="49"/>
      <c r="Z2" s="49"/>
      <c r="AA2" s="50"/>
      <c r="AB2" s="48" t="e">
        <f>JiraProjects!#REF!</f>
        <v>#REF!</v>
      </c>
      <c r="AC2" s="49"/>
      <c r="AD2" s="49"/>
      <c r="AE2" s="49"/>
      <c r="AF2" s="50"/>
      <c r="AG2" s="48" t="e">
        <f>JiraProjects!#REF!</f>
        <v>#REF!</v>
      </c>
      <c r="AH2" s="49"/>
      <c r="AI2" s="49"/>
      <c r="AJ2" s="49"/>
      <c r="AK2" s="50"/>
      <c r="AL2" s="48" t="e">
        <f>JiraProjects!#REF!</f>
        <v>#REF!</v>
      </c>
      <c r="AM2" s="49"/>
      <c r="AN2" s="49"/>
      <c r="AO2" s="49"/>
      <c r="AP2" s="50"/>
      <c r="AQ2" s="48">
        <f>JiraProjects!$D11</f>
        <v>0</v>
      </c>
      <c r="AR2" s="49"/>
      <c r="AS2" s="49"/>
      <c r="AT2" s="49"/>
      <c r="AU2" s="50"/>
      <c r="AV2" s="48">
        <f>JiraProjects!$D12</f>
        <v>0</v>
      </c>
      <c r="AW2" s="49"/>
      <c r="AX2" s="49"/>
      <c r="AY2" s="49"/>
      <c r="AZ2" s="50"/>
      <c r="BA2" s="48">
        <f>JiraProjects!$D13</f>
        <v>0</v>
      </c>
      <c r="BB2" s="49"/>
      <c r="BC2" s="49"/>
      <c r="BD2" s="49"/>
      <c r="BE2" s="50"/>
      <c r="BF2" s="48">
        <f>JiraProjects!$D15</f>
        <v>0</v>
      </c>
      <c r="BG2" s="49"/>
      <c r="BH2" s="49"/>
      <c r="BI2" s="49"/>
      <c r="BJ2" s="50"/>
      <c r="BK2" s="48">
        <f>JiraProjects!$D16</f>
        <v>0</v>
      </c>
      <c r="BL2" s="49"/>
      <c r="BM2" s="49"/>
      <c r="BN2" s="49"/>
      <c r="BO2" s="50"/>
      <c r="BP2" s="48">
        <f>JiraProjects!$D17</f>
        <v>0</v>
      </c>
      <c r="BQ2" s="49"/>
      <c r="BR2" s="49"/>
      <c r="BS2" s="49"/>
      <c r="BT2" s="50"/>
      <c r="BU2" s="48">
        <f>JiraProjects!$D18</f>
        <v>0</v>
      </c>
      <c r="BV2" s="49"/>
      <c r="BW2" s="49"/>
      <c r="BX2" s="49"/>
      <c r="BY2" s="50"/>
      <c r="BZ2" s="48">
        <f>JiraProjects!$D19</f>
        <v>0</v>
      </c>
      <c r="CA2" s="49"/>
      <c r="CB2" s="49"/>
      <c r="CC2" s="49"/>
      <c r="CD2" s="50"/>
    </row>
    <row r="3" spans="1:82" ht="14.4" x14ac:dyDescent="0.3">
      <c r="A3" s="25"/>
      <c r="B3" s="27" t="s">
        <v>3</v>
      </c>
      <c r="C3" s="28" t="s">
        <v>4</v>
      </c>
      <c r="D3" s="29" t="s">
        <v>5</v>
      </c>
      <c r="E3" s="29" t="s">
        <v>6</v>
      </c>
      <c r="F3" s="29" t="s">
        <v>7</v>
      </c>
      <c r="G3" s="30" t="s">
        <v>8</v>
      </c>
      <c r="H3" s="31" t="s">
        <v>9</v>
      </c>
      <c r="I3" s="29" t="s">
        <v>10</v>
      </c>
      <c r="J3" s="29" t="s">
        <v>11</v>
      </c>
      <c r="K3" s="29" t="s">
        <v>12</v>
      </c>
      <c r="L3" s="30" t="s">
        <v>13</v>
      </c>
      <c r="M3" s="32" t="s">
        <v>14</v>
      </c>
      <c r="N3" s="33" t="s">
        <v>15</v>
      </c>
      <c r="O3" s="33" t="s">
        <v>16</v>
      </c>
      <c r="P3" s="33" t="s">
        <v>17</v>
      </c>
      <c r="Q3" s="30" t="s">
        <v>18</v>
      </c>
      <c r="R3" s="32" t="s">
        <v>19</v>
      </c>
      <c r="S3" s="33" t="s">
        <v>20</v>
      </c>
      <c r="T3" s="33" t="s">
        <v>21</v>
      </c>
      <c r="U3" s="33" t="s">
        <v>22</v>
      </c>
      <c r="V3" s="30" t="s">
        <v>23</v>
      </c>
      <c r="W3" s="32" t="s">
        <v>24</v>
      </c>
      <c r="X3" s="33" t="s">
        <v>25</v>
      </c>
      <c r="Y3" s="33" t="s">
        <v>26</v>
      </c>
      <c r="Z3" s="33" t="s">
        <v>27</v>
      </c>
      <c r="AA3" s="30" t="s">
        <v>28</v>
      </c>
      <c r="AB3" s="32" t="s">
        <v>29</v>
      </c>
      <c r="AC3" s="33" t="s">
        <v>30</v>
      </c>
      <c r="AD3" s="33" t="s">
        <v>31</v>
      </c>
      <c r="AE3" s="33" t="s">
        <v>32</v>
      </c>
      <c r="AF3" s="30" t="s">
        <v>33</v>
      </c>
      <c r="AG3" s="32" t="s">
        <v>34</v>
      </c>
      <c r="AH3" s="33" t="s">
        <v>35</v>
      </c>
      <c r="AI3" s="33" t="s">
        <v>36</v>
      </c>
      <c r="AJ3" s="33" t="s">
        <v>37</v>
      </c>
      <c r="AK3" s="30" t="s">
        <v>38</v>
      </c>
      <c r="AL3" s="32" t="s">
        <v>39</v>
      </c>
      <c r="AM3" s="33" t="s">
        <v>40</v>
      </c>
      <c r="AN3" s="33" t="s">
        <v>41</v>
      </c>
      <c r="AO3" s="33" t="s">
        <v>42</v>
      </c>
      <c r="AP3" s="30" t="s">
        <v>43</v>
      </c>
      <c r="AQ3" s="32" t="s">
        <v>44</v>
      </c>
      <c r="AR3" s="33" t="s">
        <v>45</v>
      </c>
      <c r="AS3" s="33" t="s">
        <v>46</v>
      </c>
      <c r="AT3" s="33" t="s">
        <v>47</v>
      </c>
      <c r="AU3" s="30" t="s">
        <v>48</v>
      </c>
      <c r="AV3" s="32" t="s">
        <v>49</v>
      </c>
      <c r="AW3" s="33" t="s">
        <v>50</v>
      </c>
      <c r="AX3" s="33" t="s">
        <v>51</v>
      </c>
      <c r="AY3" s="33" t="s">
        <v>52</v>
      </c>
      <c r="AZ3" s="30" t="s">
        <v>53</v>
      </c>
      <c r="BA3" s="32" t="s">
        <v>54</v>
      </c>
      <c r="BB3" s="33" t="s">
        <v>55</v>
      </c>
      <c r="BC3" s="33" t="s">
        <v>56</v>
      </c>
      <c r="BD3" s="33" t="s">
        <v>57</v>
      </c>
      <c r="BE3" s="30" t="s">
        <v>58</v>
      </c>
      <c r="BF3" s="32" t="s">
        <v>59</v>
      </c>
      <c r="BG3" s="33" t="s">
        <v>60</v>
      </c>
      <c r="BH3" s="33" t="s">
        <v>61</v>
      </c>
      <c r="BI3" s="33" t="s">
        <v>62</v>
      </c>
      <c r="BJ3" s="30" t="s">
        <v>63</v>
      </c>
      <c r="BK3" s="32" t="s">
        <v>64</v>
      </c>
      <c r="BL3" s="33" t="s">
        <v>65</v>
      </c>
      <c r="BM3" s="33" t="s">
        <v>66</v>
      </c>
      <c r="BN3" s="33" t="s">
        <v>67</v>
      </c>
      <c r="BO3" s="30" t="s">
        <v>68</v>
      </c>
      <c r="BP3" s="32" t="s">
        <v>69</v>
      </c>
      <c r="BQ3" s="33" t="s">
        <v>70</v>
      </c>
      <c r="BR3" s="33" t="s">
        <v>71</v>
      </c>
      <c r="BS3" s="33" t="s">
        <v>72</v>
      </c>
      <c r="BT3" s="30" t="s">
        <v>73</v>
      </c>
      <c r="BU3" s="32" t="s">
        <v>74</v>
      </c>
      <c r="BV3" s="33" t="s">
        <v>75</v>
      </c>
      <c r="BW3" s="33" t="s">
        <v>76</v>
      </c>
      <c r="BX3" s="33" t="s">
        <v>77</v>
      </c>
      <c r="BY3" s="30" t="s">
        <v>78</v>
      </c>
      <c r="BZ3" s="32" t="s">
        <v>79</v>
      </c>
      <c r="CA3" s="33" t="s">
        <v>80</v>
      </c>
      <c r="CB3" s="33" t="s">
        <v>81</v>
      </c>
      <c r="CC3" s="33" t="s">
        <v>82</v>
      </c>
      <c r="CD3" s="30" t="s">
        <v>83</v>
      </c>
    </row>
    <row r="4" spans="1:82" ht="14.4" x14ac:dyDescent="0.3">
      <c r="A4" s="25"/>
      <c r="B4" s="45" t="e">
        <f>#REF!</f>
        <v>#REF!</v>
      </c>
      <c r="C4" s="34" t="str" cm="1">
        <f t="array" ref="C4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4" s="35" t="str" cm="1">
        <f t="array" ref="D4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4" s="35" t="str" cm="1">
        <f t="array" ref="E4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4" s="35" t="str" cm="1">
        <f t="array" ref="F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4" s="36" t="str" cm="1">
        <f t="array" ref="G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4" s="34" t="str" cm="1">
        <f t="array" ref="H4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4" s="35" t="str" cm="1">
        <f t="array" ref="I4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4" s="35" t="str" cm="1">
        <f t="array" ref="J4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4" s="35" t="str" cm="1">
        <f t="array" ref="K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4" s="36" t="str" cm="1">
        <f t="array" ref="L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4" s="37" t="str" cm="1">
        <f t="array" ref="M4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4" s="35" t="str" cm="1">
        <f t="array" ref="N4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4" s="35" t="str" cm="1">
        <f t="array" ref="O4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4" s="35" t="str" cm="1">
        <f t="array" ref="P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4" s="36" t="str" cm="1">
        <f t="array" ref="Q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4" s="37" t="str" cm="1">
        <f t="array" ref="R4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4" s="35">
        <v>0</v>
      </c>
      <c r="T4" s="35" t="str" cm="1">
        <f t="array" ref="T4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4" s="35" t="str" cm="1">
        <f t="array" ref="U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4" s="36" t="str" cm="1">
        <f t="array" ref="V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4" s="37" t="str" cm="1">
        <f t="array" ref="W4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4" s="35" t="str" cm="1">
        <f t="array" ref="X4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4" s="35" t="str" cm="1">
        <f t="array" ref="Y4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4" s="35" t="str" cm="1">
        <f t="array" ref="Z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4" s="36" t="str" cm="1">
        <f t="array" ref="AA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4" s="37" t="str" cm="1">
        <f t="array" ref="AB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4" s="35" t="str" cm="1">
        <f t="array" ref="AC4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4" s="35" t="str" cm="1">
        <f t="array" ref="AD4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4" s="35" t="str" cm="1">
        <f t="array" ref="AE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4" s="36" t="str" cm="1">
        <f t="array" ref="AF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4" s="37" t="str" cm="1">
        <f t="array" ref="AG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4" s="35" t="str" cm="1">
        <f t="array" ref="AH4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4" s="35" t="str" cm="1">
        <f t="array" ref="AI4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4" s="35" t="str" cm="1">
        <f t="array" ref="AJ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4" s="36" t="str" cm="1">
        <f t="array" ref="AK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4" s="37" t="str" cm="1">
        <f t="array" ref="AL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4" s="35" t="str" cm="1">
        <f t="array" ref="AM4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4" s="35" t="str" cm="1">
        <f t="array" ref="AN4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4" s="35" t="str" cm="1">
        <f t="array" ref="AO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4" s="36" t="str" cm="1">
        <f t="array" ref="AP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4" s="37" t="str" cm="1">
        <f t="array" ref="AQ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4" s="35" t="str" cm="1">
        <f t="array" ref="AR4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4" s="35" t="str" cm="1">
        <f t="array" ref="AS4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4" s="35" t="str" cm="1">
        <f t="array" ref="AT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4" s="36" t="str" cm="1">
        <f t="array" ref="AU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4" s="37" t="str" cm="1">
        <f t="array" ref="AV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4" s="35" t="str" cm="1">
        <f t="array" ref="AW4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4" s="35" t="str" cm="1">
        <f t="array" ref="AX4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4" s="35" t="str" cm="1">
        <f t="array" ref="AY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4" s="36" t="str" cm="1">
        <f t="array" ref="AZ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4" s="37" t="str" cm="1">
        <f t="array" ref="BA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4" s="35" t="str" cm="1">
        <f t="array" ref="BB4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4" s="35" t="str" cm="1">
        <f t="array" ref="BC4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4" s="35" t="str" cm="1">
        <f t="array" ref="BD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4" s="36" t="str" cm="1">
        <f t="array" ref="BE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4" s="37" t="str" cm="1">
        <f t="array" ref="BF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4" s="35" t="str" cm="1">
        <f t="array" ref="BG4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4" s="35" t="str" cm="1">
        <f t="array" ref="BH4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4" s="35" t="str" cm="1">
        <f t="array" ref="BI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4" s="36" t="str" cm="1">
        <f t="array" ref="BJ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4" s="37" t="str" cm="1">
        <f t="array" ref="BK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4" s="35" t="str" cm="1">
        <f t="array" ref="BL4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4" s="35" t="str" cm="1">
        <f t="array" ref="BM4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4" s="35" t="str" cm="1">
        <f t="array" ref="BN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4" s="36" t="str" cm="1">
        <f t="array" ref="BO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4" s="37" t="str" cm="1">
        <f t="array" ref="BP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4" s="35" t="str" cm="1">
        <f t="array" ref="BQ4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4" s="35" t="str" cm="1">
        <f t="array" ref="BR4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4" s="35" t="str" cm="1">
        <f t="array" ref="BS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4" s="36" t="str" cm="1">
        <f t="array" ref="BT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4" s="37" t="str" cm="1">
        <f t="array" ref="BU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4" s="35" t="str" cm="1">
        <f t="array" ref="BV4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4" s="35" t="str" cm="1">
        <f t="array" ref="BW4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4" s="35" t="str" cm="1">
        <f t="array" ref="BX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4" s="36" t="str" cm="1">
        <f t="array" ref="BY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4" s="37" t="str" cm="1">
        <f t="array" ref="BZ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4" s="35" t="str" cm="1">
        <f t="array" ref="CA4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4" s="35" t="str" cm="1">
        <f t="array" ref="CB4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4" s="35" t="str" cm="1">
        <f t="array" ref="CC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4" s="36" t="str" cm="1">
        <f t="array" ref="CD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5" spans="1:82" ht="14.4" x14ac:dyDescent="0.3">
      <c r="A5" s="25"/>
      <c r="B5" s="16" t="e">
        <f>#REF!</f>
        <v>#REF!</v>
      </c>
      <c r="C5" s="34" t="str" cm="1">
        <f t="array" ref="C5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5" s="35" t="str" cm="1">
        <f t="array" ref="D5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5" s="35" t="str" cm="1">
        <f t="array" ref="E5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5" s="35" t="str" cm="1">
        <f t="array" ref="F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5" s="36" t="str" cm="1">
        <f t="array" ref="G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5" s="34" t="str" cm="1">
        <f t="array" ref="H5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5" s="35" t="str" cm="1">
        <f t="array" ref="I5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5" s="35" t="str" cm="1">
        <f t="array" ref="J5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5" s="35" t="str" cm="1">
        <f t="array" ref="K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5" s="36" t="str" cm="1">
        <f t="array" ref="L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5" s="37" t="str" cm="1">
        <f t="array" ref="M5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5" s="35" t="str" cm="1">
        <f t="array" ref="N5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5" s="35" t="str" cm="1">
        <f t="array" ref="O5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5" s="35" t="str" cm="1">
        <f t="array" ref="P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5" s="36" t="str" cm="1">
        <f t="array" ref="Q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5" s="37" t="str" cm="1">
        <f t="array" ref="R5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5" s="35" t="str" cm="1">
        <f t="array" ref="S5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5" s="35" t="str" cm="1">
        <f t="array" ref="T5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5" s="35" t="str" cm="1">
        <f t="array" ref="U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5" s="36" t="str" cm="1">
        <f t="array" ref="V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5" s="37" t="str" cm="1">
        <f t="array" ref="W5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5" s="35" t="str" cm="1">
        <f t="array" ref="X5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5" s="35" t="str" cm="1">
        <f t="array" ref="Y5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5" s="35" t="str" cm="1">
        <f t="array" ref="Z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5" s="36" t="str" cm="1">
        <f t="array" ref="AA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5" s="37" t="str" cm="1">
        <f t="array" ref="AB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5" s="35" t="str" cm="1">
        <f t="array" ref="AC5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5" s="35" t="str" cm="1">
        <f t="array" ref="AD5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5" s="35" t="str" cm="1">
        <f t="array" ref="AE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5" s="36" t="str" cm="1">
        <f t="array" ref="AF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5" s="37" t="str" cm="1">
        <f t="array" ref="AG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5" s="35" t="str" cm="1">
        <f t="array" ref="AH5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5" s="35" t="str" cm="1">
        <f t="array" ref="AI5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5" s="35" t="str" cm="1">
        <f t="array" ref="AJ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5" s="36" t="str" cm="1">
        <f t="array" ref="AK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5" s="37" t="str" cm="1">
        <f t="array" ref="AL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5" s="35" t="str" cm="1">
        <f t="array" ref="AM5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5" s="35" t="str" cm="1">
        <f t="array" ref="AN5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5" s="35" t="str" cm="1">
        <f t="array" ref="AO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5" s="36" t="str" cm="1">
        <f t="array" ref="AP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5" s="37" t="str" cm="1">
        <f t="array" ref="AQ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5" s="35" t="str" cm="1">
        <f t="array" ref="AR5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5" s="35" t="str" cm="1">
        <f t="array" ref="AS5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5" s="35" t="str" cm="1">
        <f t="array" ref="AT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5" s="36" t="str" cm="1">
        <f t="array" ref="AU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5" s="37" t="str" cm="1">
        <f t="array" ref="AV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5" s="35" t="str" cm="1">
        <f t="array" ref="AW5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5" s="35" t="str" cm="1">
        <f t="array" ref="AX5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5" s="35" t="str" cm="1">
        <f t="array" ref="AY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5" s="36" t="str" cm="1">
        <f t="array" ref="AZ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5" s="37" t="str" cm="1">
        <f t="array" ref="BA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5" s="35" t="str" cm="1">
        <f t="array" ref="BB5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5" s="35" t="str" cm="1">
        <f t="array" ref="BC5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5" s="35" t="str" cm="1">
        <f t="array" ref="BD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5" s="36" t="str" cm="1">
        <f t="array" ref="BE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5" s="37" t="str" cm="1">
        <f t="array" ref="BF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5" s="35" t="str" cm="1">
        <f t="array" ref="BG5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5" s="35" t="str" cm="1">
        <f t="array" ref="BH5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5" s="35" t="str" cm="1">
        <f t="array" ref="BI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5" s="36" t="str" cm="1">
        <f t="array" ref="BJ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5" s="37" t="str" cm="1">
        <f t="array" ref="BK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5" s="35" t="str" cm="1">
        <f t="array" ref="BL5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5" s="35" t="str" cm="1">
        <f t="array" ref="BM5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5" s="35" t="str" cm="1">
        <f t="array" ref="BN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5" s="36" t="str" cm="1">
        <f t="array" ref="BO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5" s="37" t="str" cm="1">
        <f t="array" ref="BP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5" s="35" t="str" cm="1">
        <f t="array" ref="BQ5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5" s="35" t="str" cm="1">
        <f t="array" ref="BR5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5" s="35" t="str" cm="1">
        <f t="array" ref="BS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5" s="36" t="str" cm="1">
        <f t="array" ref="BT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5" s="37" t="str" cm="1">
        <f t="array" ref="BU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5" s="35" t="str" cm="1">
        <f t="array" ref="BV5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5" s="35" t="str" cm="1">
        <f t="array" ref="BW5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5" s="35" t="str" cm="1">
        <f t="array" ref="BX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5" s="36" t="str" cm="1">
        <f t="array" ref="BY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5" s="37" t="str" cm="1">
        <f t="array" ref="BZ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5" s="35" t="str" cm="1">
        <f t="array" ref="CA5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5" s="35" t="str" cm="1">
        <f t="array" ref="CB5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5" s="35" t="str" cm="1">
        <f t="array" ref="CC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5" s="36" t="str" cm="1">
        <f t="array" ref="CD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6" spans="1:82" ht="14.4" x14ac:dyDescent="0.3">
      <c r="A6" s="25"/>
      <c r="B6" s="16" t="e">
        <f>#REF!</f>
        <v>#REF!</v>
      </c>
      <c r="C6" s="34" t="str" cm="1">
        <f t="array" ref="C6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6" s="35" t="str" cm="1">
        <f t="array" ref="D6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6" s="35" t="str" cm="1">
        <f t="array" ref="E6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6" s="35" t="str" cm="1">
        <f t="array" ref="F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6" s="36" t="str" cm="1">
        <f t="array" ref="G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6" s="34" t="str" cm="1">
        <f t="array" ref="H6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6" s="35" t="str" cm="1">
        <f t="array" ref="I6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6" s="35" t="str" cm="1">
        <f t="array" ref="J6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6" s="35" t="str" cm="1">
        <f t="array" ref="K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6" s="36" t="str" cm="1">
        <f t="array" ref="L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6" s="37" t="str" cm="1">
        <f t="array" ref="M6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6" s="35" t="str" cm="1">
        <f t="array" ref="N6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6" s="35" t="str" cm="1">
        <f t="array" ref="O6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6" s="35" t="str" cm="1">
        <f t="array" ref="P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6" s="36" t="str" cm="1">
        <f t="array" ref="Q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6" s="37" t="str" cm="1">
        <f t="array" ref="R6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6" s="35" t="str" cm="1">
        <f t="array" ref="S6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6" s="35" t="str" cm="1">
        <f t="array" ref="T6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6" s="35" t="str" cm="1">
        <f t="array" ref="U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6" s="36" t="str" cm="1">
        <f t="array" ref="V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6" s="37" t="str" cm="1">
        <f t="array" ref="W6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6" s="35" t="str" cm="1">
        <f t="array" ref="X6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6" s="35" t="str" cm="1">
        <f t="array" ref="Y6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6" s="35" t="str" cm="1">
        <f t="array" ref="Z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6" s="36" t="str" cm="1">
        <f t="array" ref="AA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6" s="37" t="str" cm="1">
        <f t="array" ref="AB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6" s="35" t="str" cm="1">
        <f t="array" ref="AC6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6" s="35" t="str" cm="1">
        <f t="array" ref="AD6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6" s="35" t="str" cm="1">
        <f t="array" ref="AE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6" s="36" t="str" cm="1">
        <f t="array" ref="AF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6" s="37" t="str" cm="1">
        <f t="array" ref="AG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6" s="35" t="str" cm="1">
        <f t="array" ref="AH6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6" s="35" t="str" cm="1">
        <f t="array" ref="AI6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6" s="35" t="str" cm="1">
        <f t="array" ref="AJ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6" s="36" t="str" cm="1">
        <f t="array" ref="AK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6" s="37" t="str" cm="1">
        <f t="array" ref="AL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6" s="35" t="str" cm="1">
        <f t="array" ref="AM6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6" s="35" t="str" cm="1">
        <f t="array" ref="AN6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6" s="35" t="str" cm="1">
        <f t="array" ref="AO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6" s="36" t="str" cm="1">
        <f t="array" ref="AP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6" s="37" t="str" cm="1">
        <f t="array" ref="AQ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6" s="35" t="str" cm="1">
        <f t="array" ref="AR6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6" s="35" t="str" cm="1">
        <f t="array" ref="AS6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6" s="35" t="str" cm="1">
        <f t="array" ref="AT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6" s="36" t="str" cm="1">
        <f t="array" ref="AU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6" s="37" t="str" cm="1">
        <f t="array" ref="AV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6" s="35" t="str" cm="1">
        <f t="array" ref="AW6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6" s="35" t="str" cm="1">
        <f t="array" ref="AX6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6" s="35" t="str" cm="1">
        <f t="array" ref="AY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6" s="36" t="str" cm="1">
        <f t="array" ref="AZ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6" s="37" t="str" cm="1">
        <f t="array" ref="BA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6" s="35" t="str" cm="1">
        <f t="array" ref="BB6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6" s="35" t="str" cm="1">
        <f t="array" ref="BC6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6" s="35" t="str" cm="1">
        <f t="array" ref="BD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6" s="36" t="str" cm="1">
        <f t="array" ref="BE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6" s="37" t="str" cm="1">
        <f t="array" ref="BF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6" s="35" t="str" cm="1">
        <f t="array" ref="BG6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6" s="35" t="str" cm="1">
        <f t="array" ref="BH6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6" s="35" t="str" cm="1">
        <f t="array" ref="BI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6" s="36" t="str" cm="1">
        <f t="array" ref="BJ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6" s="37" t="str" cm="1">
        <f t="array" ref="BK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6" s="35" t="str" cm="1">
        <f t="array" ref="BL6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6" s="35" t="str" cm="1">
        <f t="array" ref="BM6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6" s="35" t="str" cm="1">
        <f t="array" ref="BN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6" s="36" t="str" cm="1">
        <f t="array" ref="BO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6" s="37" t="str" cm="1">
        <f t="array" ref="BP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6" s="35" t="str" cm="1">
        <f t="array" ref="BQ6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6" s="35" t="str" cm="1">
        <f t="array" ref="BR6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6" s="35" t="str" cm="1">
        <f t="array" ref="BS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6" s="36" t="str" cm="1">
        <f t="array" ref="BT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6" s="37" t="str" cm="1">
        <f t="array" ref="BU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6" s="35" t="str" cm="1">
        <f t="array" ref="BV6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6" s="35" t="str" cm="1">
        <f t="array" ref="BW6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6" s="35" t="str" cm="1">
        <f t="array" ref="BX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6" s="36" t="str" cm="1">
        <f t="array" ref="BY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6" s="37" t="str" cm="1">
        <f t="array" ref="BZ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6" s="35" t="str" cm="1">
        <f t="array" ref="CA6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6" s="35" t="str" cm="1">
        <f t="array" ref="CB6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6" s="35" t="str" cm="1">
        <f t="array" ref="CC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6" s="36" t="str" cm="1">
        <f t="array" ref="CD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7" spans="1:82" ht="14.4" x14ac:dyDescent="0.3">
      <c r="A7" s="25"/>
      <c r="B7" s="16" t="e">
        <f>#REF!</f>
        <v>#REF!</v>
      </c>
      <c r="C7" s="34" t="str" cm="1">
        <f t="array" ref="C7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7" s="35" t="str" cm="1">
        <f t="array" ref="D7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7" s="35" t="str" cm="1">
        <f t="array" ref="E7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7" s="35" t="str" cm="1">
        <f t="array" ref="F7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7" s="36" t="str" cm="1">
        <f t="array" ref="G7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7" s="34" t="str" cm="1">
        <f t="array" ref="H7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7" s="35" t="str" cm="1">
        <f t="array" ref="I7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7" s="35" t="str" cm="1">
        <f t="array" ref="J7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7" s="35" t="str" cm="1">
        <f t="array" ref="K7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7" s="36" t="str" cm="1">
        <f t="array" ref="L7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7" s="37" t="str" cm="1">
        <f t="array" ref="M7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7" s="35" t="str" cm="1">
        <f t="array" ref="N7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7" s="35" t="str" cm="1">
        <f t="array" ref="O7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7" s="35" t="str" cm="1">
        <f t="array" ref="P7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7" s="36" t="str" cm="1">
        <f t="array" ref="Q7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7" s="37" t="str" cm="1">
        <f t="array" ref="R7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7" s="35" t="str" cm="1">
        <f t="array" ref="S7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7" s="35" t="str" cm="1">
        <f t="array" ref="T7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7" s="35" t="str" cm="1">
        <f t="array" ref="U7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7" s="36" t="str" cm="1">
        <f t="array" ref="V7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7" s="37" t="str" cm="1">
        <f t="array" ref="W7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7" s="35" t="str" cm="1">
        <f t="array" ref="X7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7" s="35" t="str" cm="1">
        <f t="array" ref="Y7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7" s="35" t="str" cm="1">
        <f t="array" ref="Z7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7" s="36" t="str" cm="1">
        <f t="array" ref="AA7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7" s="37" t="str" cm="1">
        <f t="array" ref="AB7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7" s="35" t="str" cm="1">
        <f t="array" ref="AC7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7" s="35" t="str" cm="1">
        <f t="array" ref="AD7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7" s="35" t="str" cm="1">
        <f t="array" ref="AE7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7" s="36" t="str" cm="1">
        <f t="array" ref="AF7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7" s="37" t="str" cm="1">
        <f t="array" ref="AG7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7" s="35" t="str" cm="1">
        <f t="array" ref="AH7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7" s="35" t="str" cm="1">
        <f t="array" ref="AI7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7" s="35" t="str" cm="1">
        <f t="array" ref="AJ7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7" s="36" t="str" cm="1">
        <f t="array" ref="AK7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7" s="37" t="str" cm="1">
        <f t="array" ref="AL7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7" s="35" t="str" cm="1">
        <f t="array" ref="AM7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7" s="35" t="str" cm="1">
        <f t="array" ref="AN7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7" s="35" t="str" cm="1">
        <f t="array" ref="AO7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7" s="36" t="str" cm="1">
        <f t="array" ref="AP7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7" s="37" t="str" cm="1">
        <f t="array" ref="AQ7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7" s="35" t="str" cm="1">
        <f t="array" ref="AR7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7" s="35" t="str" cm="1">
        <f t="array" ref="AS7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7" s="35" t="str" cm="1">
        <f t="array" ref="AT7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7" s="36" t="str" cm="1">
        <f t="array" ref="AU7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7" s="37" t="str" cm="1">
        <f t="array" ref="AV7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7" s="35" t="str" cm="1">
        <f t="array" ref="AW7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7" s="35" t="str" cm="1">
        <f t="array" ref="AX7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7" s="35" t="str" cm="1">
        <f t="array" ref="AY7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7" s="36" t="str" cm="1">
        <f t="array" ref="AZ7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7" s="37" t="str" cm="1">
        <f t="array" ref="BA7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7" s="35" t="str" cm="1">
        <f t="array" ref="BB7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7" s="35" t="str" cm="1">
        <f t="array" ref="BC7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7" s="35" t="str" cm="1">
        <f t="array" ref="BD7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7" s="36" t="str" cm="1">
        <f t="array" ref="BE7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7" s="37" t="str" cm="1">
        <f t="array" ref="BF7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7" s="35" t="str" cm="1">
        <f t="array" ref="BG7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7" s="35" t="str" cm="1">
        <f t="array" ref="BH7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7" s="35" t="str" cm="1">
        <f t="array" ref="BI7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7" s="36" t="str" cm="1">
        <f t="array" ref="BJ7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7" s="37" t="str" cm="1">
        <f t="array" ref="BK7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7" s="35" t="str" cm="1">
        <f t="array" ref="BL7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7" s="35" t="str" cm="1">
        <f t="array" ref="BM7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7" s="35" t="str" cm="1">
        <f t="array" ref="BN7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7" s="36" t="str" cm="1">
        <f t="array" ref="BO7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7" s="37" t="str" cm="1">
        <f t="array" ref="BP7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7" s="35" t="str" cm="1">
        <f t="array" ref="BQ7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7" s="35" t="str" cm="1">
        <f t="array" ref="BR7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7" s="35" t="str" cm="1">
        <f t="array" ref="BS7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7" s="36" t="str" cm="1">
        <f t="array" ref="BT7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7" s="37" t="str" cm="1">
        <f t="array" ref="BU7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7" s="35" t="str" cm="1">
        <f t="array" ref="BV7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7" s="35" t="str" cm="1">
        <f t="array" ref="BW7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7" s="35" t="str" cm="1">
        <f t="array" ref="BX7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7" s="36" t="str" cm="1">
        <f t="array" ref="BY7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7" s="37" t="str" cm="1">
        <f t="array" ref="BZ7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7" s="35" t="str" cm="1">
        <f t="array" ref="CA7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7" s="35" t="str" cm="1">
        <f t="array" ref="CB7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7" s="35" t="str" cm="1">
        <f t="array" ref="CC7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7" s="36" t="str" cm="1">
        <f t="array" ref="CD7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8" spans="1:82" ht="14.4" x14ac:dyDescent="0.3">
      <c r="A8" s="25"/>
      <c r="B8" s="16" t="e">
        <f>#REF!</f>
        <v>#REF!</v>
      </c>
      <c r="C8" s="34" t="str" cm="1">
        <f t="array" ref="C8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8" s="35" t="str" cm="1">
        <f t="array" ref="D8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8" s="35" t="str" cm="1">
        <f t="array" ref="E8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8" s="35" t="str" cm="1">
        <f t="array" ref="F8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8" s="36" t="str" cm="1">
        <f t="array" ref="G8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8" s="34" t="str" cm="1">
        <f t="array" ref="H8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8" s="35" t="str" cm="1">
        <f t="array" ref="I8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8" s="35" t="str" cm="1">
        <f t="array" ref="J8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8" s="35" t="str" cm="1">
        <f t="array" ref="K8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8" s="36" t="str" cm="1">
        <f t="array" ref="L8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8" s="37" t="str" cm="1">
        <f t="array" ref="M8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8" s="35" t="str" cm="1">
        <f t="array" ref="N8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8" s="35" t="str" cm="1">
        <f t="array" ref="O8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8" s="35" t="str" cm="1">
        <f t="array" ref="P8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8" s="36" t="str" cm="1">
        <f t="array" ref="Q8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8" s="37" t="str" cm="1">
        <f t="array" ref="R8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8" s="35" t="str" cm="1">
        <f t="array" ref="S8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8" s="35" t="str" cm="1">
        <f t="array" ref="T8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8" s="35" t="str" cm="1">
        <f t="array" ref="U8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8" s="36" t="str" cm="1">
        <f t="array" ref="V8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8" s="37" t="str" cm="1">
        <f t="array" ref="W8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8" s="35" t="str" cm="1">
        <f t="array" ref="X8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8" s="35" t="str" cm="1">
        <f t="array" ref="Y8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8" s="35" t="str" cm="1">
        <f t="array" ref="Z8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8" s="36" t="str" cm="1">
        <f t="array" ref="AA8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8" s="37" t="str" cm="1">
        <f t="array" ref="AB8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8" s="35" t="str" cm="1">
        <f t="array" ref="AC8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8" s="35" t="str" cm="1">
        <f t="array" ref="AD8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8" s="35" t="str" cm="1">
        <f t="array" ref="AE8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8" s="36" t="str" cm="1">
        <f t="array" ref="AF8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8" s="37" t="str" cm="1">
        <f t="array" ref="AG8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8" s="35" t="str" cm="1">
        <f t="array" ref="AH8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8" s="35" t="str" cm="1">
        <f t="array" ref="AI8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8" s="35" t="str" cm="1">
        <f t="array" ref="AJ8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8" s="36" t="str" cm="1">
        <f t="array" ref="AK8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8" s="37" t="str" cm="1">
        <f t="array" ref="AL8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8" s="35" t="str" cm="1">
        <f t="array" ref="AM8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8" s="35" t="str" cm="1">
        <f t="array" ref="AN8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8" s="35" t="str" cm="1">
        <f t="array" ref="AO8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8" s="36" t="str" cm="1">
        <f t="array" ref="AP8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8" s="37" t="str" cm="1">
        <f t="array" ref="AQ8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8" s="35" t="str" cm="1">
        <f t="array" ref="AR8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8" s="35" t="str" cm="1">
        <f t="array" ref="AS8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8" s="35" t="str" cm="1">
        <f t="array" ref="AT8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8" s="36" t="str" cm="1">
        <f t="array" ref="AU8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8" s="37" t="str" cm="1">
        <f t="array" ref="AV8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8" s="35" t="str" cm="1">
        <f t="array" ref="AW8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8" s="35" t="str" cm="1">
        <f t="array" ref="AX8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8" s="35" t="str" cm="1">
        <f t="array" ref="AY8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8" s="36" t="str" cm="1">
        <f t="array" ref="AZ8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8" s="37" t="str" cm="1">
        <f t="array" ref="BA8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8" s="35" t="str" cm="1">
        <f t="array" ref="BB8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8" s="35" t="str" cm="1">
        <f t="array" ref="BC8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8" s="35" t="str" cm="1">
        <f t="array" ref="BD8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8" s="36" t="str" cm="1">
        <f t="array" ref="BE8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8" s="37" t="str" cm="1">
        <f t="array" ref="BF8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8" s="35" t="str" cm="1">
        <f t="array" ref="BG8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8" s="35" t="str" cm="1">
        <f t="array" ref="BH8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8" s="35" t="str" cm="1">
        <f t="array" ref="BI8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8" s="36" t="str" cm="1">
        <f t="array" ref="BJ8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8" s="37" t="str" cm="1">
        <f t="array" ref="BK8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8" s="35" t="str" cm="1">
        <f t="array" ref="BL8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8" s="35" t="str" cm="1">
        <f t="array" ref="BM8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8" s="35" t="str" cm="1">
        <f t="array" ref="BN8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8" s="36" t="str" cm="1">
        <f t="array" ref="BO8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8" s="37" t="str" cm="1">
        <f t="array" ref="BP8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8" s="35" t="str" cm="1">
        <f t="array" ref="BQ8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8" s="35" t="str" cm="1">
        <f t="array" ref="BR8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8" s="35" t="str" cm="1">
        <f t="array" ref="BS8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8" s="36" t="str" cm="1">
        <f t="array" ref="BT8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8" s="37" t="str" cm="1">
        <f t="array" ref="BU8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8" s="35" t="str" cm="1">
        <f t="array" ref="BV8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8" s="35" t="str" cm="1">
        <f t="array" ref="BW8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8" s="35" t="str" cm="1">
        <f t="array" ref="BX8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8" s="36" t="str" cm="1">
        <f t="array" ref="BY8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8" s="37" t="str" cm="1">
        <f t="array" ref="BZ8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8" s="35" t="str" cm="1">
        <f t="array" ref="CA8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8" s="35" t="str" cm="1">
        <f t="array" ref="CB8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8" s="35" t="str" cm="1">
        <f t="array" ref="CC8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8" s="36" t="str" cm="1">
        <f t="array" ref="CD8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9" spans="1:82" ht="14.4" x14ac:dyDescent="0.3">
      <c r="A9" s="25"/>
      <c r="B9" s="16" t="e">
        <f>#REF!</f>
        <v>#REF!</v>
      </c>
      <c r="C9" s="34" t="str" cm="1">
        <f t="array" ref="C9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9" s="35" t="str" cm="1">
        <f t="array" ref="D9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9" s="35" t="str" cm="1">
        <f t="array" ref="E9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9" s="35" t="str" cm="1">
        <f t="array" ref="F9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9" s="36" t="str" cm="1">
        <f t="array" ref="G9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9" s="34" t="str" cm="1">
        <f t="array" ref="H9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9" s="35" t="str" cm="1">
        <f t="array" ref="I9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9" s="35" t="str" cm="1">
        <f t="array" ref="J9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9" s="35" t="str" cm="1">
        <f t="array" ref="K9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9" s="36" t="str" cm="1">
        <f t="array" ref="L9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9" s="37" t="str" cm="1">
        <f t="array" ref="M9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9" s="35" t="str" cm="1">
        <f t="array" ref="N9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9" s="35" t="str" cm="1">
        <f t="array" ref="O9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9" s="35" t="str" cm="1">
        <f t="array" ref="P9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9" s="36" t="str" cm="1">
        <f t="array" ref="Q9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9" s="37" t="str" cm="1">
        <f t="array" ref="R9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9" s="35" t="str" cm="1">
        <f t="array" ref="S9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9" s="35" t="str" cm="1">
        <f t="array" ref="T9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9" s="35" t="str" cm="1">
        <f t="array" ref="U9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9" s="36" t="str" cm="1">
        <f t="array" ref="V9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9" s="37" t="str" cm="1">
        <f t="array" ref="W9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9" s="35" t="str" cm="1">
        <f t="array" ref="X9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9" s="35" t="str" cm="1">
        <f t="array" ref="Y9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9" s="35" t="str" cm="1">
        <f t="array" ref="Z9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9" s="36" t="str" cm="1">
        <f t="array" ref="AA9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9" s="37" t="str" cm="1">
        <f t="array" ref="AB9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9" s="35" t="str" cm="1">
        <f t="array" ref="AC9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9" s="35" t="str" cm="1">
        <f t="array" ref="AD9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9" s="35" t="str" cm="1">
        <f t="array" ref="AE9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9" s="36" t="str" cm="1">
        <f t="array" ref="AF9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9" s="37" t="str" cm="1">
        <f t="array" ref="AG9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9" s="35" t="str" cm="1">
        <f t="array" ref="AH9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9" s="35" t="str" cm="1">
        <f t="array" ref="AI9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9" s="35" t="str" cm="1">
        <f t="array" ref="AJ9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9" s="36" t="str" cm="1">
        <f t="array" ref="AK9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9" s="37" t="str" cm="1">
        <f t="array" ref="AL9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9" s="35" t="str" cm="1">
        <f t="array" ref="AM9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9" s="35" t="str" cm="1">
        <f t="array" ref="AN9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9" s="35" t="str" cm="1">
        <f t="array" ref="AO9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9" s="36" t="str" cm="1">
        <f t="array" ref="AP9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9" s="37" t="str" cm="1">
        <f t="array" ref="AQ9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9" s="35" t="str" cm="1">
        <f t="array" ref="AR9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9" s="35" t="str" cm="1">
        <f t="array" ref="AS9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9" s="35" t="str" cm="1">
        <f t="array" ref="AT9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9" s="36" t="str" cm="1">
        <f t="array" ref="AU9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9" s="37" t="str" cm="1">
        <f t="array" ref="AV9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9" s="35" t="str" cm="1">
        <f t="array" ref="AW9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9" s="35" t="str" cm="1">
        <f t="array" ref="AX9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9" s="35" t="str" cm="1">
        <f t="array" ref="AY9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9" s="36" t="str" cm="1">
        <f t="array" ref="AZ9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9" s="37" t="str" cm="1">
        <f t="array" ref="BA9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9" s="35" t="str" cm="1">
        <f t="array" ref="BB9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9" s="35" t="str" cm="1">
        <f t="array" ref="BC9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9" s="35" t="str" cm="1">
        <f t="array" ref="BD9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9" s="36" t="str" cm="1">
        <f t="array" ref="BE9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9" s="37" t="str" cm="1">
        <f t="array" ref="BF9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9" s="35" t="str" cm="1">
        <f t="array" ref="BG9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9" s="35" t="str" cm="1">
        <f t="array" ref="BH9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9" s="35" t="str" cm="1">
        <f t="array" ref="BI9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9" s="36" t="str" cm="1">
        <f t="array" ref="BJ9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9" s="37" t="str" cm="1">
        <f t="array" ref="BK9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9" s="35" t="str" cm="1">
        <f t="array" ref="BL9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9" s="35" t="str" cm="1">
        <f t="array" ref="BM9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9" s="35" t="str" cm="1">
        <f t="array" ref="BN9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9" s="36" t="str" cm="1">
        <f t="array" ref="BO9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9" s="37" t="str" cm="1">
        <f t="array" ref="BP9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9" s="35" t="str" cm="1">
        <f t="array" ref="BQ9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9" s="35" t="str" cm="1">
        <f t="array" ref="BR9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9" s="35" t="str" cm="1">
        <f t="array" ref="BS9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9" s="36" t="str" cm="1">
        <f t="array" ref="BT9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9" s="37" t="str" cm="1">
        <f t="array" ref="BU9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9" s="35" t="str" cm="1">
        <f t="array" ref="BV9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9" s="35" t="str" cm="1">
        <f t="array" ref="BW9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9" s="35" t="str" cm="1">
        <f t="array" ref="BX9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9" s="36" t="str" cm="1">
        <f t="array" ref="BY9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9" s="37" t="str" cm="1">
        <f t="array" ref="BZ9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9" s="35" t="str" cm="1">
        <f t="array" ref="CA9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9" s="35" t="str" cm="1">
        <f t="array" ref="CB9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9" s="35" t="str" cm="1">
        <f t="array" ref="CC9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9" s="36" t="str" cm="1">
        <f t="array" ref="CD9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0" spans="1:82" ht="14.4" x14ac:dyDescent="0.3">
      <c r="A10" s="25"/>
      <c r="B10" s="16" t="e">
        <f>#REF!</f>
        <v>#REF!</v>
      </c>
      <c r="C10" s="34" t="str" cm="1">
        <f t="array" ref="C10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0" s="35" t="str" cm="1">
        <f t="array" ref="D10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0" s="35" t="str" cm="1">
        <f t="array" ref="E10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0" s="35" t="str" cm="1">
        <f t="array" ref="F10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0" s="36" t="str" cm="1">
        <f t="array" ref="G10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0" s="34" t="str" cm="1">
        <f t="array" ref="H10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0" s="35" t="str" cm="1">
        <f t="array" ref="I10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0" s="35" t="str" cm="1">
        <f t="array" ref="J10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0" s="35" t="str" cm="1">
        <f t="array" ref="K10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0" s="36" t="str" cm="1">
        <f t="array" ref="L10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0" s="37" t="str" cm="1">
        <f t="array" ref="M10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0" s="35" t="str" cm="1">
        <f t="array" ref="N10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0" s="35" t="str" cm="1">
        <f t="array" ref="O10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0" s="35" t="str" cm="1">
        <f t="array" ref="P10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0" s="36" t="str" cm="1">
        <f t="array" ref="Q10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0" s="37" t="str" cm="1">
        <f t="array" ref="R10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0" s="35" t="str" cm="1">
        <f t="array" ref="S10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0" s="35" t="str" cm="1">
        <f t="array" ref="T10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0" s="35" t="str" cm="1">
        <f t="array" ref="U10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0" s="36" t="str" cm="1">
        <f t="array" ref="V10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0" s="37" t="str" cm="1">
        <f t="array" ref="W10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0" s="35" t="str" cm="1">
        <f t="array" ref="X10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0" s="35" t="str" cm="1">
        <f t="array" ref="Y10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0" s="35" t="str" cm="1">
        <f t="array" ref="Z10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0" s="36" t="str" cm="1">
        <f t="array" ref="AA10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0" s="37" t="str" cm="1">
        <f t="array" ref="AB10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0" s="35" t="str" cm="1">
        <f t="array" ref="AC10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0" s="35" t="str" cm="1">
        <f t="array" ref="AD10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0" s="35" t="str" cm="1">
        <f t="array" ref="AE10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0" s="36" t="str" cm="1">
        <f t="array" ref="AF10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0" s="37" t="str" cm="1">
        <f t="array" ref="AG10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0" s="35" t="str" cm="1">
        <f t="array" ref="AH10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0" s="35" t="str" cm="1">
        <f t="array" ref="AI10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0" s="35" t="str" cm="1">
        <f t="array" ref="AJ10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0" s="36" t="str" cm="1">
        <f t="array" ref="AK10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0" s="37" t="str" cm="1">
        <f t="array" ref="AL10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0" s="35" t="str" cm="1">
        <f t="array" ref="AM10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0" s="35" t="str" cm="1">
        <f t="array" ref="AN10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0" s="35" t="str" cm="1">
        <f t="array" ref="AO10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0" s="36" t="str" cm="1">
        <f t="array" ref="AP10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0" s="37" t="str" cm="1">
        <f t="array" ref="AQ10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0" s="35" t="str" cm="1">
        <f t="array" ref="AR10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0" s="35" t="str" cm="1">
        <f t="array" ref="AS10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0" s="35" t="str" cm="1">
        <f t="array" ref="AT10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0" s="36" t="str" cm="1">
        <f t="array" ref="AU10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0" s="37" t="str" cm="1">
        <f t="array" ref="AV10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0" s="35" t="str" cm="1">
        <f t="array" ref="AW10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0" s="35" t="str" cm="1">
        <f t="array" ref="AX10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0" s="35" t="str" cm="1">
        <f t="array" ref="AY10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0" s="36" t="str" cm="1">
        <f t="array" ref="AZ10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0" s="37" t="str" cm="1">
        <f t="array" ref="BA10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0" s="35" t="str" cm="1">
        <f t="array" ref="BB10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0" s="35" t="str" cm="1">
        <f t="array" ref="BC10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0" s="35" t="str" cm="1">
        <f t="array" ref="BD10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0" s="36" t="str" cm="1">
        <f t="array" ref="BE10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0" s="37" t="str" cm="1">
        <f t="array" ref="BF10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0" s="35" t="str" cm="1">
        <f t="array" ref="BG10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0" s="35" t="str" cm="1">
        <f t="array" ref="BH10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0" s="35" t="str" cm="1">
        <f t="array" ref="BI10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0" s="36" t="str" cm="1">
        <f t="array" ref="BJ10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0" s="37" t="str" cm="1">
        <f t="array" ref="BK10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0" s="35" t="str" cm="1">
        <f t="array" ref="BL10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0" s="35" t="str" cm="1">
        <f t="array" ref="BM10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0" s="35" t="str" cm="1">
        <f t="array" ref="BN10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0" s="36" t="str" cm="1">
        <f t="array" ref="BO10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0" s="37" t="str" cm="1">
        <f t="array" ref="BP10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0" s="35" t="str" cm="1">
        <f t="array" ref="BQ10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0" s="35" t="str" cm="1">
        <f t="array" ref="BR10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0" s="35" t="str" cm="1">
        <f t="array" ref="BS10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0" s="36" t="str" cm="1">
        <f t="array" ref="BT10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0" s="37" t="str" cm="1">
        <f t="array" ref="BU10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0" s="35" t="str" cm="1">
        <f t="array" ref="BV10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0" s="35" t="str" cm="1">
        <f t="array" ref="BW10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0" s="35" t="str" cm="1">
        <f t="array" ref="BX10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0" s="36" t="str" cm="1">
        <f t="array" ref="BY10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0" s="37" t="str" cm="1">
        <f t="array" ref="BZ10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0" s="35" t="str" cm="1">
        <f t="array" ref="CA10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0" s="35" t="str" cm="1">
        <f t="array" ref="CB10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0" s="35" t="str" cm="1">
        <f t="array" ref="CC10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0" s="36" t="str" cm="1">
        <f t="array" ref="CD10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1" spans="1:82" ht="14.4" x14ac:dyDescent="0.3">
      <c r="A11" s="25"/>
      <c r="B11" s="16" t="e">
        <f>#REF!</f>
        <v>#REF!</v>
      </c>
      <c r="C11" s="34" t="str" cm="1">
        <f t="array" ref="C11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1" s="35" t="str" cm="1">
        <f t="array" ref="D11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1" s="35" t="str" cm="1">
        <f t="array" ref="E11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1" s="35" t="str" cm="1">
        <f t="array" ref="F11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1" s="36" t="str" cm="1">
        <f t="array" ref="G11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1" s="34" t="str" cm="1">
        <f t="array" ref="H11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1" s="35" t="str" cm="1">
        <f t="array" ref="I11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1" s="35" t="str" cm="1">
        <f t="array" ref="J11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1" s="35" t="str" cm="1">
        <f t="array" ref="K11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1" s="36" t="str" cm="1">
        <f t="array" ref="L11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1" s="37" t="str" cm="1">
        <f t="array" ref="M11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1" s="35" t="str" cm="1">
        <f t="array" ref="N11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1" s="35" t="str" cm="1">
        <f t="array" ref="O11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1" s="35" t="str" cm="1">
        <f t="array" ref="P11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1" s="36" t="str" cm="1">
        <f t="array" ref="Q11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1" s="37" t="str" cm="1">
        <f t="array" ref="R11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1" s="35" t="str" cm="1">
        <f t="array" ref="S11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1" s="35" t="str" cm="1">
        <f t="array" ref="T11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1" s="35" t="str" cm="1">
        <f t="array" ref="U11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1" s="36" t="str" cm="1">
        <f t="array" ref="V11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1" s="37" t="str" cm="1">
        <f t="array" ref="W11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1" s="35" t="str" cm="1">
        <f t="array" ref="X11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1" s="35" t="str" cm="1">
        <f t="array" ref="Y11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1" s="35" t="str" cm="1">
        <f t="array" ref="Z11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1" s="36" t="str" cm="1">
        <f t="array" ref="AA11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1" s="37" t="str" cm="1">
        <f t="array" ref="AB11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1" s="35" t="str" cm="1">
        <f t="array" ref="AC11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1" s="35" t="str" cm="1">
        <f t="array" ref="AD11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1" s="35" t="str" cm="1">
        <f t="array" ref="AE11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1" s="36" t="str" cm="1">
        <f t="array" ref="AF11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1" s="37" t="str" cm="1">
        <f t="array" ref="AG11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1" s="35" t="str" cm="1">
        <f t="array" ref="AH11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1" s="35" t="str" cm="1">
        <f t="array" ref="AI11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1" s="35" t="str" cm="1">
        <f t="array" ref="AJ11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1" s="36" t="str" cm="1">
        <f t="array" ref="AK11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1" s="37" t="str" cm="1">
        <f t="array" ref="AL11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1" s="35" t="str" cm="1">
        <f t="array" ref="AM11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1" s="35" t="str" cm="1">
        <f t="array" ref="AN11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1" s="35" t="str" cm="1">
        <f t="array" ref="AO11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1" s="36" t="str" cm="1">
        <f t="array" ref="AP11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1" s="37" t="str" cm="1">
        <f t="array" ref="AQ11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1" s="35" t="str" cm="1">
        <f t="array" ref="AR11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1" s="35" t="str" cm="1">
        <f t="array" ref="AS11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1" s="35" t="str" cm="1">
        <f t="array" ref="AT11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1" s="36" t="str" cm="1">
        <f t="array" ref="AU11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1" s="37" t="str" cm="1">
        <f t="array" ref="AV11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1" s="35" t="str" cm="1">
        <f t="array" ref="AW11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1" s="35" t="str" cm="1">
        <f t="array" ref="AX11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1" s="35" t="str" cm="1">
        <f t="array" ref="AY11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1" s="36" t="str" cm="1">
        <f t="array" ref="AZ11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1" s="37" t="str" cm="1">
        <f t="array" ref="BA11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1" s="35" t="str" cm="1">
        <f t="array" ref="BB11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1" s="35" t="str" cm="1">
        <f t="array" ref="BC11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1" s="35" t="str" cm="1">
        <f t="array" ref="BD11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1" s="36" t="str" cm="1">
        <f t="array" ref="BE11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1" s="37" t="str" cm="1">
        <f t="array" ref="BF11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1" s="35" t="str" cm="1">
        <f t="array" ref="BG11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1" s="35" t="str" cm="1">
        <f t="array" ref="BH11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1" s="35" t="str" cm="1">
        <f t="array" ref="BI11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1" s="36" t="str" cm="1">
        <f t="array" ref="BJ11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1" s="37" t="str" cm="1">
        <f t="array" ref="BK11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1" s="35" t="str" cm="1">
        <f t="array" ref="BL11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1" s="35" t="str" cm="1">
        <f t="array" ref="BM11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1" s="35" t="str" cm="1">
        <f t="array" ref="BN11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1" s="36" t="str" cm="1">
        <f t="array" ref="BO11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1" s="37" t="str" cm="1">
        <f t="array" ref="BP11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1" s="35" t="str" cm="1">
        <f t="array" ref="BQ11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1" s="35" t="str" cm="1">
        <f t="array" ref="BR11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1" s="35" t="str" cm="1">
        <f t="array" ref="BS11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1" s="36" t="str" cm="1">
        <f t="array" ref="BT11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1" s="37" t="str" cm="1">
        <f t="array" ref="BU11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1" s="35" t="str" cm="1">
        <f t="array" ref="BV11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1" s="35" t="str" cm="1">
        <f t="array" ref="BW11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1" s="35" t="str" cm="1">
        <f t="array" ref="BX11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1" s="36" t="str" cm="1">
        <f t="array" ref="BY11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1" s="37" t="str" cm="1">
        <f t="array" ref="BZ11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1" s="35" t="str" cm="1">
        <f t="array" ref="CA11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1" s="35" t="str" cm="1">
        <f t="array" ref="CB11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1" s="35" t="str" cm="1">
        <f t="array" ref="CC11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1" s="36" t="str" cm="1">
        <f t="array" ref="CD11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2" spans="1:82" ht="14.4" x14ac:dyDescent="0.3">
      <c r="A12" s="25"/>
      <c r="B12" s="16" t="e">
        <f>#REF!</f>
        <v>#REF!</v>
      </c>
      <c r="C12" s="34" t="str" cm="1">
        <f t="array" ref="C12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2" s="35" t="str" cm="1">
        <f t="array" ref="D12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2" s="35" t="str" cm="1">
        <f t="array" ref="E12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2" s="35" t="str" cm="1">
        <f t="array" ref="F12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2" s="36" t="str" cm="1">
        <f t="array" ref="G12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2" s="34" t="str" cm="1">
        <f t="array" ref="H12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2" s="35" t="str" cm="1">
        <f t="array" ref="I12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2" s="35" t="str" cm="1">
        <f t="array" ref="J12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2" s="35" t="str" cm="1">
        <f t="array" ref="K12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2" s="36" t="str" cm="1">
        <f t="array" ref="L12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2" s="37" t="str" cm="1">
        <f t="array" ref="M12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2" s="35" t="str" cm="1">
        <f t="array" ref="N12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2" s="35" t="str" cm="1">
        <f t="array" ref="O12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2" s="35" t="str" cm="1">
        <f t="array" ref="P12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2" s="36" t="str" cm="1">
        <f t="array" ref="Q12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2" s="37" t="str" cm="1">
        <f t="array" ref="R12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2" s="35" t="str" cm="1">
        <f t="array" ref="S12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2" s="35" t="str" cm="1">
        <f t="array" ref="T12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2" s="35" t="str" cm="1">
        <f t="array" ref="U12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2" s="36" t="str" cm="1">
        <f t="array" ref="V12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2" s="37" t="str" cm="1">
        <f t="array" ref="W12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2" s="35" t="str" cm="1">
        <f t="array" ref="X12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2" s="35" t="str" cm="1">
        <f t="array" ref="Y12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2" s="35" t="str" cm="1">
        <f t="array" ref="Z12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2" s="36" t="str" cm="1">
        <f t="array" ref="AA12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2" s="37" t="str" cm="1">
        <f t="array" ref="AB12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2" s="35" t="str" cm="1">
        <f t="array" ref="AC12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2" s="35" t="str" cm="1">
        <f t="array" ref="AD12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2" s="35" t="str" cm="1">
        <f t="array" ref="AE12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2" s="36" t="str" cm="1">
        <f t="array" ref="AF12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2" s="37" t="str" cm="1">
        <f t="array" ref="AG12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2" s="35" t="str" cm="1">
        <f t="array" ref="AH12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2" s="35" t="str" cm="1">
        <f t="array" ref="AI12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2" s="35" t="str" cm="1">
        <f t="array" ref="AJ12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2" s="36" t="str" cm="1">
        <f t="array" ref="AK12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2" s="37" t="str" cm="1">
        <f t="array" ref="AL12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2" s="35" t="str" cm="1">
        <f t="array" ref="AM12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2" s="35" t="str" cm="1">
        <f t="array" ref="AN12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2" s="35" t="str" cm="1">
        <f t="array" ref="AO12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2" s="36" t="str" cm="1">
        <f t="array" ref="AP12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2" s="37" t="str" cm="1">
        <f t="array" ref="AQ12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2" s="35" t="str" cm="1">
        <f t="array" ref="AR12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2" s="35" t="str" cm="1">
        <f t="array" ref="AS12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2" s="35" t="str" cm="1">
        <f t="array" ref="AT12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2" s="36" t="str" cm="1">
        <f t="array" ref="AU12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2" s="37" t="str" cm="1">
        <f t="array" ref="AV12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2" s="35" t="str" cm="1">
        <f t="array" ref="AW12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2" s="35" t="str" cm="1">
        <f t="array" ref="AX12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2" s="35" t="str" cm="1">
        <f t="array" ref="AY12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2" s="36" t="str" cm="1">
        <f t="array" ref="AZ12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2" s="37" t="str" cm="1">
        <f t="array" ref="BA12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2" s="35" t="str" cm="1">
        <f t="array" ref="BB12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2" s="35" t="str" cm="1">
        <f t="array" ref="BC12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2" s="35" t="str" cm="1">
        <f t="array" ref="BD12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2" s="36" t="str" cm="1">
        <f t="array" ref="BE12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2" s="37" t="str" cm="1">
        <f t="array" ref="BF12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2" s="35" t="str" cm="1">
        <f t="array" ref="BG12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2" s="35" t="str" cm="1">
        <f t="array" ref="BH12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2" s="35" t="str" cm="1">
        <f t="array" ref="BI12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2" s="36" t="str" cm="1">
        <f t="array" ref="BJ12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2" s="37" t="str" cm="1">
        <f t="array" ref="BK12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2" s="35" t="str" cm="1">
        <f t="array" ref="BL12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2" s="35" t="str" cm="1">
        <f t="array" ref="BM12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2" s="35" t="str" cm="1">
        <f t="array" ref="BN12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2" s="36" t="str" cm="1">
        <f t="array" ref="BO12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2" s="37" t="str" cm="1">
        <f t="array" ref="BP12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2" s="35" t="str" cm="1">
        <f t="array" ref="BQ12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2" s="35" t="str" cm="1">
        <f t="array" ref="BR12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2" s="35" t="str" cm="1">
        <f t="array" ref="BS12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2" s="36" t="str" cm="1">
        <f t="array" ref="BT12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2" s="37" t="str" cm="1">
        <f t="array" ref="BU12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2" s="35" t="str" cm="1">
        <f t="array" ref="BV12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2" s="35" t="str" cm="1">
        <f t="array" ref="BW12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2" s="35" t="str" cm="1">
        <f t="array" ref="BX12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2" s="36" t="str" cm="1">
        <f t="array" ref="BY12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2" s="37" t="str" cm="1">
        <f t="array" ref="BZ12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2" s="35" t="str" cm="1">
        <f t="array" ref="CA12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2" s="35" t="str" cm="1">
        <f t="array" ref="CB12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2" s="35" t="str" cm="1">
        <f t="array" ref="CC12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2" s="36" t="str" cm="1">
        <f t="array" ref="CD12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3" spans="1:82" ht="14.4" x14ac:dyDescent="0.3">
      <c r="A13" s="25"/>
      <c r="B13" s="16" t="e">
        <f>#REF!</f>
        <v>#REF!</v>
      </c>
      <c r="C13" s="34" t="str" cm="1">
        <f t="array" ref="C13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3" s="35" t="str" cm="1">
        <f t="array" ref="D13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3" s="35" t="str" cm="1">
        <f t="array" ref="E13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3" s="35" t="str" cm="1">
        <f t="array" ref="F13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3" s="36" t="str" cm="1">
        <f t="array" ref="G13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3" s="34" t="str" cm="1">
        <f t="array" ref="H13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3" s="35" t="str" cm="1">
        <f t="array" ref="I13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3" s="35" t="str" cm="1">
        <f t="array" ref="J13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3" s="35" t="str" cm="1">
        <f t="array" ref="K13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3" s="36" t="str" cm="1">
        <f t="array" ref="L13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3" s="37" t="str" cm="1">
        <f t="array" ref="M13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3" s="35" t="str" cm="1">
        <f t="array" ref="N13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3" s="35" t="str" cm="1">
        <f t="array" ref="O13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3" s="35" t="str" cm="1">
        <f t="array" ref="P13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3" s="36" t="str" cm="1">
        <f t="array" ref="Q13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3" s="37" t="str" cm="1">
        <f t="array" ref="R13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3" s="35" t="str" cm="1">
        <f t="array" ref="S13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3" s="35" t="str" cm="1">
        <f t="array" ref="T13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3" s="35" t="str" cm="1">
        <f t="array" ref="U13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3" s="36" t="str" cm="1">
        <f t="array" ref="V13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3" s="37" t="str" cm="1">
        <f t="array" ref="W13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3" s="35" t="str" cm="1">
        <f t="array" ref="X13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3" s="35" t="str" cm="1">
        <f t="array" ref="Y13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3" s="35" t="str" cm="1">
        <f t="array" ref="Z13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3" s="36" t="str" cm="1">
        <f t="array" ref="AA13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3" s="37" t="str" cm="1">
        <f t="array" ref="AB13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3" s="35" t="str" cm="1">
        <f t="array" ref="AC13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3" s="35" t="str" cm="1">
        <f t="array" ref="AD13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3" s="35" t="str" cm="1">
        <f t="array" ref="AE13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3" s="36" t="str" cm="1">
        <f t="array" ref="AF13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3" s="37" t="str" cm="1">
        <f t="array" ref="AG13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3" s="35" t="str" cm="1">
        <f t="array" ref="AH13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3" s="35" t="str" cm="1">
        <f t="array" ref="AI13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3" s="35" t="str" cm="1">
        <f t="array" ref="AJ13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3" s="36" t="str" cm="1">
        <f t="array" ref="AK13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3" s="37" t="str" cm="1">
        <f t="array" ref="AL13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3" s="35" t="str" cm="1">
        <f t="array" ref="AM13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3" s="35" t="str" cm="1">
        <f t="array" ref="AN13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3" s="35" t="str" cm="1">
        <f t="array" ref="AO13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3" s="36" t="str" cm="1">
        <f t="array" ref="AP13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3" s="37" t="str" cm="1">
        <f t="array" ref="AQ13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3" s="35" t="str" cm="1">
        <f t="array" ref="AR13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3" s="35" t="str" cm="1">
        <f t="array" ref="AS13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3" s="35" t="str" cm="1">
        <f t="array" ref="AT13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3" s="36" t="str" cm="1">
        <f t="array" ref="AU13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3" s="37" t="str" cm="1">
        <f t="array" ref="AV13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3" s="35" t="str" cm="1">
        <f t="array" ref="AW13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3" s="35" t="str" cm="1">
        <f t="array" ref="AX13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3" s="35" t="str" cm="1">
        <f t="array" ref="AY13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3" s="36" t="str" cm="1">
        <f t="array" ref="AZ13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3" s="37" t="str" cm="1">
        <f t="array" ref="BA13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3" s="35" t="str" cm="1">
        <f t="array" ref="BB13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3" s="35" t="str" cm="1">
        <f t="array" ref="BC13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3" s="35" t="str" cm="1">
        <f t="array" ref="BD13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3" s="36" t="str" cm="1">
        <f t="array" ref="BE13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3" s="37" t="str" cm="1">
        <f t="array" ref="BF13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3" s="35" t="str" cm="1">
        <f t="array" ref="BG13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3" s="35" t="str" cm="1">
        <f t="array" ref="BH13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3" s="35" t="str" cm="1">
        <f t="array" ref="BI13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3" s="36" t="str" cm="1">
        <f t="array" ref="BJ13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3" s="37" t="str" cm="1">
        <f t="array" ref="BK13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3" s="35" t="str" cm="1">
        <f t="array" ref="BL13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3" s="35" t="str" cm="1">
        <f t="array" ref="BM13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3" s="35" t="str" cm="1">
        <f t="array" ref="BN13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3" s="36" t="str" cm="1">
        <f t="array" ref="BO13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3" s="37" t="str" cm="1">
        <f t="array" ref="BP13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3" s="35" t="str" cm="1">
        <f t="array" ref="BQ13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3" s="35" t="str" cm="1">
        <f t="array" ref="BR13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3" s="35" t="str" cm="1">
        <f t="array" ref="BS13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3" s="36" t="str" cm="1">
        <f t="array" ref="BT13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3" s="37" t="str" cm="1">
        <f t="array" ref="BU13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3" s="35" t="str" cm="1">
        <f t="array" ref="BV13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3" s="35" t="str" cm="1">
        <f t="array" ref="BW13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3" s="35" t="str" cm="1">
        <f t="array" ref="BX13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3" s="36" t="str" cm="1">
        <f t="array" ref="BY13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3" s="37" t="str" cm="1">
        <f t="array" ref="BZ13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3" s="35" t="str" cm="1">
        <f t="array" ref="CA13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3" s="35" t="str" cm="1">
        <f t="array" ref="CB13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3" s="35" t="str" cm="1">
        <f t="array" ref="CC13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3" s="36" t="str" cm="1">
        <f t="array" ref="CD13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4" spans="1:82" ht="14.4" x14ac:dyDescent="0.3">
      <c r="A14" s="25"/>
      <c r="B14" s="16" t="e">
        <f>#REF!</f>
        <v>#REF!</v>
      </c>
      <c r="C14" s="34" t="str" cm="1">
        <f t="array" ref="C14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4" s="35" t="str" cm="1">
        <f t="array" ref="D14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4" s="35" t="str" cm="1">
        <f t="array" ref="E14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4" s="35" t="str" cm="1">
        <f t="array" ref="F1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4" s="36" t="str" cm="1">
        <f t="array" ref="G1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4" s="34" t="str" cm="1">
        <f t="array" ref="H14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4" s="35" t="str" cm="1">
        <f t="array" ref="I14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4" s="35" t="str" cm="1">
        <f t="array" ref="J14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4" s="35" t="str" cm="1">
        <f t="array" ref="K1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4" s="36" t="str" cm="1">
        <f t="array" ref="L1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4" s="37" t="str" cm="1">
        <f t="array" ref="M14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4" s="35" t="str" cm="1">
        <f t="array" ref="N14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4" s="35" t="str" cm="1">
        <f t="array" ref="O14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4" s="35" t="str" cm="1">
        <f t="array" ref="P1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4" s="36" t="str" cm="1">
        <f t="array" ref="Q1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4" s="37" t="str" cm="1">
        <f t="array" ref="R14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4" s="35" t="str" cm="1">
        <f t="array" ref="S14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4" s="35" t="str" cm="1">
        <f t="array" ref="T14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4" s="35" t="str" cm="1">
        <f t="array" ref="U1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4" s="36" t="str" cm="1">
        <f t="array" ref="V1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4" s="37" t="str" cm="1">
        <f t="array" ref="W14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4" s="35" t="str" cm="1">
        <f t="array" ref="X14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4" s="35" t="str" cm="1">
        <f t="array" ref="Y14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4" s="35" t="str" cm="1">
        <f t="array" ref="Z1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4" s="36" t="str" cm="1">
        <f t="array" ref="AA1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4" s="37" t="str" cm="1">
        <f t="array" ref="AB1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4" s="35" t="str" cm="1">
        <f t="array" ref="AC14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4" s="35" t="str" cm="1">
        <f t="array" ref="AD14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4" s="35" t="str" cm="1">
        <f t="array" ref="AE1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4" s="36" t="str" cm="1">
        <f t="array" ref="AF1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4" s="37" t="str" cm="1">
        <f t="array" ref="AG1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4" s="35" t="str" cm="1">
        <f t="array" ref="AH14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4" s="35" t="str" cm="1">
        <f t="array" ref="AI14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4" s="35" t="str" cm="1">
        <f t="array" ref="AJ1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4" s="36" t="str" cm="1">
        <f t="array" ref="AK1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4" s="37" t="str" cm="1">
        <f t="array" ref="AL1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4" s="35" t="str" cm="1">
        <f t="array" ref="AM14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4" s="35" t="str" cm="1">
        <f t="array" ref="AN14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4" s="35" t="str" cm="1">
        <f t="array" ref="AO1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4" s="36" t="str" cm="1">
        <f t="array" ref="AP1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4" s="37" t="str" cm="1">
        <f t="array" ref="AQ1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4" s="35" t="str" cm="1">
        <f t="array" ref="AR14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4" s="35" t="str" cm="1">
        <f t="array" ref="AS14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4" s="35" t="str" cm="1">
        <f t="array" ref="AT1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4" s="36" t="str" cm="1">
        <f t="array" ref="AU1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4" s="37" t="str" cm="1">
        <f t="array" ref="AV1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4" s="35" t="str" cm="1">
        <f t="array" ref="AW14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4" s="35" t="str" cm="1">
        <f t="array" ref="AX14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4" s="35" t="str" cm="1">
        <f t="array" ref="AY1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4" s="36" t="str" cm="1">
        <f t="array" ref="AZ1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4" s="37" t="str" cm="1">
        <f t="array" ref="BA1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4" s="35" t="str" cm="1">
        <f t="array" ref="BB14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4" s="35" t="str" cm="1">
        <f t="array" ref="BC14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4" s="35" t="str" cm="1">
        <f t="array" ref="BD1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4" s="36" t="str" cm="1">
        <f t="array" ref="BE1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4" s="37" t="str" cm="1">
        <f t="array" ref="BF1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4" s="35" t="str" cm="1">
        <f t="array" ref="BG14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4" s="35" t="str" cm="1">
        <f t="array" ref="BH14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4" s="35" t="str" cm="1">
        <f t="array" ref="BI1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4" s="36" t="str" cm="1">
        <f t="array" ref="BJ1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4" s="37" t="str" cm="1">
        <f t="array" ref="BK1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4" s="35" t="str" cm="1">
        <f t="array" ref="BL14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4" s="35" t="str" cm="1">
        <f t="array" ref="BM14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4" s="35" t="str" cm="1">
        <f t="array" ref="BN1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4" s="36" t="str" cm="1">
        <f t="array" ref="BO1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4" s="37" t="str" cm="1">
        <f t="array" ref="BP1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4" s="35" t="str" cm="1">
        <f t="array" ref="BQ14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4" s="35" t="str" cm="1">
        <f t="array" ref="BR14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4" s="35" t="str" cm="1">
        <f t="array" ref="BS1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4" s="36" t="str" cm="1">
        <f t="array" ref="BT1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4" s="37" t="str" cm="1">
        <f t="array" ref="BU1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4" s="35" t="str" cm="1">
        <f t="array" ref="BV14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4" s="35" t="str" cm="1">
        <f t="array" ref="BW14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4" s="35" t="str" cm="1">
        <f t="array" ref="BX1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4" s="36" t="str" cm="1">
        <f t="array" ref="BY1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4" s="37" t="str" cm="1">
        <f t="array" ref="BZ1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4" s="35" t="str" cm="1">
        <f t="array" ref="CA14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4" s="35" t="str" cm="1">
        <f t="array" ref="CB14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4" s="35" t="str" cm="1">
        <f t="array" ref="CC1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4" s="36" t="str" cm="1">
        <f t="array" ref="CD1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5" spans="1:82" ht="14.4" x14ac:dyDescent="0.3">
      <c r="A15" s="25"/>
      <c r="B15" s="16" t="e">
        <f>#REF!</f>
        <v>#REF!</v>
      </c>
      <c r="C15" s="34" t="str" cm="1">
        <f t="array" ref="C15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5" s="35" t="str" cm="1">
        <f t="array" ref="D15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5" s="35" t="str" cm="1">
        <f t="array" ref="E15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5" s="35" t="str" cm="1">
        <f t="array" ref="F1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5" s="36" t="str" cm="1">
        <f t="array" ref="G1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5" s="34" t="str" cm="1">
        <f t="array" ref="H15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5" s="35" t="str" cm="1">
        <f t="array" ref="I15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5" s="35" t="str" cm="1">
        <f t="array" ref="J15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5" s="35" t="str" cm="1">
        <f t="array" ref="K1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5" s="36" t="str" cm="1">
        <f t="array" ref="L1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5" s="37" t="str" cm="1">
        <f t="array" ref="M15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5" s="35" t="str" cm="1">
        <f t="array" ref="N15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5" s="35" t="str" cm="1">
        <f t="array" ref="O15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5" s="35" t="str" cm="1">
        <f t="array" ref="P1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5" s="36" t="str" cm="1">
        <f t="array" ref="Q1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5" s="37" t="str" cm="1">
        <f t="array" ref="R15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5" s="35" t="str" cm="1">
        <f t="array" ref="S15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5" s="35" t="str" cm="1">
        <f t="array" ref="T15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5" s="35" t="str" cm="1">
        <f t="array" ref="U1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5" s="36" t="str" cm="1">
        <f t="array" ref="V1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5" s="37" t="str" cm="1">
        <f t="array" ref="W15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5" s="35" t="str" cm="1">
        <f t="array" ref="X15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5" s="35" t="str" cm="1">
        <f t="array" ref="Y15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5" s="35" t="str" cm="1">
        <f t="array" ref="Z1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5" s="36" t="str" cm="1">
        <f t="array" ref="AA1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5" s="37" t="str" cm="1">
        <f t="array" ref="AB1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5" s="35" t="str" cm="1">
        <f t="array" ref="AC15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5" s="35" t="str" cm="1">
        <f t="array" ref="AD15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5" s="35" t="str" cm="1">
        <f t="array" ref="AE1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5" s="36" t="str" cm="1">
        <f t="array" ref="AF1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5" s="37" t="str" cm="1">
        <f t="array" ref="AG1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5" s="35" t="str" cm="1">
        <f t="array" ref="AH15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5" s="35" t="str" cm="1">
        <f t="array" ref="AI15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5" s="35" t="str" cm="1">
        <f t="array" ref="AJ1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5" s="36" t="str" cm="1">
        <f t="array" ref="AK1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5" s="37" t="str" cm="1">
        <f t="array" ref="AL1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5" s="35" t="str" cm="1">
        <f t="array" ref="AM15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5" s="35" t="str" cm="1">
        <f t="array" ref="AN15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5" s="35" t="str" cm="1">
        <f t="array" ref="AO1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5" s="36" t="str" cm="1">
        <f t="array" ref="AP1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5" s="37" t="str" cm="1">
        <f t="array" ref="AQ1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5" s="35" t="str" cm="1">
        <f t="array" ref="AR15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5" s="35" t="str" cm="1">
        <f t="array" ref="AS15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5" s="35" t="str" cm="1">
        <f t="array" ref="AT1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5" s="36" t="str" cm="1">
        <f t="array" ref="AU1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5" s="37" t="str" cm="1">
        <f t="array" ref="AV1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5" s="35" t="str" cm="1">
        <f t="array" ref="AW15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5" s="35" t="str" cm="1">
        <f t="array" ref="AX15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5" s="35" t="str" cm="1">
        <f t="array" ref="AY1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5" s="36" t="str" cm="1">
        <f t="array" ref="AZ1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5" s="37" t="str" cm="1">
        <f t="array" ref="BA1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5" s="35" t="str" cm="1">
        <f t="array" ref="BB15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5" s="35" t="str" cm="1">
        <f t="array" ref="BC15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5" s="35" t="str" cm="1">
        <f t="array" ref="BD1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5" s="36" t="str" cm="1">
        <f t="array" ref="BE1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5" s="37" t="str" cm="1">
        <f t="array" ref="BF1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5" s="35" t="str" cm="1">
        <f t="array" ref="BG15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5" s="35" t="str" cm="1">
        <f t="array" ref="BH15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5" s="35" t="str" cm="1">
        <f t="array" ref="BI1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5" s="36" t="str" cm="1">
        <f t="array" ref="BJ1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5" s="37" t="str" cm="1">
        <f t="array" ref="BK1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5" s="35" t="str" cm="1">
        <f t="array" ref="BL15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5" s="35" t="str" cm="1">
        <f t="array" ref="BM15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5" s="35" t="str" cm="1">
        <f t="array" ref="BN1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5" s="36" t="str" cm="1">
        <f t="array" ref="BO1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5" s="37" t="str" cm="1">
        <f t="array" ref="BP1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5" s="35" t="str" cm="1">
        <f t="array" ref="BQ15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5" s="35" t="str" cm="1">
        <f t="array" ref="BR15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5" s="35" t="str" cm="1">
        <f t="array" ref="BS1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5" s="36" t="str" cm="1">
        <f t="array" ref="BT1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5" s="37" t="str" cm="1">
        <f t="array" ref="BU1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5" s="35" t="str" cm="1">
        <f t="array" ref="BV15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5" s="35" t="str" cm="1">
        <f t="array" ref="BW15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5" s="35" t="str" cm="1">
        <f t="array" ref="BX1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5" s="36" t="str" cm="1">
        <f t="array" ref="BY1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5" s="37" t="str" cm="1">
        <f t="array" ref="BZ1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5" s="35" t="str" cm="1">
        <f t="array" ref="CA15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5" s="35" t="str" cm="1">
        <f t="array" ref="CB15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5" s="35" t="str" cm="1">
        <f t="array" ref="CC1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5" s="36" t="str" cm="1">
        <f t="array" ref="CD1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6" spans="1:82" ht="15" thickBot="1" x14ac:dyDescent="0.35">
      <c r="A16" s="25"/>
      <c r="B16" s="46" t="e">
        <f>#REF!</f>
        <v>#REF!</v>
      </c>
      <c r="C16" s="38" t="str" cm="1">
        <f t="array" ref="C16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6" s="39" t="str" cm="1">
        <f t="array" ref="D16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6" s="39" t="str" cm="1">
        <f t="array" ref="E16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6" s="39" t="str" cm="1">
        <f t="array" ref="F1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6" s="40" t="str" cm="1">
        <f t="array" ref="G1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6" s="38" t="str" cm="1">
        <f t="array" ref="H16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6" s="39" t="str" cm="1">
        <f t="array" ref="I16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6" s="39" t="str" cm="1">
        <f t="array" ref="J16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6" s="39" t="str" cm="1">
        <f t="array" ref="K1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6" s="40" t="str" cm="1">
        <f t="array" ref="L1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6" s="41" t="str" cm="1">
        <f t="array" ref="M16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6" s="39" t="str" cm="1">
        <f t="array" ref="N16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6" s="39" t="str" cm="1">
        <f t="array" ref="O16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6" s="39" t="str" cm="1">
        <f t="array" ref="P1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6" s="40" t="str" cm="1">
        <f t="array" ref="Q1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6" s="41" t="str" cm="1">
        <f t="array" ref="R16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6" s="39" t="str" cm="1">
        <f t="array" ref="S16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6" s="39" t="str" cm="1">
        <f t="array" ref="T16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6" s="39" t="str" cm="1">
        <f t="array" ref="U1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6" s="40" t="str" cm="1">
        <f t="array" ref="V1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6" s="41" t="str" cm="1">
        <f t="array" ref="W16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6" s="39" t="str" cm="1">
        <f t="array" ref="X16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6" s="39" t="str" cm="1">
        <f t="array" ref="Y16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6" s="39" t="str" cm="1">
        <f t="array" ref="Z1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6" s="40" t="str" cm="1">
        <f t="array" ref="AA1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6" s="41" t="str" cm="1">
        <f t="array" ref="AB1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6" s="39" t="str" cm="1">
        <f t="array" ref="AC16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6" s="39" t="str" cm="1">
        <f t="array" ref="AD16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6" s="39" t="str" cm="1">
        <f t="array" ref="AE1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6" s="40" t="str" cm="1">
        <f t="array" ref="AF1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6" s="41" t="str" cm="1">
        <f t="array" ref="AG1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6" s="39" t="str" cm="1">
        <f t="array" ref="AH16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6" s="39" t="str" cm="1">
        <f t="array" ref="AI16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6" s="39" t="str" cm="1">
        <f t="array" ref="AJ1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6" s="40" t="str" cm="1">
        <f t="array" ref="AK1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6" s="41" t="str" cm="1">
        <f t="array" ref="AL1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6" s="39" t="str" cm="1">
        <f t="array" ref="AM16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6" s="39" t="str" cm="1">
        <f t="array" ref="AN16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6" s="39" t="str" cm="1">
        <f t="array" ref="AO1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6" s="40" t="str" cm="1">
        <f t="array" ref="AP1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6" s="41" t="str" cm="1">
        <f t="array" ref="AQ1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6" s="39" t="str" cm="1">
        <f t="array" ref="AR16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6" s="39" t="str" cm="1">
        <f t="array" ref="AS16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6" s="39" t="str" cm="1">
        <f t="array" ref="AT1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6" s="40" t="str" cm="1">
        <f t="array" ref="AU1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6" s="41" t="str" cm="1">
        <f t="array" ref="AV1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6" s="39" t="str" cm="1">
        <f t="array" ref="AW16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6" s="39" t="str" cm="1">
        <f t="array" ref="AX16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6" s="39" t="str" cm="1">
        <f t="array" ref="AY1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6" s="40" t="str" cm="1">
        <f t="array" ref="AZ1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6" s="41" t="str" cm="1">
        <f t="array" ref="BA1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6" s="39" t="str" cm="1">
        <f t="array" ref="BB16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6" s="39" t="str" cm="1">
        <f t="array" ref="BC16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6" s="39" t="str" cm="1">
        <f t="array" ref="BD1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6" s="40" t="str" cm="1">
        <f t="array" ref="BE1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6" s="41" t="str" cm="1">
        <f t="array" ref="BF1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6" s="39" t="str" cm="1">
        <f t="array" ref="BG16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6" s="39" t="str" cm="1">
        <f t="array" ref="BH16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6" s="39" t="str" cm="1">
        <f t="array" ref="BI1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6" s="40" t="str" cm="1">
        <f t="array" ref="BJ1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6" s="41" t="str" cm="1">
        <f t="array" ref="BK1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6" s="39" t="str" cm="1">
        <f t="array" ref="BL16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6" s="39" t="str" cm="1">
        <f t="array" ref="BM16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6" s="39" t="str" cm="1">
        <f t="array" ref="BN1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6" s="40" t="str" cm="1">
        <f t="array" ref="BO1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6" s="41" t="str" cm="1">
        <f t="array" ref="BP1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6" s="39" t="str" cm="1">
        <f t="array" ref="BQ16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6" s="39" t="str" cm="1">
        <f t="array" ref="BR16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6" s="39" t="str" cm="1">
        <f t="array" ref="BS1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6" s="40" t="str" cm="1">
        <f t="array" ref="BT1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6" s="41" t="str" cm="1">
        <f t="array" ref="BU1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6" s="39" t="str" cm="1">
        <f t="array" ref="BV16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6" s="39" t="str" cm="1">
        <f t="array" ref="BW16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6" s="39" t="str" cm="1">
        <f t="array" ref="BX1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6" s="40" t="str" cm="1">
        <f t="array" ref="BY1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6" s="41" t="str" cm="1">
        <f t="array" ref="BZ1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6" s="39" t="str" cm="1">
        <f t="array" ref="CA16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6" s="39" t="str" cm="1">
        <f t="array" ref="CB16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6" s="39" t="str" cm="1">
        <f t="array" ref="CC1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6" s="40" t="str" cm="1">
        <f t="array" ref="CD1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7" spans="1:19" ht="14.4" x14ac:dyDescent="0.3">
      <c r="A17" s="25"/>
      <c r="C17" s="18" t="s">
        <v>84</v>
      </c>
      <c r="D17" s="18" t="s">
        <v>85</v>
      </c>
      <c r="E17" s="18" t="s">
        <v>86</v>
      </c>
      <c r="F17" s="18" t="s">
        <v>87</v>
      </c>
      <c r="S17" s="43"/>
    </row>
    <row r="18" spans="1:19" ht="14.4" x14ac:dyDescent="0.3">
      <c r="A18" s="25"/>
      <c r="B18" s="25"/>
    </row>
    <row r="19" spans="1:19" ht="14.4" x14ac:dyDescent="0.3">
      <c r="A19" s="25"/>
      <c r="B19" s="25"/>
    </row>
    <row r="20" spans="1:19" ht="14.4" x14ac:dyDescent="0.3">
      <c r="A20" s="25"/>
      <c r="B20" s="25"/>
    </row>
    <row r="21" spans="1:19" ht="14.4" x14ac:dyDescent="0.3">
      <c r="A21" s="25"/>
      <c r="B21" s="25"/>
    </row>
    <row r="22" spans="1:19" ht="14.4" x14ac:dyDescent="0.3">
      <c r="A22" s="25"/>
      <c r="B22" s="25"/>
    </row>
    <row r="23" spans="1:19" ht="14.4" x14ac:dyDescent="0.3">
      <c r="A23" s="25"/>
      <c r="B23" s="25"/>
    </row>
    <row r="24" spans="1:19" ht="14.4" x14ac:dyDescent="0.3">
      <c r="A24" s="25"/>
      <c r="B24" s="25"/>
    </row>
    <row r="25" spans="1:19" ht="14.4" x14ac:dyDescent="0.3">
      <c r="A25" s="25"/>
      <c r="B25" s="25"/>
    </row>
    <row r="26" spans="1:19" ht="14.4" x14ac:dyDescent="0.3">
      <c r="A26" s="25"/>
      <c r="B26" s="25"/>
    </row>
    <row r="27" spans="1:19" ht="14.4" x14ac:dyDescent="0.3">
      <c r="A27" s="25"/>
      <c r="B27" s="25"/>
    </row>
    <row r="28" spans="1:19" ht="14.4" x14ac:dyDescent="0.3">
      <c r="A28" s="25"/>
      <c r="B28" s="25"/>
    </row>
    <row r="29" spans="1:19" ht="14.4" x14ac:dyDescent="0.3">
      <c r="A29" s="25"/>
      <c r="B29" s="25"/>
    </row>
    <row r="30" spans="1:19" ht="14.4" x14ac:dyDescent="0.3">
      <c r="A30" s="25"/>
      <c r="B30" s="25"/>
    </row>
    <row r="31" spans="1:19" ht="14.4" x14ac:dyDescent="0.3">
      <c r="A31" s="25"/>
      <c r="B31" s="25"/>
    </row>
    <row r="32" spans="1:19" ht="14.4" x14ac:dyDescent="0.3">
      <c r="A32" s="25"/>
      <c r="B32" s="25"/>
    </row>
    <row r="33" spans="1:2" ht="14.4" x14ac:dyDescent="0.3">
      <c r="A33" s="25"/>
      <c r="B33" s="25"/>
    </row>
    <row r="34" spans="1:2" ht="14.4" x14ac:dyDescent="0.3">
      <c r="A34" s="25"/>
      <c r="B34" s="42"/>
    </row>
    <row r="35" spans="1:2" ht="14.4" x14ac:dyDescent="0.3">
      <c r="A35" s="25"/>
      <c r="B35" s="25"/>
    </row>
  </sheetData>
  <sheetProtection algorithmName="SHA-512" hashValue="doYRc2zPWEwQp0k/mHEzMqaVfj55qrZlkNv2M8tEXBN5dBry6+DnrvWjSo6U9kq8qIOj52QayDBpU14JsGyhFg==" saltValue="21jOAyApZECkREe0Npubpg==" spinCount="100000" sheet="1" objects="1" scenarios="1"/>
  <mergeCells count="16">
    <mergeCell ref="AB2:AF2"/>
    <mergeCell ref="C2:G2"/>
    <mergeCell ref="H2:L2"/>
    <mergeCell ref="M2:Q2"/>
    <mergeCell ref="R2:V2"/>
    <mergeCell ref="W2:AA2"/>
    <mergeCell ref="BK2:BO2"/>
    <mergeCell ref="BP2:BT2"/>
    <mergeCell ref="BU2:BY2"/>
    <mergeCell ref="BZ2:CD2"/>
    <mergeCell ref="AG2:AK2"/>
    <mergeCell ref="AL2:AP2"/>
    <mergeCell ref="AQ2:AU2"/>
    <mergeCell ref="AV2:AZ2"/>
    <mergeCell ref="BA2:BE2"/>
    <mergeCell ref="BF2:BJ2"/>
  </mergeCells>
  <pageMargins left="0.70866141732283472" right="0.70866141732283472" top="0.78740157480314965" bottom="0.78740157480314965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53C9F-9A35-40D6-81CF-D5EDF90E3A6C}">
  <sheetPr>
    <tabColor theme="2" tint="-9.9978637043366805E-2"/>
  </sheetPr>
  <dimension ref="B2:Q16"/>
  <sheetViews>
    <sheetView tabSelected="1" zoomScale="80" zoomScaleNormal="80" workbookViewId="0">
      <selection activeCell="D3" sqref="D3"/>
    </sheetView>
  </sheetViews>
  <sheetFormatPr baseColWidth="10" defaultColWidth="11.44140625" defaultRowHeight="14.4" x14ac:dyDescent="0.3"/>
  <cols>
    <col min="1" max="2" width="11.44140625" style="6"/>
    <col min="3" max="3" width="19.109375" style="6" bestFit="1" customWidth="1"/>
    <col min="4" max="7" width="14.88671875" style="6" customWidth="1"/>
    <col min="8" max="8" width="18.21875" style="6" customWidth="1"/>
    <col min="9" max="9" width="20.5546875" style="6" customWidth="1"/>
    <col min="10" max="10" width="23.88671875" style="6" customWidth="1"/>
    <col min="11" max="17" width="14.88671875" style="6" customWidth="1"/>
    <col min="18" max="16384" width="11.44140625" style="6"/>
  </cols>
  <sheetData>
    <row r="2" spans="2:17" x14ac:dyDescent="0.3">
      <c r="D2" s="51" t="s">
        <v>88</v>
      </c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</row>
    <row r="3" spans="2:17" x14ac:dyDescent="0.3">
      <c r="B3" s="14" t="s">
        <v>3</v>
      </c>
      <c r="C3" s="14" t="s">
        <v>4</v>
      </c>
      <c r="D3" s="14" t="str" cm="1">
        <f t="array" ref="D3:E3">TRANSPOSE(_xlfn._xlws.FILTER(jiraProjectsTable[Squad],NOT(ISBLANK(jiraProjectsTable[Squad]))))</f>
        <v>Squad_2</v>
      </c>
      <c r="E3" s="14" t="str">
        <v>Squad_1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</row>
    <row r="4" spans="2:17" x14ac:dyDescent="0.3">
      <c r="B4" s="5">
        <f>[1]Datumstabelle!B3</f>
        <v>45809</v>
      </c>
      <c r="C4" s="11" t="e">
        <f t="shared" ref="C4:C16" si="0">INDEX(D4:Q4,1,MATCH(jiraProjectCell,$D$3:$Q$3,0))</f>
        <v>#N/A</v>
      </c>
      <c r="D4" s="13">
        <v>4</v>
      </c>
      <c r="E4" s="13">
        <v>4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</row>
    <row r="5" spans="2:17" x14ac:dyDescent="0.3">
      <c r="B5" s="3">
        <f>[1]Datumstabelle!B4</f>
        <v>45839</v>
      </c>
      <c r="C5" t="e">
        <f t="shared" si="0"/>
        <v>#N/A</v>
      </c>
      <c r="D5" s="8">
        <v>4</v>
      </c>
      <c r="E5" s="8">
        <v>4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2:17" x14ac:dyDescent="0.3">
      <c r="B6" s="4">
        <f>[1]Datumstabelle!B5</f>
        <v>45870</v>
      </c>
      <c r="C6" s="2" t="e">
        <f t="shared" si="0"/>
        <v>#N/A</v>
      </c>
      <c r="D6" s="7">
        <v>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2:17" x14ac:dyDescent="0.3">
      <c r="B7" s="3">
        <f>[1]Datumstabelle!B6</f>
        <v>45901</v>
      </c>
      <c r="C7" t="e">
        <f t="shared" si="0"/>
        <v>#N/A</v>
      </c>
      <c r="D7" s="8">
        <v>4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</row>
    <row r="8" spans="2:17" x14ac:dyDescent="0.3">
      <c r="B8" s="4">
        <f>[1]Datumstabelle!B7</f>
        <v>45931</v>
      </c>
      <c r="C8" s="2" t="e">
        <f t="shared" si="0"/>
        <v>#N/A</v>
      </c>
      <c r="D8" s="7">
        <v>4</v>
      </c>
      <c r="E8" s="7">
        <v>3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2:17" x14ac:dyDescent="0.3">
      <c r="B9" s="3">
        <f>[1]Datumstabelle!B8</f>
        <v>45962</v>
      </c>
      <c r="C9" t="e">
        <f t="shared" si="0"/>
        <v>#N/A</v>
      </c>
      <c r="D9" s="8">
        <v>5</v>
      </c>
      <c r="E9" s="8">
        <v>4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</row>
    <row r="10" spans="2:17" x14ac:dyDescent="0.3">
      <c r="B10" s="4">
        <f>[1]Datumstabelle!B9</f>
        <v>45992</v>
      </c>
      <c r="C10" s="2" t="e">
        <f t="shared" si="0"/>
        <v>#N/A</v>
      </c>
      <c r="D10" s="7">
        <v>4</v>
      </c>
      <c r="E10" s="7">
        <v>4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2:17" x14ac:dyDescent="0.3">
      <c r="B11" s="3">
        <f>[1]Datumstabelle!B10</f>
        <v>46023</v>
      </c>
      <c r="C11" t="e">
        <f t="shared" si="0"/>
        <v>#N/A</v>
      </c>
      <c r="D11" s="8">
        <v>4</v>
      </c>
      <c r="E11" s="8">
        <v>4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</row>
    <row r="12" spans="2:17" x14ac:dyDescent="0.3">
      <c r="B12" s="4">
        <f>[1]Datumstabelle!B11</f>
        <v>46054</v>
      </c>
      <c r="C12" s="2" t="e">
        <f t="shared" si="0"/>
        <v>#N/A</v>
      </c>
      <c r="D12" s="7">
        <v>4</v>
      </c>
      <c r="E12" s="7">
        <v>4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2:17" x14ac:dyDescent="0.3">
      <c r="B13" s="3">
        <f>[1]Datumstabelle!B12</f>
        <v>46082</v>
      </c>
      <c r="C13" t="e">
        <f t="shared" si="0"/>
        <v>#N/A</v>
      </c>
      <c r="D13" s="8">
        <v>4</v>
      </c>
      <c r="E13" s="8">
        <v>4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</row>
    <row r="14" spans="2:17" x14ac:dyDescent="0.3">
      <c r="B14" s="4">
        <f>[1]Datumstabelle!B13</f>
        <v>46113</v>
      </c>
      <c r="C14" s="2" t="e">
        <f t="shared" si="0"/>
        <v>#N/A</v>
      </c>
      <c r="D14" s="7">
        <v>4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2:17" x14ac:dyDescent="0.3">
      <c r="B15" s="3">
        <f>[1]Datumstabelle!B14</f>
        <v>46143</v>
      </c>
      <c r="C15" t="e">
        <f t="shared" si="0"/>
        <v>#N/A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</row>
    <row r="16" spans="2:17" x14ac:dyDescent="0.3">
      <c r="B16" s="10">
        <f>[1]Datumstabelle!B15</f>
        <v>46174</v>
      </c>
      <c r="C16" s="12" t="e">
        <f t="shared" si="0"/>
        <v>#N/A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</sheetData>
  <mergeCells count="1">
    <mergeCell ref="D2:Q2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F105-4465-4F43-8FFF-BAC9266C5BC6}">
  <sheetPr>
    <tabColor theme="7" tint="0.39997558519241921"/>
  </sheetPr>
  <dimension ref="B3:D53"/>
  <sheetViews>
    <sheetView workbookViewId="0">
      <selection activeCell="B4" sqref="B4:B5"/>
    </sheetView>
  </sheetViews>
  <sheetFormatPr baseColWidth="10" defaultColWidth="11.44140625" defaultRowHeight="14.4" x14ac:dyDescent="0.3"/>
  <cols>
    <col min="1" max="1" width="11.44140625" style="6"/>
    <col min="2" max="2" width="27.88671875" style="6" bestFit="1" customWidth="1"/>
    <col min="3" max="3" width="60" style="6" bestFit="1" customWidth="1"/>
    <col min="4" max="4" width="14.5546875" style="6" bestFit="1" customWidth="1"/>
    <col min="5" max="16384" width="11.44140625" style="6"/>
  </cols>
  <sheetData>
    <row r="3" spans="2:4" x14ac:dyDescent="0.3">
      <c r="B3" s="8" t="s">
        <v>92</v>
      </c>
      <c r="C3" s="8" t="s">
        <v>93</v>
      </c>
      <c r="D3" s="8" t="s">
        <v>0</v>
      </c>
    </row>
    <row r="4" spans="2:4" x14ac:dyDescent="0.3">
      <c r="B4" s="52" t="s">
        <v>1001</v>
      </c>
      <c r="C4" s="8"/>
      <c r="D4" s="52" t="s">
        <v>1001</v>
      </c>
    </row>
    <row r="5" spans="2:4" x14ac:dyDescent="0.3">
      <c r="B5" s="52" t="s">
        <v>1000</v>
      </c>
      <c r="C5" s="8"/>
      <c r="D5" s="52" t="s">
        <v>1000</v>
      </c>
    </row>
    <row r="6" spans="2:4" x14ac:dyDescent="0.3">
      <c r="B6" s="8"/>
      <c r="C6" s="8"/>
      <c r="D6" s="52"/>
    </row>
    <row r="7" spans="2:4" x14ac:dyDescent="0.3">
      <c r="B7" s="8"/>
      <c r="C7" s="8"/>
      <c r="D7" s="52"/>
    </row>
    <row r="8" spans="2:4" x14ac:dyDescent="0.3">
      <c r="B8" s="8"/>
      <c r="C8" s="8"/>
      <c r="D8" s="52"/>
    </row>
    <row r="9" spans="2:4" x14ac:dyDescent="0.3">
      <c r="B9" s="8"/>
      <c r="C9" s="8"/>
      <c r="D9" s="52"/>
    </row>
    <row r="10" spans="2:4" x14ac:dyDescent="0.3">
      <c r="B10" s="8"/>
      <c r="C10" s="8"/>
      <c r="D10" s="52"/>
    </row>
    <row r="11" spans="2:4" x14ac:dyDescent="0.3">
      <c r="B11" s="8"/>
      <c r="C11" s="8"/>
      <c r="D11" s="8"/>
    </row>
    <row r="12" spans="2:4" x14ac:dyDescent="0.3">
      <c r="B12" s="8"/>
      <c r="C12" s="8"/>
      <c r="D12" s="8"/>
    </row>
    <row r="13" spans="2:4" x14ac:dyDescent="0.3">
      <c r="B13" s="8"/>
      <c r="C13" s="8"/>
      <c r="D13" s="8"/>
    </row>
    <row r="14" spans="2:4" x14ac:dyDescent="0.3">
      <c r="B14" s="8"/>
      <c r="C14" s="8"/>
      <c r="D14" s="8"/>
    </row>
    <row r="15" spans="2:4" x14ac:dyDescent="0.3">
      <c r="B15" s="8"/>
      <c r="C15" s="8"/>
      <c r="D15" s="8"/>
    </row>
    <row r="16" spans="2:4" x14ac:dyDescent="0.3">
      <c r="B16" s="8"/>
      <c r="C16" s="8"/>
      <c r="D16" s="8"/>
    </row>
    <row r="17" spans="2:4" x14ac:dyDescent="0.3">
      <c r="B17" s="8"/>
      <c r="C17" s="8"/>
      <c r="D17" s="8"/>
    </row>
    <row r="18" spans="2:4" x14ac:dyDescent="0.3">
      <c r="B18" s="8"/>
      <c r="C18" s="8"/>
      <c r="D18" s="8"/>
    </row>
    <row r="19" spans="2:4" x14ac:dyDescent="0.3">
      <c r="B19" s="8"/>
      <c r="C19" s="8"/>
      <c r="D19" s="8"/>
    </row>
    <row r="20" spans="2:4" x14ac:dyDescent="0.3">
      <c r="B20" s="8"/>
      <c r="C20" s="8"/>
      <c r="D20" s="8"/>
    </row>
    <row r="21" spans="2:4" x14ac:dyDescent="0.3">
      <c r="B21" s="15"/>
      <c r="C21" s="15"/>
      <c r="D21" s="15"/>
    </row>
    <row r="22" spans="2:4" x14ac:dyDescent="0.3">
      <c r="B22" s="15"/>
      <c r="C22" s="15"/>
      <c r="D22" s="15"/>
    </row>
    <row r="23" spans="2:4" x14ac:dyDescent="0.3">
      <c r="B23" s="15"/>
      <c r="C23" s="15"/>
      <c r="D23" s="15"/>
    </row>
    <row r="24" spans="2:4" x14ac:dyDescent="0.3">
      <c r="B24" s="15"/>
      <c r="C24" s="15"/>
      <c r="D24" s="15"/>
    </row>
    <row r="25" spans="2:4" x14ac:dyDescent="0.3">
      <c r="B25" s="15"/>
      <c r="C25" s="15"/>
      <c r="D25" s="15"/>
    </row>
    <row r="26" spans="2:4" x14ac:dyDescent="0.3">
      <c r="B26" s="15"/>
      <c r="C26" s="15"/>
      <c r="D26" s="15"/>
    </row>
    <row r="27" spans="2:4" x14ac:dyDescent="0.3">
      <c r="B27" s="15"/>
      <c r="C27" s="15"/>
      <c r="D27" s="15"/>
    </row>
    <row r="28" spans="2:4" x14ac:dyDescent="0.3">
      <c r="B28" s="15"/>
      <c r="C28" s="15"/>
      <c r="D28" s="15"/>
    </row>
    <row r="29" spans="2:4" x14ac:dyDescent="0.3">
      <c r="B29" s="15"/>
      <c r="C29" s="15"/>
      <c r="D29" s="15"/>
    </row>
    <row r="30" spans="2:4" x14ac:dyDescent="0.3">
      <c r="B30" s="15"/>
      <c r="C30" s="15"/>
      <c r="D30" s="15"/>
    </row>
    <row r="31" spans="2:4" x14ac:dyDescent="0.3">
      <c r="B31" s="15"/>
      <c r="C31" s="15"/>
      <c r="D31" s="15"/>
    </row>
    <row r="32" spans="2:4" x14ac:dyDescent="0.3">
      <c r="B32" s="15"/>
      <c r="C32" s="15"/>
      <c r="D32" s="15"/>
    </row>
    <row r="33" spans="2:4" x14ac:dyDescent="0.3">
      <c r="B33" s="15"/>
      <c r="C33" s="15"/>
      <c r="D33" s="15"/>
    </row>
    <row r="34" spans="2:4" x14ac:dyDescent="0.3">
      <c r="B34" s="15"/>
      <c r="C34" s="15"/>
      <c r="D34" s="15"/>
    </row>
    <row r="35" spans="2:4" x14ac:dyDescent="0.3">
      <c r="B35" s="15"/>
      <c r="C35" s="15"/>
      <c r="D35" s="15"/>
    </row>
    <row r="36" spans="2:4" x14ac:dyDescent="0.3">
      <c r="B36" s="15"/>
      <c r="C36" s="15"/>
      <c r="D36" s="15"/>
    </row>
    <row r="37" spans="2:4" x14ac:dyDescent="0.3">
      <c r="B37" s="15"/>
      <c r="C37" s="15"/>
      <c r="D37" s="15"/>
    </row>
    <row r="38" spans="2:4" x14ac:dyDescent="0.3">
      <c r="B38" s="15"/>
      <c r="C38" s="15"/>
      <c r="D38" s="15"/>
    </row>
    <row r="39" spans="2:4" x14ac:dyDescent="0.3">
      <c r="B39" s="15"/>
      <c r="C39" s="15"/>
      <c r="D39" s="15"/>
    </row>
    <row r="40" spans="2:4" x14ac:dyDescent="0.3">
      <c r="B40" s="15"/>
      <c r="C40" s="15"/>
      <c r="D40" s="15"/>
    </row>
    <row r="41" spans="2:4" x14ac:dyDescent="0.3">
      <c r="B41" s="15"/>
      <c r="C41" s="15"/>
      <c r="D41" s="15"/>
    </row>
    <row r="42" spans="2:4" x14ac:dyDescent="0.3">
      <c r="B42" s="15"/>
      <c r="C42" s="15"/>
      <c r="D42" s="15"/>
    </row>
    <row r="43" spans="2:4" x14ac:dyDescent="0.3">
      <c r="B43" s="15"/>
      <c r="C43" s="15"/>
      <c r="D43" s="15"/>
    </row>
    <row r="44" spans="2:4" x14ac:dyDescent="0.3">
      <c r="B44" s="15"/>
      <c r="C44" s="15"/>
      <c r="D44" s="15"/>
    </row>
    <row r="45" spans="2:4" x14ac:dyDescent="0.3">
      <c r="B45" s="15"/>
      <c r="C45" s="15"/>
      <c r="D45" s="15"/>
    </row>
    <row r="46" spans="2:4" x14ac:dyDescent="0.3">
      <c r="B46" s="15"/>
      <c r="C46" s="15"/>
      <c r="D46" s="15"/>
    </row>
    <row r="47" spans="2:4" x14ac:dyDescent="0.3">
      <c r="B47" s="15"/>
      <c r="C47" s="15"/>
      <c r="D47" s="15"/>
    </row>
    <row r="48" spans="2:4" x14ac:dyDescent="0.3">
      <c r="B48" s="15"/>
      <c r="C48" s="15"/>
      <c r="D48" s="15"/>
    </row>
    <row r="49" spans="2:4" x14ac:dyDescent="0.3">
      <c r="B49" s="15"/>
      <c r="C49" s="15"/>
      <c r="D49" s="15"/>
    </row>
    <row r="50" spans="2:4" x14ac:dyDescent="0.3">
      <c r="B50" s="15"/>
      <c r="C50" s="15"/>
      <c r="D50" s="15"/>
    </row>
    <row r="51" spans="2:4" x14ac:dyDescent="0.3">
      <c r="B51" s="15"/>
      <c r="C51" s="15"/>
      <c r="D51" s="15"/>
    </row>
    <row r="52" spans="2:4" x14ac:dyDescent="0.3">
      <c r="B52" s="15"/>
      <c r="C52" s="15"/>
      <c r="D52" s="15"/>
    </row>
    <row r="53" spans="2:4" x14ac:dyDescent="0.3">
      <c r="B53" s="15"/>
      <c r="C53" s="15"/>
      <c r="D53" s="15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4252B-B667-4D41-9152-55F4C7CF6358}">
  <sheetPr>
    <tabColor theme="7" tint="0.39997558519241921"/>
  </sheetPr>
  <dimension ref="A1:P17"/>
  <sheetViews>
    <sheetView workbookViewId="0">
      <selection activeCell="A14" sqref="A14"/>
    </sheetView>
  </sheetViews>
  <sheetFormatPr baseColWidth="10" defaultRowHeight="14.4" x14ac:dyDescent="0.3"/>
  <cols>
    <col min="1" max="1" width="15.88671875" bestFit="1" customWidth="1"/>
    <col min="2" max="2" width="15" bestFit="1" customWidth="1"/>
    <col min="3" max="3" width="25.5546875" bestFit="1" customWidth="1"/>
    <col min="4" max="4" width="30.5546875" bestFit="1" customWidth="1"/>
    <col min="5" max="5" width="14.44140625" style="1" bestFit="1" customWidth="1"/>
    <col min="6" max="6" width="52.44140625" bestFit="1" customWidth="1"/>
    <col min="7" max="7" width="13.5546875" bestFit="1" customWidth="1"/>
    <col min="8" max="8" width="13.5546875" style="1" bestFit="1" customWidth="1"/>
    <col min="9" max="9" width="18" bestFit="1" customWidth="1"/>
    <col min="10" max="10" width="23.33203125" bestFit="1" customWidth="1"/>
    <col min="11" max="11" width="28.109375" bestFit="1" customWidth="1"/>
    <col min="12" max="12" width="42.88671875" bestFit="1" customWidth="1"/>
    <col min="13" max="13" width="19.6640625" bestFit="1" customWidth="1"/>
    <col min="14" max="14" width="22.5546875" bestFit="1" customWidth="1"/>
    <col min="15" max="15" width="24.5546875" style="1" bestFit="1" customWidth="1"/>
    <col min="16" max="16" width="19.44140625" bestFit="1" customWidth="1"/>
  </cols>
  <sheetData>
    <row r="1" spans="1:16" x14ac:dyDescent="0.3">
      <c r="A1" t="s">
        <v>127</v>
      </c>
      <c r="B1" t="s">
        <v>2</v>
      </c>
      <c r="C1" t="s">
        <v>0</v>
      </c>
      <c r="D1" t="s">
        <v>93</v>
      </c>
      <c r="E1" s="1" t="s">
        <v>129</v>
      </c>
      <c r="F1" t="s">
        <v>128</v>
      </c>
      <c r="G1" t="s">
        <v>148</v>
      </c>
      <c r="H1" s="1" t="s">
        <v>130</v>
      </c>
      <c r="I1" t="s">
        <v>131</v>
      </c>
      <c r="J1" t="s">
        <v>132</v>
      </c>
      <c r="K1" t="s">
        <v>116</v>
      </c>
      <c r="L1" t="s">
        <v>115</v>
      </c>
      <c r="M1" t="s">
        <v>134</v>
      </c>
      <c r="N1" t="s">
        <v>143</v>
      </c>
      <c r="O1" s="1" t="s">
        <v>144</v>
      </c>
      <c r="P1" t="s">
        <v>121</v>
      </c>
    </row>
    <row r="2" spans="1:16" x14ac:dyDescent="0.3">
      <c r="A2" t="s">
        <v>1002</v>
      </c>
      <c r="B2" t="s">
        <v>90</v>
      </c>
      <c r="C2" t="s">
        <v>1000</v>
      </c>
      <c r="E2" s="1">
        <v>46127.391806666667</v>
      </c>
      <c r="F2" t="s">
        <v>258</v>
      </c>
      <c r="G2">
        <v>1</v>
      </c>
      <c r="H2" s="1">
        <v>46132.402368634263</v>
      </c>
      <c r="I2" s="44">
        <v>5.0105619675925928</v>
      </c>
      <c r="J2">
        <v>120.25348722222222</v>
      </c>
      <c r="K2" t="s">
        <v>141</v>
      </c>
      <c r="L2" t="s">
        <v>138</v>
      </c>
      <c r="M2">
        <v>2</v>
      </c>
      <c r="N2">
        <v>6</v>
      </c>
      <c r="O2" s="1">
        <v>46132</v>
      </c>
      <c r="P2" s="24">
        <v>46160.377966296299</v>
      </c>
    </row>
    <row r="3" spans="1:16" x14ac:dyDescent="0.3">
      <c r="A3" t="s">
        <v>1002</v>
      </c>
      <c r="B3" t="s">
        <v>90</v>
      </c>
      <c r="C3" t="s">
        <v>1000</v>
      </c>
      <c r="E3" s="1">
        <v>46133.696221006947</v>
      </c>
      <c r="F3" t="s">
        <v>259</v>
      </c>
      <c r="G3">
        <v>2</v>
      </c>
      <c r="H3" s="1">
        <v>46136.4006375463</v>
      </c>
      <c r="I3" s="44">
        <v>2.7044165393518518</v>
      </c>
      <c r="J3">
        <v>64.905996944444439</v>
      </c>
      <c r="K3" t="s">
        <v>141</v>
      </c>
      <c r="L3" t="s">
        <v>139</v>
      </c>
      <c r="M3">
        <v>2</v>
      </c>
      <c r="N3">
        <v>3</v>
      </c>
      <c r="O3" s="1">
        <v>46136</v>
      </c>
      <c r="P3" s="24">
        <v>46160.377966296299</v>
      </c>
    </row>
    <row r="4" spans="1:16" x14ac:dyDescent="0.3">
      <c r="A4" t="s">
        <v>1003</v>
      </c>
      <c r="B4" t="s">
        <v>90</v>
      </c>
      <c r="C4" t="s">
        <v>1000</v>
      </c>
      <c r="E4" s="1">
        <v>46147.643730347219</v>
      </c>
      <c r="F4" t="s">
        <v>255</v>
      </c>
      <c r="G4">
        <v>1</v>
      </c>
      <c r="H4" s="1">
        <v>46153.408800381942</v>
      </c>
      <c r="I4" s="44">
        <v>5.7650700347222221</v>
      </c>
      <c r="J4">
        <v>138.36168083333334</v>
      </c>
      <c r="K4" t="s">
        <v>142</v>
      </c>
      <c r="L4" t="s">
        <v>135</v>
      </c>
      <c r="M4">
        <v>1</v>
      </c>
      <c r="N4">
        <v>6</v>
      </c>
      <c r="O4" s="1">
        <v>46153</v>
      </c>
      <c r="P4" s="24">
        <v>46160.377966296299</v>
      </c>
    </row>
    <row r="5" spans="1:16" x14ac:dyDescent="0.3">
      <c r="A5" t="s">
        <v>1004</v>
      </c>
      <c r="B5" t="s">
        <v>90</v>
      </c>
      <c r="C5" t="s">
        <v>1000</v>
      </c>
      <c r="E5" s="1">
        <v>46133.408455173609</v>
      </c>
      <c r="F5" t="s">
        <v>152</v>
      </c>
      <c r="G5">
        <v>1</v>
      </c>
      <c r="H5" s="1">
        <v>46146.649382905096</v>
      </c>
      <c r="I5" s="44">
        <v>13.240927731481481</v>
      </c>
      <c r="J5">
        <v>317.78226555555557</v>
      </c>
      <c r="K5" t="s">
        <v>142</v>
      </c>
      <c r="L5" t="s">
        <v>140</v>
      </c>
      <c r="M5">
        <v>1</v>
      </c>
      <c r="N5">
        <v>14</v>
      </c>
      <c r="O5" s="1">
        <v>46146</v>
      </c>
      <c r="P5" s="24">
        <v>46160.377966296299</v>
      </c>
    </row>
    <row r="6" spans="1:16" x14ac:dyDescent="0.3">
      <c r="A6" t="s">
        <v>1005</v>
      </c>
      <c r="B6" t="s">
        <v>90</v>
      </c>
      <c r="C6" t="s">
        <v>1000</v>
      </c>
      <c r="E6" s="1">
        <v>46104.408872731481</v>
      </c>
      <c r="F6" t="s">
        <v>256</v>
      </c>
      <c r="G6">
        <v>1</v>
      </c>
      <c r="H6" s="1">
        <v>46120.40899520833</v>
      </c>
      <c r="I6" s="44">
        <v>16.000122476851853</v>
      </c>
      <c r="J6">
        <v>384.00293944444445</v>
      </c>
      <c r="K6" t="s">
        <v>142</v>
      </c>
      <c r="L6" t="s">
        <v>136</v>
      </c>
      <c r="M6">
        <v>1</v>
      </c>
      <c r="N6">
        <v>17</v>
      </c>
      <c r="O6" s="1">
        <v>46120</v>
      </c>
      <c r="P6" s="24">
        <v>46160.377966296299</v>
      </c>
    </row>
    <row r="7" spans="1:16" x14ac:dyDescent="0.3">
      <c r="A7" t="s">
        <v>1006</v>
      </c>
      <c r="B7" t="s">
        <v>90</v>
      </c>
      <c r="C7" t="s">
        <v>1000</v>
      </c>
      <c r="E7" s="1">
        <v>46094.409353263887</v>
      </c>
      <c r="F7" t="s">
        <v>256</v>
      </c>
      <c r="G7">
        <v>1</v>
      </c>
      <c r="H7" s="1">
        <v>46100.60796494213</v>
      </c>
      <c r="I7" s="44">
        <v>6.1986116782407406</v>
      </c>
      <c r="J7">
        <v>148.76668027777777</v>
      </c>
      <c r="K7" t="s">
        <v>142</v>
      </c>
      <c r="L7" t="s">
        <v>136</v>
      </c>
      <c r="M7">
        <v>1</v>
      </c>
      <c r="N7">
        <v>7</v>
      </c>
      <c r="O7" s="1">
        <v>46100</v>
      </c>
      <c r="P7" s="24">
        <v>46160.377966296299</v>
      </c>
    </row>
    <row r="8" spans="1:16" x14ac:dyDescent="0.3">
      <c r="A8" t="s">
        <v>1007</v>
      </c>
      <c r="B8" t="s">
        <v>90</v>
      </c>
      <c r="C8" t="s">
        <v>1000</v>
      </c>
      <c r="E8" s="1">
        <v>46085.323301157405</v>
      </c>
      <c r="F8" t="s">
        <v>152</v>
      </c>
      <c r="G8">
        <v>1</v>
      </c>
      <c r="H8" s="1">
        <v>46092.408679884262</v>
      </c>
      <c r="I8" s="44">
        <v>7.085378726851852</v>
      </c>
      <c r="J8">
        <v>170.04908944444443</v>
      </c>
      <c r="K8" t="s">
        <v>142</v>
      </c>
      <c r="L8" t="s">
        <v>140</v>
      </c>
      <c r="M8">
        <v>1</v>
      </c>
      <c r="N8">
        <v>8</v>
      </c>
      <c r="O8" s="1">
        <v>46092</v>
      </c>
      <c r="P8" s="24">
        <v>46160.377966296299</v>
      </c>
    </row>
    <row r="9" spans="1:16" x14ac:dyDescent="0.3">
      <c r="A9" t="s">
        <v>1008</v>
      </c>
      <c r="B9" t="s">
        <v>90</v>
      </c>
      <c r="C9" t="s">
        <v>1000</v>
      </c>
      <c r="E9" s="1">
        <v>46070.417946689813</v>
      </c>
      <c r="F9" t="s">
        <v>256</v>
      </c>
      <c r="G9">
        <v>1</v>
      </c>
      <c r="H9" s="1">
        <v>46076.475546377318</v>
      </c>
      <c r="I9" s="44">
        <v>6.0575996874999998</v>
      </c>
      <c r="J9">
        <v>145.38239249999998</v>
      </c>
      <c r="K9" t="s">
        <v>142</v>
      </c>
      <c r="L9" t="s">
        <v>136</v>
      </c>
      <c r="M9">
        <v>2</v>
      </c>
      <c r="N9">
        <v>7</v>
      </c>
      <c r="O9" s="1">
        <v>46076</v>
      </c>
      <c r="P9" s="24">
        <v>46160.377966296299</v>
      </c>
    </row>
    <row r="10" spans="1:16" x14ac:dyDescent="0.3">
      <c r="A10" t="s">
        <v>1008</v>
      </c>
      <c r="B10" t="s">
        <v>90</v>
      </c>
      <c r="C10" t="s">
        <v>1000</v>
      </c>
      <c r="E10" s="1">
        <v>46076.475711932871</v>
      </c>
      <c r="F10" t="s">
        <v>255</v>
      </c>
      <c r="G10">
        <v>2</v>
      </c>
      <c r="H10" s="1">
        <v>46077.40873171296</v>
      </c>
      <c r="I10" s="44">
        <v>0.93301978009259257</v>
      </c>
      <c r="J10">
        <v>22.392474722222222</v>
      </c>
      <c r="K10" t="s">
        <v>142</v>
      </c>
      <c r="L10" t="s">
        <v>135</v>
      </c>
      <c r="M10">
        <v>2</v>
      </c>
      <c r="N10">
        <v>1</v>
      </c>
      <c r="O10" s="1">
        <v>46077</v>
      </c>
      <c r="P10" s="24">
        <v>46160.377966296299</v>
      </c>
    </row>
    <row r="11" spans="1:16" x14ac:dyDescent="0.3">
      <c r="A11" t="s">
        <v>1009</v>
      </c>
      <c r="B11" t="s">
        <v>90</v>
      </c>
      <c r="C11" t="s">
        <v>1000</v>
      </c>
      <c r="E11" s="1">
        <v>46050.377483842596</v>
      </c>
      <c r="F11" t="s">
        <v>258</v>
      </c>
      <c r="G11">
        <v>1</v>
      </c>
      <c r="H11" s="1">
        <v>46056.710620104168</v>
      </c>
      <c r="I11" s="44">
        <v>6.3331362615740741</v>
      </c>
      <c r="J11">
        <v>151.99527027777776</v>
      </c>
      <c r="K11" t="s">
        <v>141</v>
      </c>
      <c r="L11" t="s">
        <v>138</v>
      </c>
      <c r="M11">
        <v>2</v>
      </c>
      <c r="N11">
        <v>7</v>
      </c>
      <c r="O11" s="1">
        <v>46056</v>
      </c>
      <c r="P11" s="24">
        <v>46160.377966296299</v>
      </c>
    </row>
    <row r="12" spans="1:16" x14ac:dyDescent="0.3">
      <c r="A12" t="s">
        <v>1009</v>
      </c>
      <c r="B12" t="s">
        <v>90</v>
      </c>
      <c r="C12" t="s">
        <v>1000</v>
      </c>
      <c r="E12" s="1">
        <v>46071.41088383102</v>
      </c>
      <c r="F12" t="s">
        <v>151</v>
      </c>
      <c r="G12">
        <v>2</v>
      </c>
      <c r="H12" s="1">
        <v>46079.379287847223</v>
      </c>
      <c r="I12" s="44">
        <v>7.9684040162037038</v>
      </c>
      <c r="J12">
        <v>191.24169638888887</v>
      </c>
      <c r="K12" t="s">
        <v>141</v>
      </c>
      <c r="L12" t="s">
        <v>137</v>
      </c>
      <c r="M12">
        <v>2</v>
      </c>
      <c r="N12">
        <v>8</v>
      </c>
      <c r="O12" s="1">
        <v>46079</v>
      </c>
      <c r="P12" s="24">
        <v>46160.377966296299</v>
      </c>
    </row>
    <row r="13" spans="1:16" x14ac:dyDescent="0.3">
      <c r="A13" t="s">
        <v>1010</v>
      </c>
      <c r="B13" t="s">
        <v>90</v>
      </c>
      <c r="C13" t="s">
        <v>1000</v>
      </c>
      <c r="E13" s="1">
        <v>46093.409928738423</v>
      </c>
      <c r="F13" t="s">
        <v>152</v>
      </c>
      <c r="G13">
        <v>1</v>
      </c>
      <c r="H13" s="1">
        <v>46097.408468437498</v>
      </c>
      <c r="I13" s="44">
        <v>3.9985396990740742</v>
      </c>
      <c r="J13">
        <v>95.964952777777768</v>
      </c>
      <c r="K13" t="s">
        <v>142</v>
      </c>
      <c r="L13" t="s">
        <v>140</v>
      </c>
      <c r="M13">
        <v>1</v>
      </c>
      <c r="N13">
        <v>4</v>
      </c>
      <c r="O13" s="1">
        <v>46097</v>
      </c>
      <c r="P13" s="24">
        <v>46160.377966296299</v>
      </c>
    </row>
    <row r="14" spans="1:16" x14ac:dyDescent="0.3">
      <c r="A14" t="s">
        <v>1011</v>
      </c>
      <c r="B14" t="s">
        <v>90</v>
      </c>
      <c r="C14" t="s">
        <v>1000</v>
      </c>
      <c r="E14" s="1">
        <v>46034.407658611111</v>
      </c>
      <c r="F14" t="s">
        <v>151</v>
      </c>
      <c r="G14">
        <v>1</v>
      </c>
      <c r="H14" s="1">
        <v>46058.483845104165</v>
      </c>
      <c r="I14" s="44">
        <v>24.076186493055555</v>
      </c>
      <c r="J14">
        <v>577.8284758333333</v>
      </c>
      <c r="K14" t="s">
        <v>141</v>
      </c>
      <c r="L14" t="s">
        <v>137</v>
      </c>
      <c r="M14">
        <v>1</v>
      </c>
      <c r="N14">
        <v>25</v>
      </c>
      <c r="O14" s="1">
        <v>46058</v>
      </c>
      <c r="P14" s="24">
        <v>46160.377966296299</v>
      </c>
    </row>
    <row r="15" spans="1:16" x14ac:dyDescent="0.3">
      <c r="A15" t="s">
        <v>1012</v>
      </c>
      <c r="B15" t="s">
        <v>107</v>
      </c>
      <c r="C15" t="s">
        <v>1000</v>
      </c>
      <c r="E15" s="1">
        <v>46036.337963217593</v>
      </c>
      <c r="F15" t="s">
        <v>258</v>
      </c>
      <c r="G15">
        <v>1</v>
      </c>
      <c r="H15" s="1">
        <v>46073.351504768521</v>
      </c>
      <c r="I15" s="44">
        <v>37.013541550925929</v>
      </c>
      <c r="J15">
        <v>888.32499722222224</v>
      </c>
      <c r="K15" t="s">
        <v>141</v>
      </c>
      <c r="L15" t="s">
        <v>138</v>
      </c>
      <c r="M15">
        <v>1</v>
      </c>
      <c r="N15">
        <v>38</v>
      </c>
      <c r="O15" s="1">
        <v>46073</v>
      </c>
      <c r="P15" s="24">
        <v>46160.377966296299</v>
      </c>
    </row>
    <row r="16" spans="1:16" x14ac:dyDescent="0.3">
      <c r="A16" t="s">
        <v>1013</v>
      </c>
      <c r="B16" t="s">
        <v>90</v>
      </c>
      <c r="C16" t="s">
        <v>1000</v>
      </c>
      <c r="E16" s="1">
        <v>46009.396369699076</v>
      </c>
      <c r="F16" t="s">
        <v>151</v>
      </c>
      <c r="G16">
        <v>1</v>
      </c>
      <c r="H16" s="1">
        <v>46041.705232916669</v>
      </c>
      <c r="I16" s="44">
        <v>32.308863217592595</v>
      </c>
      <c r="J16">
        <v>775.41271722222223</v>
      </c>
      <c r="K16" t="s">
        <v>141</v>
      </c>
      <c r="L16" t="s">
        <v>137</v>
      </c>
      <c r="M16">
        <v>2</v>
      </c>
      <c r="N16">
        <v>33</v>
      </c>
      <c r="O16" s="1">
        <v>46041</v>
      </c>
      <c r="P16" s="24">
        <v>46160.377966296299</v>
      </c>
    </row>
    <row r="17" spans="1:16" x14ac:dyDescent="0.3">
      <c r="A17" t="s">
        <v>1013</v>
      </c>
      <c r="B17" t="s">
        <v>90</v>
      </c>
      <c r="C17" t="s">
        <v>1000</v>
      </c>
      <c r="E17" s="1">
        <v>46050.38047502315</v>
      </c>
      <c r="F17" t="s">
        <v>258</v>
      </c>
      <c r="G17">
        <v>2</v>
      </c>
      <c r="H17" s="1">
        <v>46071.406331655089</v>
      </c>
      <c r="I17" s="44">
        <v>21.025856631944446</v>
      </c>
      <c r="J17">
        <v>504.62055916666662</v>
      </c>
      <c r="K17" t="s">
        <v>141</v>
      </c>
      <c r="L17" t="s">
        <v>138</v>
      </c>
      <c r="M17">
        <v>2</v>
      </c>
      <c r="N17">
        <v>22</v>
      </c>
      <c r="O17" s="1">
        <v>46071</v>
      </c>
      <c r="P17" s="24">
        <v>46160.377966296299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AB66A-A4ED-4C2D-A640-1E9D96E8F063}">
  <sheetPr>
    <tabColor theme="7" tint="0.39997558519241921"/>
  </sheetPr>
  <dimension ref="A1:DS1120"/>
  <sheetViews>
    <sheetView workbookViewId="0">
      <selection activeCell="C34" sqref="C34"/>
    </sheetView>
  </sheetViews>
  <sheetFormatPr baseColWidth="10" defaultRowHeight="14.4" x14ac:dyDescent="0.3"/>
  <cols>
    <col min="1" max="1" width="15.88671875" bestFit="1" customWidth="1"/>
    <col min="2" max="2" width="13.33203125" bestFit="1" customWidth="1"/>
    <col min="3" max="3" width="27.44140625" bestFit="1" customWidth="1"/>
    <col min="4" max="4" width="12.88671875" bestFit="1" customWidth="1"/>
    <col min="5" max="5" width="22.33203125" bestFit="1" customWidth="1"/>
    <col min="6" max="6" width="43.44140625" bestFit="1" customWidth="1"/>
    <col min="7" max="7" width="17.33203125" bestFit="1" customWidth="1"/>
    <col min="8" max="8" width="18" bestFit="1" customWidth="1"/>
    <col min="9" max="9" width="15.109375" bestFit="1" customWidth="1"/>
    <col min="10" max="10" width="16" bestFit="1" customWidth="1"/>
    <col min="11" max="11" width="23.6640625" bestFit="1" customWidth="1"/>
    <col min="12" max="12" width="19" bestFit="1" customWidth="1"/>
    <col min="13" max="13" width="17.6640625" bestFit="1" customWidth="1"/>
    <col min="14" max="15" width="15.109375" bestFit="1" customWidth="1"/>
    <col min="16" max="16" width="22.44140625" bestFit="1" customWidth="1"/>
    <col min="17" max="17" width="17.6640625" bestFit="1" customWidth="1"/>
    <col min="18" max="18" width="16.5546875" bestFit="1" customWidth="1"/>
    <col min="19" max="19" width="12" bestFit="1" customWidth="1"/>
    <col min="20" max="20" width="12.5546875" bestFit="1" customWidth="1"/>
    <col min="21" max="21" width="14.33203125" bestFit="1" customWidth="1"/>
    <col min="22" max="22" width="15.109375" bestFit="1" customWidth="1"/>
    <col min="23" max="23" width="16.5546875" bestFit="1" customWidth="1"/>
    <col min="24" max="24" width="24.33203125" bestFit="1" customWidth="1"/>
    <col min="25" max="25" width="19.5546875" bestFit="1" customWidth="1"/>
    <col min="26" max="26" width="18.44140625" bestFit="1" customWidth="1"/>
    <col min="27" max="27" width="15.109375" bestFit="1" customWidth="1"/>
    <col min="28" max="28" width="17.5546875" bestFit="1" customWidth="1"/>
    <col min="29" max="29" width="25.33203125" bestFit="1" customWidth="1"/>
    <col min="30" max="30" width="20.5546875" bestFit="1" customWidth="1"/>
    <col min="31" max="31" width="19.44140625" bestFit="1" customWidth="1"/>
    <col min="32" max="33" width="15.109375" bestFit="1" customWidth="1"/>
    <col min="34" max="34" width="20" bestFit="1" customWidth="1"/>
    <col min="35" max="35" width="15.33203125" bestFit="1" customWidth="1"/>
    <col min="36" max="36" width="14.109375" bestFit="1" customWidth="1"/>
    <col min="37" max="38" width="15.109375" bestFit="1" customWidth="1"/>
    <col min="39" max="39" width="21.33203125" bestFit="1" customWidth="1"/>
    <col min="40" max="40" width="16.5546875" bestFit="1" customWidth="1"/>
    <col min="41" max="41" width="15.44140625" bestFit="1" customWidth="1"/>
    <col min="42" max="43" width="15.109375" bestFit="1" customWidth="1"/>
    <col min="44" max="44" width="19.5546875" bestFit="1" customWidth="1"/>
    <col min="45" max="45" width="15.109375" bestFit="1" customWidth="1"/>
    <col min="46" max="46" width="13.6640625" bestFit="1" customWidth="1"/>
    <col min="47" max="47" width="12" bestFit="1" customWidth="1"/>
    <col min="48" max="48" width="12.6640625" bestFit="1" customWidth="1"/>
    <col min="49" max="49" width="14.44140625" bestFit="1" customWidth="1"/>
    <col min="50" max="50" width="17.109375" bestFit="1" customWidth="1"/>
    <col min="51" max="51" width="21.88671875" bestFit="1" customWidth="1"/>
    <col min="52" max="52" width="29.5546875" bestFit="1" customWidth="1"/>
    <col min="53" max="53" width="24.88671875" bestFit="1" customWidth="1"/>
    <col min="54" max="54" width="23.6640625" bestFit="1" customWidth="1"/>
    <col min="55" max="55" width="19.5546875" bestFit="1" customWidth="1"/>
    <col min="56" max="56" width="24.33203125" bestFit="1" customWidth="1"/>
    <col min="57" max="57" width="31.88671875" bestFit="1" customWidth="1"/>
    <col min="58" max="58" width="27.109375" bestFit="1" customWidth="1"/>
    <col min="59" max="59" width="26" bestFit="1" customWidth="1"/>
    <col min="60" max="60" width="17.33203125" bestFit="1" customWidth="1"/>
    <col min="61" max="61" width="22" bestFit="1" customWidth="1"/>
    <col min="62" max="62" width="29.6640625" bestFit="1" customWidth="1"/>
    <col min="63" max="63" width="25" bestFit="1" customWidth="1"/>
    <col min="64" max="64" width="23.88671875" bestFit="1" customWidth="1"/>
    <col min="65" max="65" width="15.109375" bestFit="1" customWidth="1"/>
    <col min="66" max="66" width="16.6640625" bestFit="1" customWidth="1"/>
    <col min="67" max="67" width="24.44140625" bestFit="1" customWidth="1"/>
    <col min="68" max="68" width="19.6640625" bestFit="1" customWidth="1"/>
    <col min="69" max="69" width="18.5546875" bestFit="1" customWidth="1"/>
    <col min="70" max="70" width="16.33203125" bestFit="1" customWidth="1"/>
    <col min="71" max="71" width="21" bestFit="1" customWidth="1"/>
    <col min="72" max="72" width="28.6640625" bestFit="1" customWidth="1"/>
    <col min="73" max="73" width="24" bestFit="1" customWidth="1"/>
    <col min="74" max="74" width="22.6640625" bestFit="1" customWidth="1"/>
    <col min="75" max="75" width="15.109375" bestFit="1" customWidth="1"/>
    <col min="76" max="76" width="18.5546875" bestFit="1" customWidth="1"/>
    <col min="77" max="77" width="26.109375" bestFit="1" customWidth="1"/>
    <col min="78" max="78" width="21.44140625" bestFit="1" customWidth="1"/>
    <col min="79" max="79" width="20.33203125" bestFit="1" customWidth="1"/>
    <col min="80" max="80" width="15.109375" bestFit="1" customWidth="1"/>
    <col min="81" max="81" width="15.6640625" bestFit="1" customWidth="1"/>
    <col min="82" max="82" width="17.44140625" bestFit="1" customWidth="1"/>
    <col min="83" max="83" width="15.109375" bestFit="1" customWidth="1"/>
    <col min="84" max="84" width="16" bestFit="1" customWidth="1"/>
    <col min="85" max="85" width="17.6640625" bestFit="1" customWidth="1"/>
    <col min="86" max="87" width="15.109375" bestFit="1" customWidth="1"/>
    <col min="88" max="88" width="22.5546875" bestFit="1" customWidth="1"/>
    <col min="89" max="89" width="17.88671875" bestFit="1" customWidth="1"/>
    <col min="90" max="90" width="16.6640625" bestFit="1" customWidth="1"/>
    <col min="91" max="91" width="12" bestFit="1" customWidth="1"/>
    <col min="92" max="92" width="14.44140625" bestFit="1" customWidth="1"/>
    <col min="93" max="93" width="16.109375" bestFit="1" customWidth="1"/>
    <col min="94" max="94" width="12" bestFit="1" customWidth="1"/>
    <col min="95" max="95" width="15.5546875" bestFit="1" customWidth="1"/>
    <col min="96" max="96" width="17.33203125" bestFit="1" customWidth="1"/>
    <col min="97" max="97" width="12" bestFit="1" customWidth="1"/>
    <col min="98" max="98" width="12.88671875" bestFit="1" customWidth="1"/>
    <col min="99" max="99" width="14.5546875" bestFit="1" customWidth="1"/>
    <col min="100" max="100" width="14.33203125" bestFit="1" customWidth="1"/>
    <col min="101" max="101" width="19" bestFit="1" customWidth="1"/>
    <col min="102" max="102" width="20.6640625" bestFit="1" customWidth="1"/>
    <col min="103" max="103" width="13.5546875" bestFit="1" customWidth="1"/>
    <col min="104" max="104" width="18.109375" bestFit="1" customWidth="1"/>
    <col min="105" max="105" width="20" bestFit="1" customWidth="1"/>
    <col min="106" max="106" width="11" bestFit="1" customWidth="1"/>
    <col min="107" max="107" width="14.5546875" bestFit="1" customWidth="1"/>
    <col min="108" max="108" width="16.33203125" bestFit="1" customWidth="1"/>
    <col min="109" max="109" width="15.109375" bestFit="1" customWidth="1"/>
    <col min="110" max="110" width="18" bestFit="1" customWidth="1"/>
    <col min="111" max="111" width="25.6640625" bestFit="1" customWidth="1"/>
    <col min="112" max="112" width="21" bestFit="1" customWidth="1"/>
    <col min="113" max="113" width="19.88671875" bestFit="1" customWidth="1"/>
    <col min="114" max="114" width="34.109375" bestFit="1" customWidth="1"/>
    <col min="115" max="115" width="28.109375" bestFit="1" customWidth="1"/>
    <col min="116" max="116" width="22" bestFit="1" customWidth="1"/>
    <col min="117" max="117" width="11.88671875" bestFit="1" customWidth="1"/>
    <col min="118" max="118" width="12.44140625" bestFit="1" customWidth="1"/>
    <col min="119" max="119" width="13.109375" bestFit="1" customWidth="1"/>
    <col min="120" max="120" width="20.5546875" bestFit="1" customWidth="1"/>
    <col min="121" max="121" width="25.5546875" bestFit="1" customWidth="1"/>
    <col min="122" max="122" width="30.5546875" bestFit="1" customWidth="1"/>
    <col min="123" max="123" width="19.44140625" bestFit="1" customWidth="1"/>
    <col min="124" max="124" width="15.109375" bestFit="1" customWidth="1"/>
    <col min="125" max="125" width="18" bestFit="1" customWidth="1"/>
    <col min="126" max="126" width="25.6640625" bestFit="1" customWidth="1"/>
    <col min="127" max="127" width="21" bestFit="1" customWidth="1"/>
    <col min="128" max="128" width="19.88671875" bestFit="1" customWidth="1"/>
    <col min="129" max="129" width="43.33203125" bestFit="1" customWidth="1"/>
    <col min="130" max="130" width="28.109375" bestFit="1" customWidth="1"/>
    <col min="131" max="131" width="22" bestFit="1" customWidth="1"/>
    <col min="132" max="132" width="11.88671875" bestFit="1" customWidth="1"/>
    <col min="133" max="133" width="12.44140625" bestFit="1" customWidth="1"/>
    <col min="134" max="134" width="13.109375" bestFit="1" customWidth="1"/>
    <col min="135" max="135" width="20.5546875" bestFit="1" customWidth="1"/>
    <col min="136" max="136" width="10.88671875" bestFit="1" customWidth="1"/>
    <col min="137" max="137" width="11.109375" bestFit="1" customWidth="1"/>
    <col min="138" max="138" width="19.44140625" customWidth="1"/>
    <col min="139" max="140" width="15.109375" bestFit="1" customWidth="1"/>
    <col min="141" max="141" width="14.33203125" bestFit="1" customWidth="1"/>
    <col min="142" max="142" width="15.109375" bestFit="1" customWidth="1"/>
    <col min="143" max="143" width="16.5546875" bestFit="1" customWidth="1"/>
    <col min="144" max="144" width="24.33203125" bestFit="1" customWidth="1"/>
    <col min="145" max="145" width="19.5546875" bestFit="1" customWidth="1"/>
    <col min="146" max="146" width="18.44140625" bestFit="1" customWidth="1"/>
    <col min="147" max="147" width="15.109375" bestFit="1" customWidth="1"/>
    <col min="148" max="148" width="17.5546875" bestFit="1" customWidth="1"/>
    <col min="149" max="149" width="25.33203125" bestFit="1" customWidth="1"/>
    <col min="150" max="150" width="20.5546875" bestFit="1" customWidth="1"/>
    <col min="151" max="151" width="19.44140625" customWidth="1"/>
    <col min="152" max="153" width="15.109375" bestFit="1" customWidth="1"/>
    <col min="154" max="154" width="20" bestFit="1" customWidth="1"/>
    <col min="155" max="155" width="15.33203125" bestFit="1" customWidth="1"/>
    <col min="156" max="156" width="14.109375" bestFit="1" customWidth="1"/>
    <col min="157" max="158" width="15.109375" bestFit="1" customWidth="1"/>
    <col min="159" max="159" width="21.33203125" bestFit="1" customWidth="1"/>
    <col min="160" max="160" width="16.5546875" bestFit="1" customWidth="1"/>
    <col min="161" max="161" width="15.44140625" bestFit="1" customWidth="1"/>
    <col min="162" max="163" width="15.109375" bestFit="1" customWidth="1"/>
    <col min="164" max="164" width="19.5546875" bestFit="1" customWidth="1"/>
    <col min="165" max="165" width="15.109375" bestFit="1" customWidth="1"/>
    <col min="166" max="166" width="13.6640625" bestFit="1" customWidth="1"/>
    <col min="167" max="168" width="15.109375" bestFit="1" customWidth="1"/>
    <col min="169" max="169" width="14.44140625" bestFit="1" customWidth="1"/>
    <col min="170" max="170" width="17.109375" bestFit="1" customWidth="1"/>
    <col min="171" max="171" width="21.88671875" bestFit="1" customWidth="1"/>
    <col min="172" max="172" width="29.5546875" bestFit="1" customWidth="1"/>
    <col min="173" max="173" width="24.88671875" bestFit="1" customWidth="1"/>
    <col min="174" max="174" width="23.6640625" bestFit="1" customWidth="1"/>
    <col min="175" max="175" width="19.5546875" bestFit="1" customWidth="1"/>
    <col min="176" max="176" width="24.33203125" bestFit="1" customWidth="1"/>
    <col min="177" max="177" width="31.88671875" bestFit="1" customWidth="1"/>
    <col min="178" max="178" width="27.109375" bestFit="1" customWidth="1"/>
    <col min="179" max="179" width="26" bestFit="1" customWidth="1"/>
    <col min="180" max="180" width="17.33203125" bestFit="1" customWidth="1"/>
    <col min="181" max="181" width="22" bestFit="1" customWidth="1"/>
    <col min="182" max="182" width="29.6640625" bestFit="1" customWidth="1"/>
    <col min="183" max="183" width="25" bestFit="1" customWidth="1"/>
    <col min="184" max="184" width="23.88671875" bestFit="1" customWidth="1"/>
    <col min="185" max="185" width="15.109375" bestFit="1" customWidth="1"/>
    <col min="186" max="186" width="16.6640625" bestFit="1" customWidth="1"/>
    <col min="187" max="187" width="24.44140625" bestFit="1" customWidth="1"/>
    <col min="188" max="188" width="19.6640625" bestFit="1" customWidth="1"/>
    <col min="189" max="189" width="18.5546875" bestFit="1" customWidth="1"/>
    <col min="190" max="190" width="16.33203125" bestFit="1" customWidth="1"/>
    <col min="191" max="191" width="21" bestFit="1" customWidth="1"/>
    <col min="192" max="192" width="28.6640625" bestFit="1" customWidth="1"/>
    <col min="193" max="193" width="24" bestFit="1" customWidth="1"/>
    <col min="194" max="194" width="22.6640625" bestFit="1" customWidth="1"/>
    <col min="195" max="195" width="15.109375" bestFit="1" customWidth="1"/>
    <col min="196" max="196" width="18.5546875" bestFit="1" customWidth="1"/>
    <col min="197" max="197" width="26.109375" bestFit="1" customWidth="1"/>
    <col min="198" max="198" width="21.44140625" bestFit="1" customWidth="1"/>
    <col min="199" max="199" width="20.33203125" bestFit="1" customWidth="1"/>
    <col min="200" max="200" width="15.109375" bestFit="1" customWidth="1"/>
    <col min="201" max="201" width="15.6640625" bestFit="1" customWidth="1"/>
    <col min="202" max="202" width="17.44140625" bestFit="1" customWidth="1"/>
    <col min="203" max="203" width="15.109375" bestFit="1" customWidth="1"/>
    <col min="204" max="204" width="16" bestFit="1" customWidth="1"/>
    <col min="205" max="205" width="17.6640625" bestFit="1" customWidth="1"/>
    <col min="206" max="207" width="15.109375" bestFit="1" customWidth="1"/>
    <col min="208" max="208" width="22.5546875" bestFit="1" customWidth="1"/>
    <col min="209" max="209" width="17.88671875" bestFit="1" customWidth="1"/>
    <col min="210" max="210" width="16.6640625" bestFit="1" customWidth="1"/>
    <col min="211" max="212" width="15.109375" bestFit="1" customWidth="1"/>
    <col min="213" max="213" width="16.109375" bestFit="1" customWidth="1"/>
    <col min="214" max="215" width="15.109375" bestFit="1" customWidth="1"/>
    <col min="216" max="216" width="14.5546875" bestFit="1" customWidth="1"/>
    <col min="217" max="217" width="15.109375" bestFit="1" customWidth="1"/>
    <col min="218" max="218" width="19" bestFit="1" customWidth="1"/>
    <col min="219" max="219" width="20.6640625" bestFit="1" customWidth="1"/>
    <col min="220" max="220" width="15.109375" bestFit="1" customWidth="1"/>
    <col min="221" max="221" width="18" bestFit="1" customWidth="1"/>
    <col min="222" max="222" width="25.6640625" bestFit="1" customWidth="1"/>
    <col min="223" max="223" width="21" bestFit="1" customWidth="1"/>
    <col min="224" max="224" width="19.88671875" bestFit="1" customWidth="1"/>
    <col min="225" max="225" width="30" bestFit="1" customWidth="1"/>
    <col min="226" max="226" width="28.109375" bestFit="1" customWidth="1"/>
    <col min="227" max="227" width="22" bestFit="1" customWidth="1"/>
    <col min="228" max="228" width="11.88671875" bestFit="1" customWidth="1"/>
    <col min="229" max="229" width="12.44140625" bestFit="1" customWidth="1"/>
    <col min="230" max="230" width="13.109375" bestFit="1" customWidth="1"/>
    <col min="231" max="231" width="20.5546875" bestFit="1" customWidth="1"/>
    <col min="232" max="232" width="25.5546875" bestFit="1" customWidth="1"/>
    <col min="233" max="233" width="30.5546875" bestFit="1" customWidth="1"/>
    <col min="234" max="234" width="19.44140625" customWidth="1"/>
    <col min="235" max="236" width="15.109375" bestFit="1" customWidth="1"/>
    <col min="237" max="237" width="14.33203125" bestFit="1" customWidth="1"/>
    <col min="238" max="238" width="15.109375" bestFit="1" customWidth="1"/>
    <col min="239" max="239" width="16.5546875" bestFit="1" customWidth="1"/>
    <col min="240" max="240" width="24.33203125" bestFit="1" customWidth="1"/>
    <col min="241" max="241" width="19.5546875" bestFit="1" customWidth="1"/>
    <col min="242" max="242" width="18.44140625" bestFit="1" customWidth="1"/>
    <col min="243" max="243" width="15.109375" bestFit="1" customWidth="1"/>
    <col min="244" max="244" width="17.5546875" bestFit="1" customWidth="1"/>
    <col min="245" max="245" width="25.33203125" bestFit="1" customWidth="1"/>
    <col min="246" max="246" width="20.5546875" bestFit="1" customWidth="1"/>
    <col min="247" max="247" width="19.44140625" customWidth="1"/>
    <col min="248" max="249" width="15.109375" bestFit="1" customWidth="1"/>
    <col min="250" max="250" width="20" bestFit="1" customWidth="1"/>
    <col min="251" max="251" width="15.33203125" bestFit="1" customWidth="1"/>
    <col min="252" max="252" width="14.109375" bestFit="1" customWidth="1"/>
    <col min="253" max="254" width="15.109375" bestFit="1" customWidth="1"/>
    <col min="255" max="255" width="21.33203125" bestFit="1" customWidth="1"/>
    <col min="256" max="256" width="16.5546875" bestFit="1" customWidth="1"/>
    <col min="257" max="257" width="15.44140625" bestFit="1" customWidth="1"/>
    <col min="258" max="259" width="15.109375" bestFit="1" customWidth="1"/>
    <col min="260" max="260" width="19.5546875" bestFit="1" customWidth="1"/>
    <col min="261" max="261" width="15.109375" bestFit="1" customWidth="1"/>
    <col min="262" max="262" width="13.6640625" bestFit="1" customWidth="1"/>
    <col min="263" max="264" width="15.109375" bestFit="1" customWidth="1"/>
    <col min="265" max="265" width="14.44140625" bestFit="1" customWidth="1"/>
    <col min="266" max="266" width="17.109375" bestFit="1" customWidth="1"/>
    <col min="267" max="267" width="21.88671875" bestFit="1" customWidth="1"/>
    <col min="268" max="268" width="29.5546875" bestFit="1" customWidth="1"/>
    <col min="269" max="269" width="24.88671875" bestFit="1" customWidth="1"/>
    <col min="270" max="270" width="23.6640625" bestFit="1" customWidth="1"/>
    <col min="271" max="271" width="19.5546875" bestFit="1" customWidth="1"/>
    <col min="272" max="272" width="24.33203125" bestFit="1" customWidth="1"/>
    <col min="273" max="273" width="31.88671875" bestFit="1" customWidth="1"/>
    <col min="274" max="274" width="27.109375" bestFit="1" customWidth="1"/>
    <col min="275" max="275" width="26" bestFit="1" customWidth="1"/>
    <col min="276" max="276" width="17.33203125" bestFit="1" customWidth="1"/>
    <col min="277" max="277" width="22" bestFit="1" customWidth="1"/>
    <col min="278" max="278" width="29.6640625" bestFit="1" customWidth="1"/>
    <col min="279" max="279" width="25" bestFit="1" customWidth="1"/>
    <col min="280" max="280" width="23.88671875" bestFit="1" customWidth="1"/>
    <col min="281" max="281" width="15.109375" bestFit="1" customWidth="1"/>
    <col min="282" max="282" width="16.6640625" bestFit="1" customWidth="1"/>
    <col min="283" max="283" width="24.44140625" bestFit="1" customWidth="1"/>
    <col min="284" max="284" width="19.6640625" bestFit="1" customWidth="1"/>
    <col min="285" max="285" width="18.5546875" bestFit="1" customWidth="1"/>
    <col min="286" max="286" width="16.33203125" bestFit="1" customWidth="1"/>
    <col min="287" max="287" width="21" bestFit="1" customWidth="1"/>
    <col min="288" max="288" width="28.6640625" bestFit="1" customWidth="1"/>
    <col min="289" max="289" width="24" bestFit="1" customWidth="1"/>
    <col min="290" max="290" width="22.6640625" bestFit="1" customWidth="1"/>
    <col min="291" max="291" width="15.109375" bestFit="1" customWidth="1"/>
    <col min="292" max="292" width="18.5546875" bestFit="1" customWidth="1"/>
    <col min="293" max="293" width="26.109375" bestFit="1" customWidth="1"/>
    <col min="294" max="294" width="21.44140625" bestFit="1" customWidth="1"/>
    <col min="295" max="295" width="20.33203125" bestFit="1" customWidth="1"/>
    <col min="296" max="296" width="15.109375" bestFit="1" customWidth="1"/>
    <col min="297" max="297" width="15.6640625" bestFit="1" customWidth="1"/>
    <col min="298" max="298" width="17.44140625" bestFit="1" customWidth="1"/>
    <col min="299" max="299" width="15.109375" bestFit="1" customWidth="1"/>
    <col min="300" max="300" width="16" bestFit="1" customWidth="1"/>
    <col min="301" max="301" width="17.6640625" bestFit="1" customWidth="1"/>
    <col min="302" max="303" width="15.109375" bestFit="1" customWidth="1"/>
    <col min="304" max="304" width="22.5546875" bestFit="1" customWidth="1"/>
    <col min="305" max="305" width="17.88671875" bestFit="1" customWidth="1"/>
    <col min="306" max="306" width="16.6640625" bestFit="1" customWidth="1"/>
    <col min="307" max="308" width="15.109375" bestFit="1" customWidth="1"/>
    <col min="309" max="309" width="16.109375" bestFit="1" customWidth="1"/>
    <col min="310" max="311" width="15.109375" bestFit="1" customWidth="1"/>
    <col min="312" max="312" width="14.5546875" bestFit="1" customWidth="1"/>
    <col min="313" max="313" width="15.109375" bestFit="1" customWidth="1"/>
    <col min="314" max="314" width="19" bestFit="1" customWidth="1"/>
    <col min="315" max="315" width="20.6640625" bestFit="1" customWidth="1"/>
    <col min="316" max="316" width="15.109375" bestFit="1" customWidth="1"/>
    <col min="317" max="317" width="18" bestFit="1" customWidth="1"/>
    <col min="318" max="318" width="25.6640625" bestFit="1" customWidth="1"/>
    <col min="319" max="319" width="21" bestFit="1" customWidth="1"/>
    <col min="320" max="320" width="19.88671875" bestFit="1" customWidth="1"/>
    <col min="321" max="321" width="30" bestFit="1" customWidth="1"/>
    <col min="322" max="322" width="28.109375" bestFit="1" customWidth="1"/>
    <col min="323" max="323" width="22" bestFit="1" customWidth="1"/>
    <col min="324" max="324" width="11.88671875" bestFit="1" customWidth="1"/>
    <col min="325" max="325" width="12.44140625" bestFit="1" customWidth="1"/>
    <col min="326" max="326" width="13.109375" bestFit="1" customWidth="1"/>
    <col min="327" max="327" width="20.5546875" bestFit="1" customWidth="1"/>
    <col min="328" max="328" width="25.5546875" bestFit="1" customWidth="1"/>
    <col min="329" max="329" width="30.5546875" bestFit="1" customWidth="1"/>
    <col min="330" max="330" width="19.44140625" customWidth="1"/>
    <col min="331" max="332" width="15.109375" bestFit="1" customWidth="1"/>
    <col min="333" max="333" width="15.5546875" bestFit="1" customWidth="1"/>
    <col min="334" max="334" width="15.109375" bestFit="1" customWidth="1"/>
    <col min="335" max="335" width="16.5546875" bestFit="1" customWidth="1"/>
    <col min="336" max="336" width="24.33203125" bestFit="1" customWidth="1"/>
    <col min="337" max="337" width="19.5546875" bestFit="1" customWidth="1"/>
    <col min="338" max="338" width="18.44140625" bestFit="1" customWidth="1"/>
    <col min="339" max="339" width="15.109375" bestFit="1" customWidth="1"/>
    <col min="340" max="340" width="17.5546875" bestFit="1" customWidth="1"/>
    <col min="341" max="341" width="25.33203125" bestFit="1" customWidth="1"/>
    <col min="342" max="342" width="20.5546875" bestFit="1" customWidth="1"/>
    <col min="343" max="343" width="19.44140625" customWidth="1"/>
    <col min="344" max="345" width="15.109375" bestFit="1" customWidth="1"/>
    <col min="346" max="346" width="20" bestFit="1" customWidth="1"/>
    <col min="347" max="347" width="15.33203125" bestFit="1" customWidth="1"/>
    <col min="348" max="348" width="14.109375" bestFit="1" customWidth="1"/>
    <col min="349" max="350" width="15.109375" bestFit="1" customWidth="1"/>
    <col min="351" max="351" width="21.33203125" bestFit="1" customWidth="1"/>
    <col min="352" max="352" width="16.5546875" bestFit="1" customWidth="1"/>
    <col min="353" max="353" width="15.44140625" bestFit="1" customWidth="1"/>
    <col min="354" max="354" width="16.6640625" bestFit="1" customWidth="1"/>
    <col min="355" max="355" width="21.44140625" bestFit="1" customWidth="1"/>
    <col min="356" max="356" width="23.109375" bestFit="1" customWidth="1"/>
    <col min="357" max="358" width="15.109375" bestFit="1" customWidth="1"/>
    <col min="359" max="359" width="19.5546875" bestFit="1" customWidth="1"/>
    <col min="360" max="360" width="15.109375" bestFit="1" customWidth="1"/>
    <col min="361" max="361" width="13.6640625" bestFit="1" customWidth="1"/>
    <col min="362" max="363" width="15.109375" bestFit="1" customWidth="1"/>
    <col min="364" max="364" width="14.44140625" bestFit="1" customWidth="1"/>
    <col min="365" max="366" width="15.109375" bestFit="1" customWidth="1"/>
    <col min="367" max="367" width="15" bestFit="1" customWidth="1"/>
    <col min="368" max="368" width="17.109375" bestFit="1" customWidth="1"/>
    <col min="369" max="369" width="21.88671875" bestFit="1" customWidth="1"/>
    <col min="370" max="370" width="29.5546875" bestFit="1" customWidth="1"/>
    <col min="371" max="371" width="24.88671875" bestFit="1" customWidth="1"/>
    <col min="372" max="372" width="23.6640625" bestFit="1" customWidth="1"/>
    <col min="373" max="373" width="19.5546875" bestFit="1" customWidth="1"/>
    <col min="374" max="374" width="24.33203125" bestFit="1" customWidth="1"/>
    <col min="375" max="375" width="31.88671875" bestFit="1" customWidth="1"/>
    <col min="376" max="376" width="27.109375" bestFit="1" customWidth="1"/>
    <col min="377" max="377" width="26" bestFit="1" customWidth="1"/>
    <col min="378" max="378" width="17.33203125" bestFit="1" customWidth="1"/>
    <col min="379" max="379" width="22" bestFit="1" customWidth="1"/>
    <col min="380" max="380" width="29.6640625" bestFit="1" customWidth="1"/>
    <col min="381" max="381" width="25" bestFit="1" customWidth="1"/>
    <col min="382" max="382" width="23.88671875" bestFit="1" customWidth="1"/>
    <col min="383" max="383" width="15.109375" bestFit="1" customWidth="1"/>
    <col min="384" max="384" width="16.6640625" bestFit="1" customWidth="1"/>
    <col min="385" max="385" width="24.44140625" bestFit="1" customWidth="1"/>
    <col min="386" max="386" width="19.6640625" bestFit="1" customWidth="1"/>
    <col min="387" max="387" width="18.5546875" bestFit="1" customWidth="1"/>
    <col min="388" max="388" width="16.33203125" bestFit="1" customWidth="1"/>
    <col min="389" max="389" width="21" bestFit="1" customWidth="1"/>
    <col min="390" max="390" width="28.6640625" bestFit="1" customWidth="1"/>
    <col min="391" max="391" width="24" bestFit="1" customWidth="1"/>
    <col min="392" max="392" width="22.6640625" bestFit="1" customWidth="1"/>
    <col min="393" max="394" width="15.109375" bestFit="1" customWidth="1"/>
    <col min="395" max="395" width="15.44140625" bestFit="1" customWidth="1"/>
    <col min="396" max="396" width="15.109375" bestFit="1" customWidth="1"/>
    <col min="397" max="397" width="18.5546875" bestFit="1" customWidth="1"/>
    <col min="398" max="398" width="26.109375" bestFit="1" customWidth="1"/>
    <col min="399" max="399" width="21.44140625" bestFit="1" customWidth="1"/>
    <col min="400" max="400" width="20.33203125" bestFit="1" customWidth="1"/>
    <col min="401" max="401" width="15.109375" bestFit="1" customWidth="1"/>
    <col min="402" max="402" width="15.6640625" bestFit="1" customWidth="1"/>
    <col min="403" max="403" width="17.44140625" bestFit="1" customWidth="1"/>
    <col min="404" max="404" width="15.109375" bestFit="1" customWidth="1"/>
    <col min="405" max="405" width="17" bestFit="1" customWidth="1"/>
    <col min="406" max="406" width="18.88671875" bestFit="1" customWidth="1"/>
    <col min="407" max="407" width="15.109375" bestFit="1" customWidth="1"/>
    <col min="408" max="408" width="16" bestFit="1" customWidth="1"/>
    <col min="409" max="409" width="17.6640625" bestFit="1" customWidth="1"/>
    <col min="410" max="411" width="15.109375" bestFit="1" customWidth="1"/>
    <col min="412" max="412" width="22.5546875" bestFit="1" customWidth="1"/>
    <col min="413" max="413" width="17.88671875" bestFit="1" customWidth="1"/>
    <col min="414" max="414" width="16.6640625" bestFit="1" customWidth="1"/>
    <col min="415" max="415" width="15.109375" bestFit="1" customWidth="1"/>
    <col min="416" max="416" width="18" bestFit="1" customWidth="1"/>
    <col min="417" max="417" width="25.6640625" bestFit="1" customWidth="1"/>
    <col min="418" max="418" width="21" bestFit="1" customWidth="1"/>
    <col min="419" max="419" width="19.88671875" bestFit="1" customWidth="1"/>
    <col min="420" max="420" width="33" bestFit="1" customWidth="1"/>
    <col min="421" max="421" width="28.109375" bestFit="1" customWidth="1"/>
    <col min="422" max="422" width="22" bestFit="1" customWidth="1"/>
    <col min="423" max="423" width="11.88671875" bestFit="1" customWidth="1"/>
    <col min="424" max="424" width="12.44140625" bestFit="1" customWidth="1"/>
    <col min="425" max="425" width="13.109375" bestFit="1" customWidth="1"/>
    <col min="426" max="426" width="20.5546875" bestFit="1" customWidth="1"/>
    <col min="427" max="427" width="8.6640625" bestFit="1" customWidth="1"/>
    <col min="428" max="428" width="11.109375" bestFit="1" customWidth="1"/>
    <col min="429" max="429" width="19.44140625" customWidth="1"/>
    <col min="430" max="431" width="15.109375" bestFit="1" customWidth="1"/>
    <col min="432" max="432" width="14.33203125" bestFit="1" customWidth="1"/>
    <col min="433" max="433" width="15.109375" bestFit="1" customWidth="1"/>
    <col min="434" max="434" width="16.5546875" bestFit="1" customWidth="1"/>
    <col min="435" max="435" width="24.33203125" bestFit="1" customWidth="1"/>
    <col min="436" max="436" width="19.5546875" bestFit="1" customWidth="1"/>
    <col min="437" max="437" width="18.44140625" bestFit="1" customWidth="1"/>
    <col min="438" max="438" width="15.109375" bestFit="1" customWidth="1"/>
    <col min="439" max="439" width="17.5546875" bestFit="1" customWidth="1"/>
    <col min="440" max="440" width="25.33203125" bestFit="1" customWidth="1"/>
    <col min="441" max="441" width="20.5546875" bestFit="1" customWidth="1"/>
    <col min="442" max="442" width="19.44140625" bestFit="1" customWidth="1"/>
    <col min="443" max="444" width="15.109375" bestFit="1" customWidth="1"/>
    <col min="445" max="445" width="20" bestFit="1" customWidth="1"/>
    <col min="446" max="446" width="15.33203125" bestFit="1" customWidth="1"/>
    <col min="447" max="447" width="14.109375" bestFit="1" customWidth="1"/>
    <col min="448" max="449" width="15.109375" bestFit="1" customWidth="1"/>
    <col min="450" max="450" width="21.33203125" bestFit="1" customWidth="1"/>
    <col min="451" max="451" width="16.5546875" bestFit="1" customWidth="1"/>
    <col min="452" max="452" width="15.44140625" bestFit="1" customWidth="1"/>
    <col min="453" max="454" width="15.109375" bestFit="1" customWidth="1"/>
    <col min="455" max="455" width="19.5546875" bestFit="1" customWidth="1"/>
    <col min="456" max="456" width="15.109375" bestFit="1" customWidth="1"/>
    <col min="457" max="457" width="13.6640625" bestFit="1" customWidth="1"/>
    <col min="458" max="459" width="15.109375" bestFit="1" customWidth="1"/>
    <col min="460" max="460" width="14.44140625" bestFit="1" customWidth="1"/>
    <col min="461" max="461" width="17.109375" bestFit="1" customWidth="1"/>
    <col min="462" max="462" width="21.88671875" bestFit="1" customWidth="1"/>
    <col min="463" max="463" width="29.5546875" bestFit="1" customWidth="1"/>
    <col min="464" max="464" width="24.88671875" bestFit="1" customWidth="1"/>
    <col min="465" max="465" width="23.6640625" bestFit="1" customWidth="1"/>
    <col min="466" max="466" width="19.5546875" bestFit="1" customWidth="1"/>
    <col min="467" max="467" width="24.33203125" bestFit="1" customWidth="1"/>
    <col min="468" max="468" width="31.88671875" bestFit="1" customWidth="1"/>
    <col min="469" max="469" width="27.109375" bestFit="1" customWidth="1"/>
    <col min="470" max="470" width="26" bestFit="1" customWidth="1"/>
    <col min="471" max="471" width="17.33203125" bestFit="1" customWidth="1"/>
    <col min="472" max="472" width="22" bestFit="1" customWidth="1"/>
    <col min="473" max="473" width="29.6640625" bestFit="1" customWidth="1"/>
    <col min="474" max="474" width="25" bestFit="1" customWidth="1"/>
    <col min="475" max="475" width="23.88671875" bestFit="1" customWidth="1"/>
    <col min="476" max="476" width="15.109375" bestFit="1" customWidth="1"/>
    <col min="477" max="477" width="16.6640625" bestFit="1" customWidth="1"/>
    <col min="478" max="478" width="24.44140625" bestFit="1" customWidth="1"/>
    <col min="479" max="479" width="19.6640625" bestFit="1" customWidth="1"/>
    <col min="480" max="480" width="18.5546875" bestFit="1" customWidth="1"/>
    <col min="481" max="481" width="16.33203125" bestFit="1" customWidth="1"/>
    <col min="482" max="482" width="21" bestFit="1" customWidth="1"/>
    <col min="483" max="483" width="28.6640625" bestFit="1" customWidth="1"/>
    <col min="484" max="484" width="24" bestFit="1" customWidth="1"/>
    <col min="485" max="485" width="22.6640625" bestFit="1" customWidth="1"/>
    <col min="486" max="486" width="15.109375" bestFit="1" customWidth="1"/>
    <col min="487" max="487" width="18.5546875" bestFit="1" customWidth="1"/>
    <col min="488" max="488" width="26.109375" bestFit="1" customWidth="1"/>
    <col min="489" max="489" width="21.44140625" bestFit="1" customWidth="1"/>
    <col min="490" max="490" width="20.33203125" bestFit="1" customWidth="1"/>
    <col min="491" max="491" width="15.109375" bestFit="1" customWidth="1"/>
    <col min="492" max="492" width="15.6640625" bestFit="1" customWidth="1"/>
    <col min="493" max="493" width="17.44140625" bestFit="1" customWidth="1"/>
    <col min="494" max="494" width="15.109375" bestFit="1" customWidth="1"/>
    <col min="495" max="495" width="16" bestFit="1" customWidth="1"/>
    <col min="496" max="496" width="17.6640625" bestFit="1" customWidth="1"/>
    <col min="497" max="498" width="15.109375" bestFit="1" customWidth="1"/>
    <col min="499" max="499" width="22.5546875" bestFit="1" customWidth="1"/>
    <col min="500" max="500" width="17.88671875" bestFit="1" customWidth="1"/>
    <col min="501" max="501" width="16.6640625" bestFit="1" customWidth="1"/>
    <col min="502" max="503" width="15.109375" bestFit="1" customWidth="1"/>
    <col min="504" max="504" width="16.109375" bestFit="1" customWidth="1"/>
    <col min="505" max="506" width="15.109375" bestFit="1" customWidth="1"/>
    <col min="507" max="507" width="14.5546875" bestFit="1" customWidth="1"/>
    <col min="508" max="508" width="15.109375" bestFit="1" customWidth="1"/>
    <col min="509" max="509" width="19" bestFit="1" customWidth="1"/>
    <col min="510" max="510" width="20.6640625" bestFit="1" customWidth="1"/>
    <col min="511" max="511" width="15.109375" bestFit="1" customWidth="1"/>
    <col min="512" max="512" width="18" bestFit="1" customWidth="1"/>
    <col min="513" max="513" width="25.6640625" bestFit="1" customWidth="1"/>
    <col min="514" max="514" width="21" bestFit="1" customWidth="1"/>
    <col min="515" max="515" width="19.88671875" bestFit="1" customWidth="1"/>
    <col min="516" max="516" width="30" bestFit="1" customWidth="1"/>
    <col min="517" max="517" width="28.109375" bestFit="1" customWidth="1"/>
    <col min="518" max="518" width="22" bestFit="1" customWidth="1"/>
    <col min="519" max="519" width="11.88671875" bestFit="1" customWidth="1"/>
    <col min="520" max="520" width="12.44140625" bestFit="1" customWidth="1"/>
    <col min="521" max="521" width="13.109375" bestFit="1" customWidth="1"/>
    <col min="522" max="522" width="20.5546875" bestFit="1" customWidth="1"/>
    <col min="523" max="523" width="25.5546875" bestFit="1" customWidth="1"/>
    <col min="524" max="524" width="30.5546875" bestFit="1" customWidth="1"/>
    <col min="525" max="525" width="19.44140625" bestFit="1" customWidth="1"/>
    <col min="526" max="526" width="15.109375" bestFit="1" customWidth="1"/>
    <col min="527" max="527" width="18" bestFit="1" customWidth="1"/>
    <col min="528" max="528" width="25.6640625" bestFit="1" customWidth="1"/>
    <col min="529" max="529" width="21" bestFit="1" customWidth="1"/>
    <col min="530" max="530" width="19.88671875" bestFit="1" customWidth="1"/>
    <col min="531" max="531" width="33" bestFit="1" customWidth="1"/>
    <col min="532" max="532" width="28.109375" bestFit="1" customWidth="1"/>
    <col min="533" max="533" width="22" bestFit="1" customWidth="1"/>
    <col min="534" max="534" width="11.88671875" bestFit="1" customWidth="1"/>
    <col min="535" max="535" width="12.44140625" bestFit="1" customWidth="1"/>
    <col min="536" max="536" width="13.109375" bestFit="1" customWidth="1"/>
    <col min="537" max="537" width="20.5546875" bestFit="1" customWidth="1"/>
    <col min="538" max="538" width="8.6640625" bestFit="1" customWidth="1"/>
    <col min="539" max="539" width="11.109375" bestFit="1" customWidth="1"/>
    <col min="540" max="540" width="19.44140625" bestFit="1" customWidth="1"/>
  </cols>
  <sheetData>
    <row r="1" spans="1:123" x14ac:dyDescent="0.3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103</v>
      </c>
      <c r="J1" t="s">
        <v>156</v>
      </c>
      <c r="K1" t="s">
        <v>157</v>
      </c>
      <c r="L1" t="s">
        <v>158</v>
      </c>
      <c r="M1" t="s">
        <v>159</v>
      </c>
      <c r="N1" t="s">
        <v>108</v>
      </c>
      <c r="O1" t="s">
        <v>160</v>
      </c>
      <c r="P1" t="s">
        <v>161</v>
      </c>
      <c r="Q1" t="s">
        <v>162</v>
      </c>
      <c r="R1" t="s">
        <v>163</v>
      </c>
      <c r="S1" t="s">
        <v>155</v>
      </c>
      <c r="T1" t="s">
        <v>226</v>
      </c>
      <c r="U1" t="s">
        <v>227</v>
      </c>
      <c r="V1" t="s">
        <v>105</v>
      </c>
      <c r="W1" t="s">
        <v>164</v>
      </c>
      <c r="X1" t="s">
        <v>165</v>
      </c>
      <c r="Y1" t="s">
        <v>166</v>
      </c>
      <c r="Z1" t="s">
        <v>167</v>
      </c>
      <c r="AA1" t="s">
        <v>89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  <c r="AI1" t="s">
        <v>175</v>
      </c>
      <c r="AJ1" t="s">
        <v>176</v>
      </c>
      <c r="AK1" t="s">
        <v>111</v>
      </c>
      <c r="AL1" t="s">
        <v>177</v>
      </c>
      <c r="AM1" t="s">
        <v>178</v>
      </c>
      <c r="AN1" t="s">
        <v>179</v>
      </c>
      <c r="AO1" t="s">
        <v>180</v>
      </c>
      <c r="AP1" t="s">
        <v>102</v>
      </c>
      <c r="AQ1" t="s">
        <v>181</v>
      </c>
      <c r="AR1" t="s">
        <v>182</v>
      </c>
      <c r="AS1" t="s">
        <v>183</v>
      </c>
      <c r="AT1" t="s">
        <v>184</v>
      </c>
      <c r="AU1" t="s">
        <v>84</v>
      </c>
      <c r="AV1" t="s">
        <v>185</v>
      </c>
      <c r="AW1" t="s">
        <v>186</v>
      </c>
      <c r="AX1" t="s">
        <v>114</v>
      </c>
      <c r="AY1" t="s">
        <v>187</v>
      </c>
      <c r="AZ1" t="s">
        <v>188</v>
      </c>
      <c r="BA1" t="s">
        <v>189</v>
      </c>
      <c r="BB1" t="s">
        <v>190</v>
      </c>
      <c r="BC1" t="s">
        <v>113</v>
      </c>
      <c r="BD1" t="s">
        <v>191</v>
      </c>
      <c r="BE1" t="s">
        <v>192</v>
      </c>
      <c r="BF1" t="s">
        <v>193</v>
      </c>
      <c r="BG1" t="s">
        <v>194</v>
      </c>
      <c r="BH1" t="s">
        <v>107</v>
      </c>
      <c r="BI1" t="s">
        <v>195</v>
      </c>
      <c r="BJ1" t="s">
        <v>196</v>
      </c>
      <c r="BK1" t="s">
        <v>197</v>
      </c>
      <c r="BL1" t="s">
        <v>198</v>
      </c>
      <c r="BM1" t="s">
        <v>109</v>
      </c>
      <c r="BN1" t="s">
        <v>199</v>
      </c>
      <c r="BO1" t="s">
        <v>200</v>
      </c>
      <c r="BP1" t="s">
        <v>201</v>
      </c>
      <c r="BQ1" t="s">
        <v>202</v>
      </c>
      <c r="BR1" t="s">
        <v>112</v>
      </c>
      <c r="BS1" t="s">
        <v>203</v>
      </c>
      <c r="BT1" t="s">
        <v>204</v>
      </c>
      <c r="BU1" t="s">
        <v>205</v>
      </c>
      <c r="BV1" t="s">
        <v>206</v>
      </c>
      <c r="BW1" t="s">
        <v>106</v>
      </c>
      <c r="BX1" t="s">
        <v>207</v>
      </c>
      <c r="BY1" t="s">
        <v>208</v>
      </c>
      <c r="BZ1" t="s">
        <v>209</v>
      </c>
      <c r="CA1" t="s">
        <v>210</v>
      </c>
      <c r="CB1" t="s">
        <v>150</v>
      </c>
      <c r="CC1" t="s">
        <v>211</v>
      </c>
      <c r="CD1" t="s">
        <v>212</v>
      </c>
      <c r="CE1" t="s">
        <v>90</v>
      </c>
      <c r="CF1" t="s">
        <v>213</v>
      </c>
      <c r="CG1" t="s">
        <v>214</v>
      </c>
      <c r="CH1" t="s">
        <v>104</v>
      </c>
      <c r="CI1" t="s">
        <v>215</v>
      </c>
      <c r="CJ1" t="s">
        <v>216</v>
      </c>
      <c r="CK1" t="s">
        <v>217</v>
      </c>
      <c r="CL1" t="s">
        <v>218</v>
      </c>
      <c r="CM1" t="s">
        <v>228</v>
      </c>
      <c r="CN1" t="s">
        <v>229</v>
      </c>
      <c r="CO1" t="s">
        <v>230</v>
      </c>
      <c r="CP1" t="s">
        <v>271</v>
      </c>
      <c r="CQ1" t="s">
        <v>272</v>
      </c>
      <c r="CR1" t="s">
        <v>273</v>
      </c>
      <c r="CS1" t="s">
        <v>154</v>
      </c>
      <c r="CT1" t="s">
        <v>231</v>
      </c>
      <c r="CU1" t="s">
        <v>232</v>
      </c>
      <c r="CV1" t="s">
        <v>233</v>
      </c>
      <c r="CW1" t="s">
        <v>234</v>
      </c>
      <c r="CX1" t="s">
        <v>235</v>
      </c>
      <c r="CY1" t="s">
        <v>244</v>
      </c>
      <c r="CZ1" t="s">
        <v>274</v>
      </c>
      <c r="DA1" t="s">
        <v>275</v>
      </c>
      <c r="DB1" t="s">
        <v>245</v>
      </c>
      <c r="DC1" t="s">
        <v>276</v>
      </c>
      <c r="DD1" t="s">
        <v>277</v>
      </c>
      <c r="DE1" t="s">
        <v>110</v>
      </c>
      <c r="DF1" t="s">
        <v>219</v>
      </c>
      <c r="DG1" t="s">
        <v>220</v>
      </c>
      <c r="DH1" t="s">
        <v>221</v>
      </c>
      <c r="DI1" t="s">
        <v>222</v>
      </c>
      <c r="DJ1" t="s">
        <v>115</v>
      </c>
      <c r="DK1" t="s">
        <v>116</v>
      </c>
      <c r="DL1" t="s">
        <v>117</v>
      </c>
      <c r="DM1" t="s">
        <v>118</v>
      </c>
      <c r="DN1" t="s">
        <v>91</v>
      </c>
      <c r="DO1" t="s">
        <v>119</v>
      </c>
      <c r="DP1" t="s">
        <v>120</v>
      </c>
      <c r="DQ1" t="s">
        <v>0</v>
      </c>
      <c r="DR1" t="s">
        <v>93</v>
      </c>
      <c r="DS1" t="s">
        <v>121</v>
      </c>
    </row>
    <row r="2" spans="1:123" x14ac:dyDescent="0.3">
      <c r="A2" t="s">
        <v>986</v>
      </c>
      <c r="D2" t="s">
        <v>223</v>
      </c>
      <c r="E2" s="24">
        <v>46155.649444444447</v>
      </c>
      <c r="G2" t="s">
        <v>89</v>
      </c>
      <c r="H2" t="s">
        <v>89</v>
      </c>
      <c r="I2" s="24"/>
      <c r="J2" s="24"/>
      <c r="K2" s="24"/>
      <c r="L2" s="24"/>
      <c r="N2" s="24"/>
      <c r="O2" s="24"/>
      <c r="P2" s="24"/>
      <c r="Q2" s="24"/>
      <c r="V2" s="24"/>
      <c r="W2" s="24"/>
      <c r="X2" s="24"/>
      <c r="Y2" s="24"/>
      <c r="AA2" s="24">
        <v>46155.66089269676</v>
      </c>
      <c r="AB2" s="24">
        <v>46155.66089269676</v>
      </c>
      <c r="AC2" s="24"/>
      <c r="AD2" s="24"/>
      <c r="AE2">
        <v>1</v>
      </c>
      <c r="AF2" s="24"/>
      <c r="AG2" s="24"/>
      <c r="AH2" s="24"/>
      <c r="AI2" s="24"/>
      <c r="AK2" s="24"/>
      <c r="AL2" s="24"/>
      <c r="AM2" s="24"/>
      <c r="AN2" s="24"/>
      <c r="AP2" s="24"/>
      <c r="AQ2" s="24"/>
      <c r="AR2" s="24">
        <v>46155.659873807868</v>
      </c>
      <c r="AS2" s="24">
        <v>46155.659873807868</v>
      </c>
      <c r="AX2" s="24"/>
      <c r="AY2" s="24"/>
      <c r="AZ2" s="24"/>
      <c r="BA2" s="24"/>
      <c r="BC2" s="24"/>
      <c r="BD2" s="24"/>
      <c r="BE2" s="24"/>
      <c r="BF2" s="24"/>
      <c r="BH2" s="24">
        <v>46155.659873807868</v>
      </c>
      <c r="BI2" s="24">
        <v>46155.659873807868</v>
      </c>
      <c r="BJ2" s="24">
        <v>46155.66089269676</v>
      </c>
      <c r="BK2" s="24">
        <v>46155.66089269676</v>
      </c>
      <c r="BL2">
        <v>1</v>
      </c>
      <c r="BM2" s="24"/>
      <c r="BN2" s="24"/>
      <c r="BO2" s="24"/>
      <c r="BP2" s="24"/>
      <c r="BR2" s="24"/>
      <c r="BS2" s="24"/>
      <c r="BT2" s="24"/>
      <c r="BU2" s="24"/>
      <c r="BW2" s="24"/>
      <c r="BX2" s="24"/>
      <c r="BY2" s="24"/>
      <c r="BZ2" s="24"/>
      <c r="CB2" s="24"/>
      <c r="CC2" s="24"/>
      <c r="CE2" s="24"/>
      <c r="CF2" s="24"/>
      <c r="CH2" s="24"/>
      <c r="CI2" s="24"/>
      <c r="CJ2" s="24"/>
      <c r="CK2" s="24"/>
      <c r="DE2" s="24"/>
      <c r="DF2" s="24"/>
      <c r="DG2" s="24"/>
      <c r="DH2" s="24"/>
      <c r="DJ2" t="s">
        <v>149</v>
      </c>
      <c r="DK2" t="s">
        <v>149</v>
      </c>
      <c r="DO2">
        <v>5</v>
      </c>
      <c r="DP2">
        <v>5</v>
      </c>
      <c r="DQ2" t="s">
        <v>1000</v>
      </c>
      <c r="DR2" t="s">
        <v>149</v>
      </c>
      <c r="DS2" s="24">
        <v>46160.384426226854</v>
      </c>
    </row>
    <row r="3" spans="1:123" x14ac:dyDescent="0.3">
      <c r="A3" t="s">
        <v>987</v>
      </c>
      <c r="D3" t="s">
        <v>223</v>
      </c>
      <c r="E3" s="24">
        <v>46155.649236111109</v>
      </c>
      <c r="G3" t="s">
        <v>89</v>
      </c>
      <c r="H3" t="s">
        <v>89</v>
      </c>
      <c r="I3" s="24"/>
      <c r="J3" s="24"/>
      <c r="K3" s="24"/>
      <c r="L3" s="24"/>
      <c r="N3" s="24"/>
      <c r="O3" s="24"/>
      <c r="P3" s="24"/>
      <c r="Q3" s="24"/>
      <c r="V3" s="24"/>
      <c r="W3" s="24"/>
      <c r="X3" s="24"/>
      <c r="Y3" s="24"/>
      <c r="AA3" s="24">
        <v>46155.654379270833</v>
      </c>
      <c r="AB3" s="24">
        <v>46155.654379270833</v>
      </c>
      <c r="AC3" s="24"/>
      <c r="AD3" s="24"/>
      <c r="AE3">
        <v>1</v>
      </c>
      <c r="AF3" s="24"/>
      <c r="AG3" s="24"/>
      <c r="AH3" s="24"/>
      <c r="AI3" s="24"/>
      <c r="AK3" s="24"/>
      <c r="AL3" s="24"/>
      <c r="AM3" s="24"/>
      <c r="AN3" s="24"/>
      <c r="AP3" s="24"/>
      <c r="AQ3" s="24"/>
      <c r="AR3" s="24">
        <v>46155.654093738427</v>
      </c>
      <c r="AS3" s="24">
        <v>46155.654093738427</v>
      </c>
      <c r="AX3" s="24"/>
      <c r="AY3" s="24"/>
      <c r="AZ3" s="24"/>
      <c r="BA3" s="24"/>
      <c r="BC3" s="24"/>
      <c r="BD3" s="24"/>
      <c r="BE3" s="24"/>
      <c r="BF3" s="24"/>
      <c r="BH3" s="24">
        <v>46155.654093738427</v>
      </c>
      <c r="BI3" s="24">
        <v>46155.654093738427</v>
      </c>
      <c r="BJ3" s="24">
        <v>46155.654379270833</v>
      </c>
      <c r="BK3" s="24">
        <v>46155.654379270833</v>
      </c>
      <c r="BL3">
        <v>1</v>
      </c>
      <c r="BM3" s="24"/>
      <c r="BN3" s="24"/>
      <c r="BO3" s="24"/>
      <c r="BP3" s="24"/>
      <c r="BR3" s="24"/>
      <c r="BS3" s="24"/>
      <c r="BT3" s="24"/>
      <c r="BU3" s="24"/>
      <c r="BW3" s="24"/>
      <c r="BX3" s="24"/>
      <c r="BY3" s="24"/>
      <c r="BZ3" s="24"/>
      <c r="CB3" s="24"/>
      <c r="CC3" s="24"/>
      <c r="CE3" s="24"/>
      <c r="CF3" s="24"/>
      <c r="CH3" s="24"/>
      <c r="CI3" s="24"/>
      <c r="CJ3" s="24"/>
      <c r="CK3" s="24"/>
      <c r="DE3" s="24"/>
      <c r="DF3" s="24"/>
      <c r="DG3" s="24"/>
      <c r="DH3" s="24"/>
      <c r="DJ3" t="s">
        <v>149</v>
      </c>
      <c r="DK3" t="s">
        <v>149</v>
      </c>
      <c r="DO3">
        <v>5</v>
      </c>
      <c r="DP3">
        <v>5</v>
      </c>
      <c r="DQ3" t="s">
        <v>1000</v>
      </c>
      <c r="DR3" t="s">
        <v>149</v>
      </c>
      <c r="DS3" s="24">
        <v>46160.384426226854</v>
      </c>
    </row>
    <row r="4" spans="1:123" x14ac:dyDescent="0.3">
      <c r="A4" t="s">
        <v>988</v>
      </c>
      <c r="D4" t="s">
        <v>223</v>
      </c>
      <c r="E4" s="24">
        <v>46154.554062499999</v>
      </c>
      <c r="G4" t="s">
        <v>107</v>
      </c>
      <c r="H4" t="s">
        <v>154</v>
      </c>
      <c r="I4" s="24"/>
      <c r="J4" s="24"/>
      <c r="K4" s="24"/>
      <c r="L4" s="24"/>
      <c r="N4" s="24"/>
      <c r="O4" s="24"/>
      <c r="P4" s="24"/>
      <c r="Q4" s="24"/>
      <c r="V4" s="24"/>
      <c r="W4" s="24"/>
      <c r="X4" s="24"/>
      <c r="Y4" s="24"/>
      <c r="AA4" s="24"/>
      <c r="AB4" s="24"/>
      <c r="AC4" s="24"/>
      <c r="AD4" s="24"/>
      <c r="AF4" s="24"/>
      <c r="AG4" s="24"/>
      <c r="AH4" s="24"/>
      <c r="AI4" s="24"/>
      <c r="AK4" s="24"/>
      <c r="AL4" s="24"/>
      <c r="AM4" s="24"/>
      <c r="AN4" s="24"/>
      <c r="AP4" s="24"/>
      <c r="AQ4" s="24"/>
      <c r="AR4" s="24">
        <v>46154.586254004629</v>
      </c>
      <c r="AS4" s="24">
        <v>46154.586254004629</v>
      </c>
      <c r="AX4" s="24"/>
      <c r="AY4" s="24"/>
      <c r="AZ4" s="24"/>
      <c r="BA4" s="24"/>
      <c r="BC4" s="24"/>
      <c r="BD4" s="24"/>
      <c r="BE4" s="24"/>
      <c r="BF4" s="24"/>
      <c r="BH4" s="24">
        <v>46154.586254004629</v>
      </c>
      <c r="BI4" s="24">
        <v>46154.586254004629</v>
      </c>
      <c r="BJ4" s="24"/>
      <c r="BK4" s="24"/>
      <c r="BL4">
        <v>1</v>
      </c>
      <c r="BM4" s="24"/>
      <c r="BN4" s="24"/>
      <c r="BO4" s="24"/>
      <c r="BP4" s="24"/>
      <c r="BR4" s="24"/>
      <c r="BS4" s="24"/>
      <c r="BT4" s="24"/>
      <c r="BU4" s="24"/>
      <c r="BW4" s="24"/>
      <c r="BX4" s="24"/>
      <c r="BY4" s="24"/>
      <c r="BZ4" s="24"/>
      <c r="CB4" s="24"/>
      <c r="CC4" s="24"/>
      <c r="CE4" s="24"/>
      <c r="CF4" s="24"/>
      <c r="CH4" s="24"/>
      <c r="CI4" s="24"/>
      <c r="CJ4" s="24"/>
      <c r="CK4" s="24"/>
      <c r="DE4" s="24"/>
      <c r="DF4" s="24"/>
      <c r="DG4" s="24"/>
      <c r="DH4" s="24"/>
      <c r="DJ4" t="s">
        <v>149</v>
      </c>
      <c r="DK4" t="s">
        <v>149</v>
      </c>
      <c r="DP4">
        <v>6</v>
      </c>
      <c r="DQ4" t="s">
        <v>1000</v>
      </c>
      <c r="DR4" t="s">
        <v>149</v>
      </c>
      <c r="DS4" s="24">
        <v>46160.384426226854</v>
      </c>
    </row>
    <row r="5" spans="1:123" x14ac:dyDescent="0.3">
      <c r="A5" t="s">
        <v>989</v>
      </c>
      <c r="D5" t="s">
        <v>223</v>
      </c>
      <c r="E5" s="24">
        <v>46154.342870370368</v>
      </c>
      <c r="G5" t="s">
        <v>89</v>
      </c>
      <c r="H5" t="s">
        <v>89</v>
      </c>
      <c r="I5" s="24"/>
      <c r="J5" s="24"/>
      <c r="K5" s="24"/>
      <c r="L5" s="24"/>
      <c r="N5" s="24"/>
      <c r="O5" s="24"/>
      <c r="P5" s="24"/>
      <c r="Q5" s="24"/>
      <c r="V5" s="24"/>
      <c r="W5" s="24"/>
      <c r="X5" s="24"/>
      <c r="Y5" s="24"/>
      <c r="AA5" s="24">
        <v>46155.552609131948</v>
      </c>
      <c r="AB5" s="24">
        <v>46155.552609131948</v>
      </c>
      <c r="AC5" s="24"/>
      <c r="AD5" s="24"/>
      <c r="AE5">
        <v>1</v>
      </c>
      <c r="AF5" s="24"/>
      <c r="AG5" s="24"/>
      <c r="AH5" s="24"/>
      <c r="AI5" s="24"/>
      <c r="AK5" s="24"/>
      <c r="AL5" s="24"/>
      <c r="AM5" s="24"/>
      <c r="AN5" s="24"/>
      <c r="AP5" s="24"/>
      <c r="AQ5" s="24"/>
      <c r="AR5" s="24">
        <v>46154.444854363428</v>
      </c>
      <c r="AS5" s="24">
        <v>46154.444854363428</v>
      </c>
      <c r="AX5" s="24"/>
      <c r="AY5" s="24"/>
      <c r="AZ5" s="24"/>
      <c r="BA5" s="24"/>
      <c r="BC5" s="24"/>
      <c r="BD5" s="24"/>
      <c r="BE5" s="24"/>
      <c r="BF5" s="24"/>
      <c r="BH5" s="24">
        <v>46154.444854363428</v>
      </c>
      <c r="BI5" s="24">
        <v>46154.444854363428</v>
      </c>
      <c r="BJ5" s="24">
        <v>46155.552609131948</v>
      </c>
      <c r="BK5" s="24">
        <v>46155.552609131948</v>
      </c>
      <c r="BL5">
        <v>1</v>
      </c>
      <c r="BM5" s="24"/>
      <c r="BN5" s="24"/>
      <c r="BO5" s="24"/>
      <c r="BP5" s="24"/>
      <c r="BR5" s="24"/>
      <c r="BS5" s="24"/>
      <c r="BT5" s="24"/>
      <c r="BU5" s="24"/>
      <c r="BW5" s="24"/>
      <c r="BX5" s="24"/>
      <c r="BY5" s="24"/>
      <c r="BZ5" s="24"/>
      <c r="CB5" s="24"/>
      <c r="CC5" s="24"/>
      <c r="CE5" s="24"/>
      <c r="CF5" s="24"/>
      <c r="CH5" s="24"/>
      <c r="CI5" s="24"/>
      <c r="CJ5" s="24"/>
      <c r="CK5" s="24"/>
      <c r="DE5" s="24"/>
      <c r="DF5" s="24"/>
      <c r="DG5" s="24"/>
      <c r="DH5" s="24"/>
      <c r="DJ5" t="s">
        <v>149</v>
      </c>
      <c r="DK5" t="s">
        <v>149</v>
      </c>
      <c r="DO5">
        <v>5</v>
      </c>
      <c r="DP5">
        <v>5</v>
      </c>
      <c r="DQ5" t="s">
        <v>1000</v>
      </c>
      <c r="DR5" t="s">
        <v>149</v>
      </c>
      <c r="DS5" s="24">
        <v>46160.384426226854</v>
      </c>
    </row>
    <row r="6" spans="1:123" x14ac:dyDescent="0.3">
      <c r="A6" t="s">
        <v>990</v>
      </c>
      <c r="D6" t="s">
        <v>223</v>
      </c>
      <c r="E6" s="24">
        <v>46153.735081018516</v>
      </c>
      <c r="G6" t="s">
        <v>102</v>
      </c>
      <c r="H6" t="s">
        <v>154</v>
      </c>
      <c r="I6" s="24"/>
      <c r="J6" s="24"/>
      <c r="K6" s="24"/>
      <c r="L6" s="24"/>
      <c r="N6" s="24"/>
      <c r="O6" s="24"/>
      <c r="P6" s="24"/>
      <c r="Q6" s="24"/>
      <c r="V6" s="24"/>
      <c r="W6" s="24"/>
      <c r="X6" s="24"/>
      <c r="Y6" s="24"/>
      <c r="AA6" s="24"/>
      <c r="AB6" s="24"/>
      <c r="AC6" s="24"/>
      <c r="AD6" s="24"/>
      <c r="AF6" s="24"/>
      <c r="AG6" s="24"/>
      <c r="AH6" s="24"/>
      <c r="AI6" s="24"/>
      <c r="AK6" s="24"/>
      <c r="AL6" s="24"/>
      <c r="AM6" s="24"/>
      <c r="AN6" s="24"/>
      <c r="AP6" s="24"/>
      <c r="AQ6" s="24"/>
      <c r="AR6" s="24"/>
      <c r="AS6" s="24"/>
      <c r="AX6" s="24"/>
      <c r="AY6" s="24"/>
      <c r="AZ6" s="24"/>
      <c r="BA6" s="24"/>
      <c r="BC6" s="24"/>
      <c r="BD6" s="24"/>
      <c r="BE6" s="24"/>
      <c r="BF6" s="24"/>
      <c r="BH6" s="24"/>
      <c r="BI6" s="24"/>
      <c r="BJ6" s="24"/>
      <c r="BK6" s="24"/>
      <c r="BM6" s="24"/>
      <c r="BN6" s="24"/>
      <c r="BO6" s="24"/>
      <c r="BP6" s="24"/>
      <c r="BR6" s="24"/>
      <c r="BS6" s="24"/>
      <c r="BT6" s="24"/>
      <c r="BU6" s="24"/>
      <c r="BW6" s="24"/>
      <c r="BX6" s="24"/>
      <c r="BY6" s="24"/>
      <c r="BZ6" s="24"/>
      <c r="CB6" s="24"/>
      <c r="CC6" s="24"/>
      <c r="CE6" s="24"/>
      <c r="CF6" s="24"/>
      <c r="CH6" s="24"/>
      <c r="CI6" s="24"/>
      <c r="CJ6" s="24"/>
      <c r="CK6" s="24"/>
      <c r="DE6" s="24"/>
      <c r="DF6" s="24"/>
      <c r="DG6" s="24"/>
      <c r="DH6" s="24"/>
      <c r="DJ6" t="s">
        <v>149</v>
      </c>
      <c r="DK6" t="s">
        <v>149</v>
      </c>
      <c r="DQ6" t="s">
        <v>1000</v>
      </c>
      <c r="DR6" t="s">
        <v>149</v>
      </c>
      <c r="DS6" s="24">
        <v>46160.384426226854</v>
      </c>
    </row>
    <row r="7" spans="1:123" x14ac:dyDescent="0.3">
      <c r="A7" t="s">
        <v>991</v>
      </c>
      <c r="D7" t="s">
        <v>223</v>
      </c>
      <c r="E7" s="24">
        <v>46153.733032407406</v>
      </c>
      <c r="G7" t="s">
        <v>102</v>
      </c>
      <c r="H7" t="s">
        <v>154</v>
      </c>
      <c r="I7" s="24"/>
      <c r="J7" s="24"/>
      <c r="K7" s="24"/>
      <c r="L7" s="24"/>
      <c r="N7" s="24"/>
      <c r="O7" s="24"/>
      <c r="P7" s="24"/>
      <c r="Q7" s="24"/>
      <c r="V7" s="24"/>
      <c r="W7" s="24"/>
      <c r="X7" s="24"/>
      <c r="Y7" s="24"/>
      <c r="AA7" s="24"/>
      <c r="AB7" s="24"/>
      <c r="AC7" s="24"/>
      <c r="AD7" s="24"/>
      <c r="AF7" s="24"/>
      <c r="AG7" s="24"/>
      <c r="AH7" s="24"/>
      <c r="AI7" s="24"/>
      <c r="AK7" s="24"/>
      <c r="AL7" s="24"/>
      <c r="AM7" s="24"/>
      <c r="AN7" s="24"/>
      <c r="AP7" s="24"/>
      <c r="AQ7" s="24"/>
      <c r="AR7" s="24"/>
      <c r="AS7" s="24"/>
      <c r="AX7" s="24"/>
      <c r="AY7" s="24"/>
      <c r="AZ7" s="24"/>
      <c r="BA7" s="24"/>
      <c r="BC7" s="24"/>
      <c r="BD7" s="24"/>
      <c r="BE7" s="24"/>
      <c r="BF7" s="24"/>
      <c r="BH7" s="24"/>
      <c r="BI7" s="24"/>
      <c r="BJ7" s="24"/>
      <c r="BK7" s="24"/>
      <c r="BM7" s="24"/>
      <c r="BN7" s="24"/>
      <c r="BO7" s="24"/>
      <c r="BP7" s="24"/>
      <c r="BR7" s="24"/>
      <c r="BS7" s="24"/>
      <c r="BT7" s="24"/>
      <c r="BU7" s="24"/>
      <c r="BW7" s="24"/>
      <c r="BX7" s="24"/>
      <c r="BY7" s="24"/>
      <c r="BZ7" s="24"/>
      <c r="CB7" s="24"/>
      <c r="CC7" s="24"/>
      <c r="CE7" s="24"/>
      <c r="CF7" s="24"/>
      <c r="CH7" s="24"/>
      <c r="CI7" s="24"/>
      <c r="CJ7" s="24"/>
      <c r="CK7" s="24"/>
      <c r="DE7" s="24"/>
      <c r="DF7" s="24"/>
      <c r="DG7" s="24"/>
      <c r="DH7" s="24"/>
      <c r="DJ7" t="s">
        <v>149</v>
      </c>
      <c r="DK7" t="s">
        <v>149</v>
      </c>
      <c r="DQ7" t="s">
        <v>1000</v>
      </c>
      <c r="DR7" t="s">
        <v>149</v>
      </c>
      <c r="DS7" s="24">
        <v>46160.384426226854</v>
      </c>
    </row>
    <row r="8" spans="1:123" x14ac:dyDescent="0.3">
      <c r="A8" t="s">
        <v>992</v>
      </c>
      <c r="D8" t="s">
        <v>223</v>
      </c>
      <c r="E8" s="24">
        <v>46153.73065972222</v>
      </c>
      <c r="G8" t="s">
        <v>172</v>
      </c>
      <c r="H8" t="s">
        <v>89</v>
      </c>
      <c r="I8" s="24"/>
      <c r="J8" s="24"/>
      <c r="K8" s="24"/>
      <c r="L8" s="24"/>
      <c r="N8" s="24"/>
      <c r="O8" s="24"/>
      <c r="P8" s="24"/>
      <c r="Q8" s="24"/>
      <c r="V8" s="24"/>
      <c r="W8" s="24"/>
      <c r="X8" s="24"/>
      <c r="Y8" s="24"/>
      <c r="AA8" s="24">
        <v>46154.617405462966</v>
      </c>
      <c r="AB8" s="24">
        <v>46154.617405462966</v>
      </c>
      <c r="AC8" s="24">
        <v>46155.407023738429</v>
      </c>
      <c r="AD8" s="24">
        <v>46155.407023738429</v>
      </c>
      <c r="AE8">
        <v>1</v>
      </c>
      <c r="AF8" s="24">
        <v>46155.407023738429</v>
      </c>
      <c r="AG8" s="24">
        <v>46155.407023738429</v>
      </c>
      <c r="AH8" s="24"/>
      <c r="AI8" s="24"/>
      <c r="AJ8">
        <v>1</v>
      </c>
      <c r="AK8" s="24"/>
      <c r="AL8" s="24"/>
      <c r="AM8" s="24"/>
      <c r="AN8" s="24"/>
      <c r="AP8" s="24"/>
      <c r="AQ8" s="24"/>
      <c r="AR8" s="24">
        <v>46154.585764502313</v>
      </c>
      <c r="AS8" s="24">
        <v>46154.585764502313</v>
      </c>
      <c r="AX8" s="24"/>
      <c r="AY8" s="24"/>
      <c r="AZ8" s="24"/>
      <c r="BA8" s="24"/>
      <c r="BC8" s="24"/>
      <c r="BD8" s="24"/>
      <c r="BE8" s="24"/>
      <c r="BF8" s="24"/>
      <c r="BH8" s="24">
        <v>46154.585764502313</v>
      </c>
      <c r="BI8" s="24">
        <v>46154.585764502313</v>
      </c>
      <c r="BJ8" s="24">
        <v>46154.617405462966</v>
      </c>
      <c r="BK8" s="24">
        <v>46154.617405462966</v>
      </c>
      <c r="BL8">
        <v>1</v>
      </c>
      <c r="BM8" s="24"/>
      <c r="BN8" s="24"/>
      <c r="BO8" s="24"/>
      <c r="BP8" s="24"/>
      <c r="BR8" s="24"/>
      <c r="BS8" s="24"/>
      <c r="BT8" s="24"/>
      <c r="BU8" s="24"/>
      <c r="BW8" s="24"/>
      <c r="BX8" s="24"/>
      <c r="BY8" s="24"/>
      <c r="BZ8" s="24"/>
      <c r="CB8" s="24"/>
      <c r="CC8" s="24"/>
      <c r="CE8" s="24"/>
      <c r="CF8" s="24"/>
      <c r="CH8" s="24"/>
      <c r="CI8" s="24"/>
      <c r="CJ8" s="24"/>
      <c r="CK8" s="24"/>
      <c r="DE8" s="24"/>
      <c r="DF8" s="24"/>
      <c r="DG8" s="24"/>
      <c r="DH8" s="24"/>
      <c r="DJ8" t="s">
        <v>149</v>
      </c>
      <c r="DK8" t="s">
        <v>149</v>
      </c>
      <c r="DO8">
        <v>6</v>
      </c>
      <c r="DP8">
        <v>5</v>
      </c>
      <c r="DQ8" t="s">
        <v>1000</v>
      </c>
      <c r="DR8" t="s">
        <v>149</v>
      </c>
      <c r="DS8" s="24">
        <v>46160.384426226854</v>
      </c>
    </row>
    <row r="9" spans="1:123" x14ac:dyDescent="0.3">
      <c r="A9" t="s">
        <v>993</v>
      </c>
      <c r="D9" t="s">
        <v>223</v>
      </c>
      <c r="E9" s="24">
        <v>46153.724768518521</v>
      </c>
      <c r="G9" t="s">
        <v>102</v>
      </c>
      <c r="H9" t="s">
        <v>154</v>
      </c>
      <c r="I9" s="24"/>
      <c r="J9" s="24"/>
      <c r="K9" s="24"/>
      <c r="L9" s="24"/>
      <c r="N9" s="24"/>
      <c r="O9" s="24"/>
      <c r="P9" s="24"/>
      <c r="Q9" s="24"/>
      <c r="V9" s="24"/>
      <c r="W9" s="24"/>
      <c r="X9" s="24"/>
      <c r="Y9" s="24"/>
      <c r="AA9" s="24"/>
      <c r="AB9" s="24"/>
      <c r="AC9" s="24"/>
      <c r="AD9" s="24"/>
      <c r="AF9" s="24"/>
      <c r="AG9" s="24"/>
      <c r="AH9" s="24"/>
      <c r="AI9" s="24"/>
      <c r="AK9" s="24"/>
      <c r="AL9" s="24"/>
      <c r="AM9" s="24"/>
      <c r="AN9" s="24"/>
      <c r="AP9" s="24"/>
      <c r="AQ9" s="24"/>
      <c r="AR9" s="24"/>
      <c r="AS9" s="24"/>
      <c r="AX9" s="24"/>
      <c r="AY9" s="24"/>
      <c r="AZ9" s="24"/>
      <c r="BA9" s="24"/>
      <c r="BC9" s="24"/>
      <c r="BD9" s="24"/>
      <c r="BE9" s="24"/>
      <c r="BF9" s="24"/>
      <c r="BH9" s="24"/>
      <c r="BI9" s="24"/>
      <c r="BJ9" s="24"/>
      <c r="BK9" s="24"/>
      <c r="BM9" s="24"/>
      <c r="BN9" s="24"/>
      <c r="BO9" s="24"/>
      <c r="BP9" s="24"/>
      <c r="BR9" s="24"/>
      <c r="BS9" s="24"/>
      <c r="BT9" s="24"/>
      <c r="BU9" s="24"/>
      <c r="BW9" s="24"/>
      <c r="BX9" s="24"/>
      <c r="BY9" s="24"/>
      <c r="BZ9" s="24"/>
      <c r="CB9" s="24"/>
      <c r="CC9" s="24"/>
      <c r="CE9" s="24"/>
      <c r="CF9" s="24"/>
      <c r="CH9" s="24"/>
      <c r="CI9" s="24"/>
      <c r="CJ9" s="24"/>
      <c r="CK9" s="24"/>
      <c r="DE9" s="24"/>
      <c r="DF9" s="24"/>
      <c r="DG9" s="24"/>
      <c r="DH9" s="24"/>
      <c r="DJ9" t="s">
        <v>149</v>
      </c>
      <c r="DK9" t="s">
        <v>149</v>
      </c>
      <c r="DQ9" t="s">
        <v>1000</v>
      </c>
      <c r="DR9" t="s">
        <v>149</v>
      </c>
      <c r="DS9" s="24">
        <v>46160.384426226854</v>
      </c>
    </row>
    <row r="10" spans="1:123" x14ac:dyDescent="0.3">
      <c r="A10" t="s">
        <v>994</v>
      </c>
      <c r="D10" t="s">
        <v>223</v>
      </c>
      <c r="E10" s="24">
        <v>46153.714594907404</v>
      </c>
      <c r="G10" t="s">
        <v>172</v>
      </c>
      <c r="H10" t="s">
        <v>89</v>
      </c>
      <c r="I10" s="24"/>
      <c r="J10" s="24"/>
      <c r="K10" s="24"/>
      <c r="L10" s="24"/>
      <c r="N10" s="24"/>
      <c r="O10" s="24"/>
      <c r="P10" s="24"/>
      <c r="Q10" s="24"/>
      <c r="V10" s="24"/>
      <c r="W10" s="24"/>
      <c r="X10" s="24"/>
      <c r="Y10" s="24"/>
      <c r="AA10" s="24">
        <v>46154.585988449071</v>
      </c>
      <c r="AB10" s="24">
        <v>46154.585988449071</v>
      </c>
      <c r="AC10" s="24">
        <v>46155.406980243053</v>
      </c>
      <c r="AD10" s="24">
        <v>46155.406980243053</v>
      </c>
      <c r="AE10">
        <v>1</v>
      </c>
      <c r="AF10" s="24">
        <v>46155.406980243053</v>
      </c>
      <c r="AG10" s="24">
        <v>46155.406980243053</v>
      </c>
      <c r="AH10" s="24"/>
      <c r="AI10" s="24"/>
      <c r="AJ10">
        <v>1</v>
      </c>
      <c r="AK10" s="24"/>
      <c r="AL10" s="24"/>
      <c r="AM10" s="24"/>
      <c r="AN10" s="24"/>
      <c r="AP10" s="24"/>
      <c r="AQ10" s="24"/>
      <c r="AR10" s="24">
        <v>46154.585642488426</v>
      </c>
      <c r="AS10" s="24">
        <v>46154.585642488426</v>
      </c>
      <c r="AX10" s="24"/>
      <c r="AY10" s="24"/>
      <c r="AZ10" s="24"/>
      <c r="BA10" s="24"/>
      <c r="BC10" s="24"/>
      <c r="BD10" s="24"/>
      <c r="BE10" s="24"/>
      <c r="BF10" s="24"/>
      <c r="BH10" s="24">
        <v>46154.585642488426</v>
      </c>
      <c r="BI10" s="24">
        <v>46154.585642488426</v>
      </c>
      <c r="BJ10" s="24">
        <v>46154.585988449071</v>
      </c>
      <c r="BK10" s="24">
        <v>46154.585988449071</v>
      </c>
      <c r="BL10">
        <v>1</v>
      </c>
      <c r="BM10" s="24"/>
      <c r="BN10" s="24"/>
      <c r="BO10" s="24"/>
      <c r="BP10" s="24"/>
      <c r="BR10" s="24"/>
      <c r="BS10" s="24"/>
      <c r="BT10" s="24"/>
      <c r="BU10" s="24"/>
      <c r="BW10" s="24"/>
      <c r="BX10" s="24"/>
      <c r="BY10" s="24"/>
      <c r="BZ10" s="24"/>
      <c r="CB10" s="24"/>
      <c r="CC10" s="24"/>
      <c r="CE10" s="24"/>
      <c r="CF10" s="24"/>
      <c r="CH10" s="24"/>
      <c r="CI10" s="24"/>
      <c r="CJ10" s="24"/>
      <c r="CK10" s="24"/>
      <c r="DE10" s="24"/>
      <c r="DF10" s="24"/>
      <c r="DG10" s="24"/>
      <c r="DH10" s="24"/>
      <c r="DJ10" t="s">
        <v>149</v>
      </c>
      <c r="DK10" t="s">
        <v>149</v>
      </c>
      <c r="DO10">
        <v>6</v>
      </c>
      <c r="DP10">
        <v>5</v>
      </c>
      <c r="DQ10" t="s">
        <v>1000</v>
      </c>
      <c r="DR10" t="s">
        <v>149</v>
      </c>
      <c r="DS10" s="24">
        <v>46160.384426226854</v>
      </c>
    </row>
    <row r="11" spans="1:123" x14ac:dyDescent="0.3">
      <c r="A11" t="s">
        <v>995</v>
      </c>
      <c r="D11" t="s">
        <v>223</v>
      </c>
      <c r="E11" s="24">
        <v>46153.573831018519</v>
      </c>
      <c r="G11" t="s">
        <v>102</v>
      </c>
      <c r="H11" t="s">
        <v>154</v>
      </c>
      <c r="I11" s="24"/>
      <c r="J11" s="24"/>
      <c r="K11" s="24"/>
      <c r="L11" s="24"/>
      <c r="N11" s="24"/>
      <c r="O11" s="24"/>
      <c r="P11" s="24"/>
      <c r="Q11" s="24"/>
      <c r="V11" s="24"/>
      <c r="W11" s="24"/>
      <c r="X11" s="24"/>
      <c r="Y11" s="24"/>
      <c r="AA11" s="24"/>
      <c r="AB11" s="24"/>
      <c r="AC11" s="24"/>
      <c r="AD11" s="24"/>
      <c r="AF11" s="24"/>
      <c r="AG11" s="24"/>
      <c r="AH11" s="24"/>
      <c r="AI11" s="24"/>
      <c r="AK11" s="24"/>
      <c r="AL11" s="24"/>
      <c r="AM11" s="24"/>
      <c r="AN11" s="24"/>
      <c r="AP11" s="24"/>
      <c r="AQ11" s="24"/>
      <c r="AR11" s="24"/>
      <c r="AS11" s="24"/>
      <c r="AX11" s="24"/>
      <c r="AY11" s="24"/>
      <c r="AZ11" s="24"/>
      <c r="BA11" s="24"/>
      <c r="BC11" s="24"/>
      <c r="BD11" s="24"/>
      <c r="BE11" s="24"/>
      <c r="BF11" s="24"/>
      <c r="BH11" s="24"/>
      <c r="BI11" s="24"/>
      <c r="BJ11" s="24"/>
      <c r="BK11" s="24"/>
      <c r="BM11" s="24"/>
      <c r="BN11" s="24"/>
      <c r="BO11" s="24"/>
      <c r="BP11" s="24"/>
      <c r="BR11" s="24"/>
      <c r="BS11" s="24"/>
      <c r="BT11" s="24"/>
      <c r="BU11" s="24"/>
      <c r="BW11" s="24"/>
      <c r="BX11" s="24"/>
      <c r="BY11" s="24"/>
      <c r="BZ11" s="24"/>
      <c r="CB11" s="24"/>
      <c r="CC11" s="24"/>
      <c r="CE11" s="24"/>
      <c r="CF11" s="24"/>
      <c r="CH11" s="24"/>
      <c r="CI11" s="24"/>
      <c r="CJ11" s="24"/>
      <c r="CK11" s="24"/>
      <c r="DE11" s="24"/>
      <c r="DF11" s="24"/>
      <c r="DG11" s="24"/>
      <c r="DH11" s="24"/>
      <c r="DJ11" t="s">
        <v>149</v>
      </c>
      <c r="DK11" t="s">
        <v>149</v>
      </c>
      <c r="DQ11" t="s">
        <v>1000</v>
      </c>
      <c r="DR11" t="s">
        <v>149</v>
      </c>
      <c r="DS11" s="24">
        <v>46160.384426226854</v>
      </c>
    </row>
    <row r="12" spans="1:123" x14ac:dyDescent="0.3">
      <c r="A12" t="s">
        <v>996</v>
      </c>
      <c r="D12" t="s">
        <v>223</v>
      </c>
      <c r="E12" s="24">
        <v>46153.57172453704</v>
      </c>
      <c r="G12" t="s">
        <v>102</v>
      </c>
      <c r="H12" t="s">
        <v>154</v>
      </c>
      <c r="I12" s="24"/>
      <c r="J12" s="24"/>
      <c r="K12" s="24"/>
      <c r="L12" s="24"/>
      <c r="N12" s="24"/>
      <c r="O12" s="24"/>
      <c r="P12" s="24"/>
      <c r="Q12" s="24"/>
      <c r="V12" s="24"/>
      <c r="W12" s="24"/>
      <c r="X12" s="24"/>
      <c r="Y12" s="24"/>
      <c r="AA12" s="24"/>
      <c r="AB12" s="24"/>
      <c r="AC12" s="24"/>
      <c r="AD12" s="24"/>
      <c r="AF12" s="24"/>
      <c r="AG12" s="24"/>
      <c r="AH12" s="24"/>
      <c r="AI12" s="24"/>
      <c r="AK12" s="24"/>
      <c r="AL12" s="24"/>
      <c r="AM12" s="24"/>
      <c r="AN12" s="24"/>
      <c r="AP12" s="24"/>
      <c r="AQ12" s="24"/>
      <c r="AR12" s="24"/>
      <c r="AS12" s="24"/>
      <c r="AX12" s="24"/>
      <c r="AY12" s="24"/>
      <c r="AZ12" s="24"/>
      <c r="BA12" s="24"/>
      <c r="BC12" s="24"/>
      <c r="BD12" s="24"/>
      <c r="BE12" s="24"/>
      <c r="BF12" s="24"/>
      <c r="BH12" s="24"/>
      <c r="BI12" s="24"/>
      <c r="BJ12" s="24"/>
      <c r="BK12" s="24"/>
      <c r="BM12" s="24"/>
      <c r="BN12" s="24"/>
      <c r="BO12" s="24"/>
      <c r="BP12" s="24"/>
      <c r="BR12" s="24"/>
      <c r="BS12" s="24"/>
      <c r="BT12" s="24"/>
      <c r="BU12" s="24"/>
      <c r="BW12" s="24"/>
      <c r="BX12" s="24"/>
      <c r="BY12" s="24"/>
      <c r="BZ12" s="24"/>
      <c r="CB12" s="24"/>
      <c r="CC12" s="24"/>
      <c r="CE12" s="24"/>
      <c r="CF12" s="24"/>
      <c r="CH12" s="24"/>
      <c r="CI12" s="24"/>
      <c r="CJ12" s="24"/>
      <c r="CK12" s="24"/>
      <c r="DE12" s="24"/>
      <c r="DF12" s="24"/>
      <c r="DG12" s="24"/>
      <c r="DH12" s="24"/>
      <c r="DJ12" t="s">
        <v>149</v>
      </c>
      <c r="DK12" t="s">
        <v>149</v>
      </c>
      <c r="DQ12" t="s">
        <v>1000</v>
      </c>
      <c r="DR12" t="s">
        <v>149</v>
      </c>
      <c r="DS12" s="24">
        <v>46160.384426226854</v>
      </c>
    </row>
    <row r="13" spans="1:123" x14ac:dyDescent="0.3">
      <c r="A13" t="s">
        <v>997</v>
      </c>
      <c r="D13" t="s">
        <v>223</v>
      </c>
      <c r="E13" s="24">
        <v>46153.568391203706</v>
      </c>
      <c r="G13" t="s">
        <v>102</v>
      </c>
      <c r="H13" t="s">
        <v>154</v>
      </c>
      <c r="I13" s="24"/>
      <c r="J13" s="24"/>
      <c r="K13" s="24"/>
      <c r="L13" s="24"/>
      <c r="N13" s="24"/>
      <c r="O13" s="24"/>
      <c r="P13" s="24"/>
      <c r="Q13" s="24"/>
      <c r="V13" s="24"/>
      <c r="W13" s="24"/>
      <c r="X13" s="24"/>
      <c r="Y13" s="24"/>
      <c r="AA13" s="24"/>
      <c r="AB13" s="24"/>
      <c r="AC13" s="24"/>
      <c r="AD13" s="24"/>
      <c r="AF13" s="24"/>
      <c r="AG13" s="24"/>
      <c r="AH13" s="24"/>
      <c r="AI13" s="24"/>
      <c r="AK13" s="24"/>
      <c r="AL13" s="24"/>
      <c r="AM13" s="24"/>
      <c r="AN13" s="24"/>
      <c r="AP13" s="24"/>
      <c r="AQ13" s="24"/>
      <c r="AR13" s="24"/>
      <c r="AS13" s="24"/>
      <c r="AX13" s="24"/>
      <c r="AY13" s="24"/>
      <c r="AZ13" s="24"/>
      <c r="BA13" s="24"/>
      <c r="BC13" s="24"/>
      <c r="BD13" s="24"/>
      <c r="BE13" s="24"/>
      <c r="BF13" s="24"/>
      <c r="BH13" s="24"/>
      <c r="BI13" s="24"/>
      <c r="BJ13" s="24"/>
      <c r="BK13" s="24"/>
      <c r="BM13" s="24"/>
      <c r="BN13" s="24"/>
      <c r="BO13" s="24"/>
      <c r="BP13" s="24"/>
      <c r="BR13" s="24"/>
      <c r="BS13" s="24"/>
      <c r="BT13" s="24"/>
      <c r="BU13" s="24"/>
      <c r="BW13" s="24"/>
      <c r="BX13" s="24"/>
      <c r="BY13" s="24"/>
      <c r="BZ13" s="24"/>
      <c r="CB13" s="24"/>
      <c r="CC13" s="24"/>
      <c r="CE13" s="24"/>
      <c r="CF13" s="24"/>
      <c r="CH13" s="24"/>
      <c r="CI13" s="24"/>
      <c r="CJ13" s="24"/>
      <c r="CK13" s="24"/>
      <c r="DE13" s="24"/>
      <c r="DF13" s="24"/>
      <c r="DG13" s="24"/>
      <c r="DH13" s="24"/>
      <c r="DJ13" t="s">
        <v>149</v>
      </c>
      <c r="DK13" t="s">
        <v>149</v>
      </c>
      <c r="DQ13" t="s">
        <v>1000</v>
      </c>
      <c r="DR13" t="s">
        <v>149</v>
      </c>
      <c r="DS13" s="24">
        <v>46160.384426226854</v>
      </c>
    </row>
    <row r="14" spans="1:123" x14ac:dyDescent="0.3">
      <c r="A14" t="s">
        <v>998</v>
      </c>
      <c r="D14" t="s">
        <v>223</v>
      </c>
      <c r="E14" s="24">
        <v>46150.440393518518</v>
      </c>
      <c r="G14" t="s">
        <v>90</v>
      </c>
      <c r="H14" t="s">
        <v>155</v>
      </c>
      <c r="I14" s="24"/>
      <c r="J14" s="24"/>
      <c r="K14" s="24"/>
      <c r="L14" s="24"/>
      <c r="N14" s="24"/>
      <c r="O14" s="24"/>
      <c r="P14" s="24"/>
      <c r="Q14" s="24"/>
      <c r="V14" s="24"/>
      <c r="W14" s="24"/>
      <c r="X14" s="24"/>
      <c r="Y14" s="24"/>
      <c r="AA14" s="24">
        <v>46153.355034907407</v>
      </c>
      <c r="AB14" s="24">
        <v>46153.355034907407</v>
      </c>
      <c r="AC14" s="24">
        <v>46154.618849606479</v>
      </c>
      <c r="AD14" s="24">
        <v>46154.618849606479</v>
      </c>
      <c r="AE14">
        <v>1</v>
      </c>
      <c r="AF14" s="24">
        <v>46155.409659872683</v>
      </c>
      <c r="AG14" s="24">
        <v>46155.409659872683</v>
      </c>
      <c r="AH14" s="24">
        <v>46155.409715520836</v>
      </c>
      <c r="AI14" s="24">
        <v>46155.409715520836</v>
      </c>
      <c r="AJ14">
        <v>1</v>
      </c>
      <c r="AK14" s="24"/>
      <c r="AL14" s="24"/>
      <c r="AM14" s="24"/>
      <c r="AN14" s="24"/>
      <c r="AP14" s="24"/>
      <c r="AQ14" s="24"/>
      <c r="AR14" s="24"/>
      <c r="AS14" s="24"/>
      <c r="AX14" s="24"/>
      <c r="AY14" s="24"/>
      <c r="AZ14" s="24"/>
      <c r="BA14" s="24"/>
      <c r="BC14" s="24"/>
      <c r="BD14" s="24"/>
      <c r="BE14" s="24"/>
      <c r="BF14" s="24"/>
      <c r="BH14" s="24"/>
      <c r="BI14" s="24"/>
      <c r="BJ14" s="24"/>
      <c r="BK14" s="24"/>
      <c r="BM14" s="24">
        <v>46154.618849606479</v>
      </c>
      <c r="BN14" s="24">
        <v>46154.618849606479</v>
      </c>
      <c r="BO14" s="24">
        <v>46155.409659872683</v>
      </c>
      <c r="BP14" s="24">
        <v>46155.409659872683</v>
      </c>
      <c r="BQ14">
        <v>1</v>
      </c>
      <c r="BR14" s="24"/>
      <c r="BS14" s="24"/>
      <c r="BT14" s="24"/>
      <c r="BU14" s="24"/>
      <c r="BW14" s="24"/>
      <c r="BX14" s="24"/>
      <c r="BY14" s="24"/>
      <c r="BZ14" s="24"/>
      <c r="CB14" s="24"/>
      <c r="CC14" s="24"/>
      <c r="CE14" s="24">
        <v>46155.409715520836</v>
      </c>
      <c r="CF14" s="24">
        <v>46155.409715520836</v>
      </c>
      <c r="CG14">
        <v>1</v>
      </c>
      <c r="CH14" s="24"/>
      <c r="CI14" s="24"/>
      <c r="CJ14" s="24"/>
      <c r="CK14" s="24"/>
      <c r="DE14" s="24"/>
      <c r="DF14" s="24"/>
      <c r="DG14" s="24"/>
      <c r="DH14" s="24"/>
      <c r="DJ14" t="s">
        <v>149</v>
      </c>
      <c r="DK14" t="s">
        <v>149</v>
      </c>
      <c r="DN14">
        <v>3</v>
      </c>
      <c r="DQ14" t="s">
        <v>1000</v>
      </c>
      <c r="DR14" t="s">
        <v>149</v>
      </c>
      <c r="DS14" s="24">
        <v>46160.384426226854</v>
      </c>
    </row>
    <row r="15" spans="1:123" x14ac:dyDescent="0.3">
      <c r="A15" t="s">
        <v>278</v>
      </c>
      <c r="D15" t="s">
        <v>223</v>
      </c>
      <c r="E15" s="24">
        <v>46150.41946759259</v>
      </c>
      <c r="G15" t="s">
        <v>107</v>
      </c>
      <c r="H15" t="s">
        <v>154</v>
      </c>
      <c r="I15" s="24"/>
      <c r="J15" s="24"/>
      <c r="K15" s="24"/>
      <c r="L15" s="24"/>
      <c r="N15" s="24"/>
      <c r="O15" s="24"/>
      <c r="P15" s="24"/>
      <c r="Q15" s="24"/>
      <c r="V15" s="24"/>
      <c r="W15" s="24"/>
      <c r="X15" s="24"/>
      <c r="Y15" s="24"/>
      <c r="AA15" s="24"/>
      <c r="AB15" s="24"/>
      <c r="AC15" s="24"/>
      <c r="AD15" s="24"/>
      <c r="AF15" s="24"/>
      <c r="AG15" s="24"/>
      <c r="AH15" s="24"/>
      <c r="AI15" s="24"/>
      <c r="AK15" s="24"/>
      <c r="AL15" s="24"/>
      <c r="AM15" s="24"/>
      <c r="AN15" s="24"/>
      <c r="AP15" s="24"/>
      <c r="AQ15" s="24"/>
      <c r="AR15" s="24">
        <v>46154.44047869213</v>
      </c>
      <c r="AS15" s="24">
        <v>46154.44047869213</v>
      </c>
      <c r="AX15" s="24"/>
      <c r="AY15" s="24"/>
      <c r="AZ15" s="24"/>
      <c r="BA15" s="24"/>
      <c r="BC15" s="24"/>
      <c r="BD15" s="24"/>
      <c r="BE15" s="24"/>
      <c r="BF15" s="24"/>
      <c r="BH15" s="24">
        <v>46154.44047869213</v>
      </c>
      <c r="BI15" s="24">
        <v>46154.44047869213</v>
      </c>
      <c r="BJ15" s="24"/>
      <c r="BK15" s="24"/>
      <c r="BL15">
        <v>1</v>
      </c>
      <c r="BM15" s="24"/>
      <c r="BN15" s="24"/>
      <c r="BO15" s="24"/>
      <c r="BP15" s="24"/>
      <c r="BR15" s="24"/>
      <c r="BS15" s="24"/>
      <c r="BT15" s="24"/>
      <c r="BU15" s="24"/>
      <c r="BW15" s="24"/>
      <c r="BX15" s="24"/>
      <c r="BY15" s="24"/>
      <c r="BZ15" s="24"/>
      <c r="CB15" s="24"/>
      <c r="CC15" s="24"/>
      <c r="CE15" s="24"/>
      <c r="CF15" s="24"/>
      <c r="CH15" s="24"/>
      <c r="CI15" s="24"/>
      <c r="CJ15" s="24"/>
      <c r="CK15" s="24"/>
      <c r="DE15" s="24"/>
      <c r="DF15" s="24"/>
      <c r="DG15" s="24"/>
      <c r="DH15" s="24"/>
      <c r="DJ15" t="s">
        <v>149</v>
      </c>
      <c r="DK15" t="s">
        <v>149</v>
      </c>
      <c r="DP15">
        <v>6</v>
      </c>
      <c r="DQ15" t="s">
        <v>1000</v>
      </c>
      <c r="DR15" t="s">
        <v>149</v>
      </c>
      <c r="DS15" s="24">
        <v>46160.384426226854</v>
      </c>
    </row>
    <row r="16" spans="1:123" x14ac:dyDescent="0.3">
      <c r="A16" t="s">
        <v>279</v>
      </c>
      <c r="D16" t="s">
        <v>223</v>
      </c>
      <c r="E16" s="24">
        <v>46149.442407407405</v>
      </c>
      <c r="G16" t="s">
        <v>90</v>
      </c>
      <c r="H16" t="s">
        <v>155</v>
      </c>
      <c r="I16" s="24"/>
      <c r="J16" s="24"/>
      <c r="K16" s="24"/>
      <c r="L16" s="24"/>
      <c r="N16" s="24"/>
      <c r="O16" s="24"/>
      <c r="P16" s="24"/>
      <c r="Q16" s="24"/>
      <c r="V16" s="24"/>
      <c r="W16" s="24"/>
      <c r="X16" s="24"/>
      <c r="Y16" s="24"/>
      <c r="AA16" s="24">
        <v>46149.443516018517</v>
      </c>
      <c r="AB16" s="24">
        <v>46149.443516018517</v>
      </c>
      <c r="AC16" s="24">
        <v>46150.413076400466</v>
      </c>
      <c r="AD16" s="24">
        <v>46150.413076400466</v>
      </c>
      <c r="AE16">
        <v>1</v>
      </c>
      <c r="AF16" s="24">
        <v>46150.421685717592</v>
      </c>
      <c r="AG16" s="24">
        <v>46150.413732013891</v>
      </c>
      <c r="AH16" s="24">
        <v>46150.413771851854</v>
      </c>
      <c r="AI16" s="24">
        <v>46150.421761550926</v>
      </c>
      <c r="AJ16">
        <v>2</v>
      </c>
      <c r="AK16" s="24"/>
      <c r="AL16" s="24"/>
      <c r="AM16" s="24"/>
      <c r="AN16" s="24"/>
      <c r="AP16" s="24"/>
      <c r="AQ16" s="24"/>
      <c r="AR16" s="24">
        <v>46149.443451851854</v>
      </c>
      <c r="AS16" s="24">
        <v>46149.443451851854</v>
      </c>
      <c r="AX16" s="24"/>
      <c r="AY16" s="24"/>
      <c r="AZ16" s="24"/>
      <c r="BA16" s="24"/>
      <c r="BC16" s="24"/>
      <c r="BD16" s="24"/>
      <c r="BE16" s="24"/>
      <c r="BF16" s="24"/>
      <c r="BH16" s="24">
        <v>46149.443451851854</v>
      </c>
      <c r="BI16" s="24">
        <v>46149.443451851854</v>
      </c>
      <c r="BJ16" s="24">
        <v>46149.443516018517</v>
      </c>
      <c r="BK16" s="24">
        <v>46149.443516018517</v>
      </c>
      <c r="BL16">
        <v>1</v>
      </c>
      <c r="BM16" s="24">
        <v>46150.413771851854</v>
      </c>
      <c r="BN16" s="24">
        <v>46150.413076400466</v>
      </c>
      <c r="BO16" s="24">
        <v>46150.413732013891</v>
      </c>
      <c r="BP16" s="24">
        <v>46150.421685717592</v>
      </c>
      <c r="BQ16">
        <v>2</v>
      </c>
      <c r="BR16" s="24"/>
      <c r="BS16" s="24"/>
      <c r="BT16" s="24"/>
      <c r="BU16" s="24"/>
      <c r="BW16" s="24"/>
      <c r="BX16" s="24"/>
      <c r="BY16" s="24"/>
      <c r="BZ16" s="24"/>
      <c r="CB16" s="24"/>
      <c r="CC16" s="24"/>
      <c r="CE16" s="24">
        <v>46150.421761550926</v>
      </c>
      <c r="CF16" s="24">
        <v>46150.421761550926</v>
      </c>
      <c r="CG16">
        <v>1</v>
      </c>
      <c r="CH16" s="24"/>
      <c r="CI16" s="24"/>
      <c r="CJ16" s="24"/>
      <c r="CK16" s="24"/>
      <c r="DE16" s="24"/>
      <c r="DF16" s="24"/>
      <c r="DG16" s="24"/>
      <c r="DH16" s="24"/>
      <c r="DJ16" t="s">
        <v>149</v>
      </c>
      <c r="DK16" t="s">
        <v>149</v>
      </c>
      <c r="DM16">
        <v>1</v>
      </c>
      <c r="DN16">
        <v>1</v>
      </c>
      <c r="DQ16" t="s">
        <v>1000</v>
      </c>
      <c r="DR16" t="s">
        <v>149</v>
      </c>
      <c r="DS16" s="24">
        <v>46160.384426226854</v>
      </c>
    </row>
    <row r="17" spans="1:123" x14ac:dyDescent="0.3">
      <c r="A17" t="s">
        <v>280</v>
      </c>
      <c r="D17" t="s">
        <v>223</v>
      </c>
      <c r="E17" s="24">
        <v>46147.669722222221</v>
      </c>
      <c r="G17" t="s">
        <v>90</v>
      </c>
      <c r="H17" t="s">
        <v>155</v>
      </c>
      <c r="I17" s="24"/>
      <c r="J17" s="24"/>
      <c r="K17" s="24"/>
      <c r="L17" s="24"/>
      <c r="N17" s="24"/>
      <c r="O17" s="24"/>
      <c r="P17" s="24"/>
      <c r="Q17" s="24"/>
      <c r="V17" s="24"/>
      <c r="W17" s="24"/>
      <c r="X17" s="24"/>
      <c r="Y17" s="24"/>
      <c r="AA17" s="24">
        <v>46147.670582951388</v>
      </c>
      <c r="AB17" s="24">
        <v>46147.670582951388</v>
      </c>
      <c r="AC17" s="24">
        <v>46148.388567048612</v>
      </c>
      <c r="AD17" s="24">
        <v>46148.388567048612</v>
      </c>
      <c r="AE17">
        <v>1</v>
      </c>
      <c r="AF17" s="24">
        <v>46148.443084016202</v>
      </c>
      <c r="AG17" s="24">
        <v>46148.443084016202</v>
      </c>
      <c r="AH17" s="24">
        <v>46148.443161516203</v>
      </c>
      <c r="AI17" s="24">
        <v>46148.443161516203</v>
      </c>
      <c r="AJ17">
        <v>1</v>
      </c>
      <c r="AK17" s="24"/>
      <c r="AL17" s="24"/>
      <c r="AM17" s="24"/>
      <c r="AN17" s="24"/>
      <c r="AP17" s="24"/>
      <c r="AQ17" s="24"/>
      <c r="AR17" s="24">
        <v>46147.670408912039</v>
      </c>
      <c r="AS17" s="24">
        <v>46147.670408912039</v>
      </c>
      <c r="AX17" s="24"/>
      <c r="AY17" s="24"/>
      <c r="AZ17" s="24"/>
      <c r="BA17" s="24"/>
      <c r="BC17" s="24"/>
      <c r="BD17" s="24"/>
      <c r="BE17" s="24"/>
      <c r="BF17" s="24"/>
      <c r="BH17" s="24">
        <v>46147.670408912039</v>
      </c>
      <c r="BI17" s="24">
        <v>46147.670408912039</v>
      </c>
      <c r="BJ17" s="24">
        <v>46147.670582951388</v>
      </c>
      <c r="BK17" s="24">
        <v>46147.670582951388</v>
      </c>
      <c r="BL17">
        <v>1</v>
      </c>
      <c r="BM17" s="24">
        <v>46148.388567048612</v>
      </c>
      <c r="BN17" s="24">
        <v>46148.388567048612</v>
      </c>
      <c r="BO17" s="24">
        <v>46148.443084016202</v>
      </c>
      <c r="BP17" s="24">
        <v>46148.443084016202</v>
      </c>
      <c r="BQ17">
        <v>1</v>
      </c>
      <c r="BR17" s="24"/>
      <c r="BS17" s="24"/>
      <c r="BT17" s="24"/>
      <c r="BU17" s="24"/>
      <c r="BW17" s="24"/>
      <c r="BX17" s="24"/>
      <c r="BY17" s="24"/>
      <c r="BZ17" s="24"/>
      <c r="CB17" s="24"/>
      <c r="CC17" s="24"/>
      <c r="CE17" s="24">
        <v>46148.443161516203</v>
      </c>
      <c r="CF17" s="24">
        <v>46148.443161516203</v>
      </c>
      <c r="CG17">
        <v>1</v>
      </c>
      <c r="CH17" s="24"/>
      <c r="CI17" s="24"/>
      <c r="CJ17" s="24"/>
      <c r="CK17" s="24"/>
      <c r="DE17" s="24"/>
      <c r="DF17" s="24"/>
      <c r="DG17" s="24"/>
      <c r="DH17" s="24"/>
      <c r="DJ17" t="s">
        <v>149</v>
      </c>
      <c r="DK17" t="s">
        <v>149</v>
      </c>
      <c r="DM17">
        <v>1</v>
      </c>
      <c r="DN17">
        <v>1</v>
      </c>
      <c r="DQ17" t="s">
        <v>1000</v>
      </c>
      <c r="DR17" t="s">
        <v>149</v>
      </c>
      <c r="DS17" s="24">
        <v>46160.384426226854</v>
      </c>
    </row>
    <row r="18" spans="1:123" x14ac:dyDescent="0.3">
      <c r="A18" t="s">
        <v>281</v>
      </c>
      <c r="D18" t="s">
        <v>225</v>
      </c>
      <c r="E18" s="24">
        <v>46146.645590277774</v>
      </c>
      <c r="G18" t="s">
        <v>102</v>
      </c>
      <c r="H18" t="s">
        <v>154</v>
      </c>
      <c r="I18" s="24"/>
      <c r="J18" s="24"/>
      <c r="K18" s="24"/>
      <c r="L18" s="24"/>
      <c r="N18" s="24"/>
      <c r="O18" s="24"/>
      <c r="P18" s="24"/>
      <c r="Q18" s="24"/>
      <c r="V18" s="24"/>
      <c r="W18" s="24"/>
      <c r="X18" s="24"/>
      <c r="Y18" s="24"/>
      <c r="AA18" s="24"/>
      <c r="AB18" s="24"/>
      <c r="AC18" s="24"/>
      <c r="AD18" s="24"/>
      <c r="AF18" s="24"/>
      <c r="AG18" s="24"/>
      <c r="AH18" s="24"/>
      <c r="AI18" s="24"/>
      <c r="AK18" s="24"/>
      <c r="AL18" s="24"/>
      <c r="AM18" s="24"/>
      <c r="AN18" s="24"/>
      <c r="AP18" s="24"/>
      <c r="AQ18" s="24"/>
      <c r="AR18" s="24"/>
      <c r="AS18" s="24"/>
      <c r="AX18" s="24"/>
      <c r="AY18" s="24"/>
      <c r="AZ18" s="24"/>
      <c r="BA18" s="24"/>
      <c r="BC18" s="24"/>
      <c r="BD18" s="24"/>
      <c r="BE18" s="24"/>
      <c r="BF18" s="24"/>
      <c r="BH18" s="24"/>
      <c r="BI18" s="24"/>
      <c r="BJ18" s="24"/>
      <c r="BK18" s="24"/>
      <c r="BM18" s="24"/>
      <c r="BN18" s="24"/>
      <c r="BO18" s="24"/>
      <c r="BP18" s="24"/>
      <c r="BR18" s="24"/>
      <c r="BS18" s="24"/>
      <c r="BT18" s="24"/>
      <c r="BU18" s="24"/>
      <c r="BW18" s="24"/>
      <c r="BX18" s="24"/>
      <c r="BY18" s="24"/>
      <c r="BZ18" s="24"/>
      <c r="CB18" s="24"/>
      <c r="CC18" s="24"/>
      <c r="CE18" s="24"/>
      <c r="CF18" s="24"/>
      <c r="CH18" s="24"/>
      <c r="CI18" s="24"/>
      <c r="CJ18" s="24"/>
      <c r="CK18" s="24"/>
      <c r="DE18" s="24"/>
      <c r="DF18" s="24"/>
      <c r="DG18" s="24"/>
      <c r="DH18" s="24"/>
      <c r="DJ18" t="s">
        <v>149</v>
      </c>
      <c r="DK18" t="s">
        <v>149</v>
      </c>
      <c r="DQ18" t="s">
        <v>1000</v>
      </c>
      <c r="DR18" t="s">
        <v>149</v>
      </c>
      <c r="DS18" s="24">
        <v>46160.384426226854</v>
      </c>
    </row>
    <row r="19" spans="1:123" x14ac:dyDescent="0.3">
      <c r="A19" t="s">
        <v>999</v>
      </c>
      <c r="D19" t="s">
        <v>223</v>
      </c>
      <c r="E19" s="24">
        <v>46146.618159722224</v>
      </c>
      <c r="G19" t="s">
        <v>107</v>
      </c>
      <c r="H19" t="s">
        <v>154</v>
      </c>
      <c r="I19" s="24"/>
      <c r="J19" s="24"/>
      <c r="K19" s="24"/>
      <c r="L19" s="24"/>
      <c r="N19" s="24"/>
      <c r="O19" s="24"/>
      <c r="P19" s="24"/>
      <c r="Q19" s="24"/>
      <c r="V19" s="24"/>
      <c r="W19" s="24"/>
      <c r="X19" s="24"/>
      <c r="Y19" s="24"/>
      <c r="AA19" s="24"/>
      <c r="AB19" s="24"/>
      <c r="AC19" s="24"/>
      <c r="AD19" s="24"/>
      <c r="AF19" s="24"/>
      <c r="AG19" s="24"/>
      <c r="AH19" s="24"/>
      <c r="AI19" s="24"/>
      <c r="AK19" s="24"/>
      <c r="AL19" s="24"/>
      <c r="AM19" s="24"/>
      <c r="AN19" s="24"/>
      <c r="AP19" s="24">
        <v>46155.446670439815</v>
      </c>
      <c r="AQ19" s="24">
        <v>46155.446670439815</v>
      </c>
      <c r="AR19" s="24">
        <v>46155.467863437501</v>
      </c>
      <c r="AS19" s="24">
        <v>46155.467863437501</v>
      </c>
      <c r="AT19">
        <v>1</v>
      </c>
      <c r="AX19" s="24"/>
      <c r="AY19" s="24"/>
      <c r="AZ19" s="24"/>
      <c r="BA19" s="24"/>
      <c r="BC19" s="24"/>
      <c r="BD19" s="24"/>
      <c r="BE19" s="24"/>
      <c r="BF19" s="24"/>
      <c r="BH19" s="24">
        <v>46155.467863437501</v>
      </c>
      <c r="BI19" s="24">
        <v>46155.467863437501</v>
      </c>
      <c r="BJ19" s="24"/>
      <c r="BK19" s="24"/>
      <c r="BL19">
        <v>1</v>
      </c>
      <c r="BM19" s="24"/>
      <c r="BN19" s="24"/>
      <c r="BO19" s="24"/>
      <c r="BP19" s="24"/>
      <c r="BR19" s="24"/>
      <c r="BS19" s="24"/>
      <c r="BT19" s="24"/>
      <c r="BU19" s="24"/>
      <c r="BW19" s="24"/>
      <c r="BX19" s="24"/>
      <c r="BY19" s="24"/>
      <c r="BZ19" s="24"/>
      <c r="CB19" s="24"/>
      <c r="CC19" s="24"/>
      <c r="CE19" s="24"/>
      <c r="CF19" s="24"/>
      <c r="CH19" s="24"/>
      <c r="CI19" s="24"/>
      <c r="CJ19" s="24"/>
      <c r="CK19" s="24"/>
      <c r="DE19" s="24"/>
      <c r="DF19" s="24"/>
      <c r="DG19" s="24"/>
      <c r="DH19" s="24"/>
      <c r="DJ19" t="s">
        <v>149</v>
      </c>
      <c r="DK19" t="s">
        <v>149</v>
      </c>
      <c r="DP19">
        <v>5</v>
      </c>
      <c r="DQ19" t="s">
        <v>1000</v>
      </c>
      <c r="DR19" t="s">
        <v>149</v>
      </c>
      <c r="DS19" s="24">
        <v>46160.384426226854</v>
      </c>
    </row>
    <row r="20" spans="1:123" x14ac:dyDescent="0.3">
      <c r="A20" t="s">
        <v>282</v>
      </c>
      <c r="D20" t="s">
        <v>223</v>
      </c>
      <c r="E20" s="24">
        <v>46146.570150462961</v>
      </c>
      <c r="G20" t="s">
        <v>89</v>
      </c>
      <c r="H20" t="s">
        <v>89</v>
      </c>
      <c r="I20" s="24"/>
      <c r="J20" s="24"/>
      <c r="K20" s="24"/>
      <c r="L20" s="24"/>
      <c r="N20" s="24"/>
      <c r="O20" s="24"/>
      <c r="P20" s="24"/>
      <c r="Q20" s="24"/>
      <c r="V20" s="24"/>
      <c r="W20" s="24"/>
      <c r="X20" s="24"/>
      <c r="Y20" s="24"/>
      <c r="AA20" s="24">
        <v>46154.645395324071</v>
      </c>
      <c r="AB20" s="24">
        <v>46154.645395324071</v>
      </c>
      <c r="AC20" s="24"/>
      <c r="AD20" s="24"/>
      <c r="AE20">
        <v>1</v>
      </c>
      <c r="AF20" s="24"/>
      <c r="AG20" s="24"/>
      <c r="AH20" s="24"/>
      <c r="AI20" s="24"/>
      <c r="AK20" s="24"/>
      <c r="AL20" s="24"/>
      <c r="AM20" s="24"/>
      <c r="AN20" s="24"/>
      <c r="AP20" s="24"/>
      <c r="AQ20" s="24"/>
      <c r="AR20" s="24">
        <v>46154.585300648148</v>
      </c>
      <c r="AS20" s="24">
        <v>46154.585300648148</v>
      </c>
      <c r="AX20" s="24"/>
      <c r="AY20" s="24"/>
      <c r="AZ20" s="24"/>
      <c r="BA20" s="24"/>
      <c r="BC20" s="24"/>
      <c r="BD20" s="24"/>
      <c r="BE20" s="24"/>
      <c r="BF20" s="24"/>
      <c r="BH20" s="24">
        <v>46154.585300648148</v>
      </c>
      <c r="BI20" s="24">
        <v>46154.585300648148</v>
      </c>
      <c r="BJ20" s="24">
        <v>46154.645395324071</v>
      </c>
      <c r="BK20" s="24">
        <v>46154.645395324071</v>
      </c>
      <c r="BL20">
        <v>1</v>
      </c>
      <c r="BM20" s="24"/>
      <c r="BN20" s="24"/>
      <c r="BO20" s="24"/>
      <c r="BP20" s="24"/>
      <c r="BR20" s="24"/>
      <c r="BS20" s="24"/>
      <c r="BT20" s="24"/>
      <c r="BU20" s="24"/>
      <c r="BW20" s="24"/>
      <c r="BX20" s="24"/>
      <c r="BY20" s="24"/>
      <c r="BZ20" s="24"/>
      <c r="CB20" s="24"/>
      <c r="CC20" s="24"/>
      <c r="CE20" s="24"/>
      <c r="CF20" s="24"/>
      <c r="CH20" s="24"/>
      <c r="CI20" s="24"/>
      <c r="CJ20" s="24"/>
      <c r="CK20" s="24"/>
      <c r="DE20" s="24"/>
      <c r="DF20" s="24"/>
      <c r="DG20" s="24"/>
      <c r="DH20" s="24"/>
      <c r="DJ20" t="s">
        <v>149</v>
      </c>
      <c r="DK20" t="s">
        <v>149</v>
      </c>
      <c r="DO20">
        <v>6</v>
      </c>
      <c r="DP20">
        <v>6</v>
      </c>
      <c r="DQ20" t="s">
        <v>1000</v>
      </c>
      <c r="DR20" t="s">
        <v>149</v>
      </c>
      <c r="DS20" s="24">
        <v>46160.384426226854</v>
      </c>
    </row>
    <row r="21" spans="1:123" x14ac:dyDescent="0.3">
      <c r="A21" t="s">
        <v>283</v>
      </c>
      <c r="D21" t="s">
        <v>223</v>
      </c>
      <c r="E21" s="24">
        <v>46141.459502314814</v>
      </c>
      <c r="G21" t="s">
        <v>102</v>
      </c>
      <c r="H21" t="s">
        <v>154</v>
      </c>
      <c r="I21" s="24"/>
      <c r="J21" s="24"/>
      <c r="K21" s="24"/>
      <c r="L21" s="24"/>
      <c r="N21" s="24"/>
      <c r="O21" s="24"/>
      <c r="P21" s="24"/>
      <c r="Q21" s="24"/>
      <c r="V21" s="24"/>
      <c r="W21" s="24"/>
      <c r="X21" s="24"/>
      <c r="Y21" s="24"/>
      <c r="AA21" s="24"/>
      <c r="AB21" s="24"/>
      <c r="AC21" s="24"/>
      <c r="AD21" s="24"/>
      <c r="AF21" s="24"/>
      <c r="AG21" s="24"/>
      <c r="AH21" s="24"/>
      <c r="AI21" s="24"/>
      <c r="AK21" s="24"/>
      <c r="AL21" s="24"/>
      <c r="AM21" s="24"/>
      <c r="AN21" s="24"/>
      <c r="AP21" s="24"/>
      <c r="AQ21" s="24"/>
      <c r="AR21" s="24"/>
      <c r="AS21" s="24"/>
      <c r="AX21" s="24"/>
      <c r="AY21" s="24"/>
      <c r="AZ21" s="24"/>
      <c r="BA21" s="24"/>
      <c r="BC21" s="24"/>
      <c r="BD21" s="24"/>
      <c r="BE21" s="24"/>
      <c r="BF21" s="24"/>
      <c r="BH21" s="24"/>
      <c r="BI21" s="24"/>
      <c r="BJ21" s="24"/>
      <c r="BK21" s="24"/>
      <c r="BM21" s="24"/>
      <c r="BN21" s="24"/>
      <c r="BO21" s="24"/>
      <c r="BP21" s="24"/>
      <c r="BR21" s="24"/>
      <c r="BS21" s="24"/>
      <c r="BT21" s="24"/>
      <c r="BU21" s="24"/>
      <c r="BW21" s="24"/>
      <c r="BX21" s="24"/>
      <c r="BY21" s="24"/>
      <c r="BZ21" s="24"/>
      <c r="CB21" s="24"/>
      <c r="CC21" s="24"/>
      <c r="CE21" s="24"/>
      <c r="CF21" s="24"/>
      <c r="CH21" s="24"/>
      <c r="CI21" s="24"/>
      <c r="CJ21" s="24"/>
      <c r="CK21" s="24"/>
      <c r="DE21" s="24"/>
      <c r="DF21" s="24"/>
      <c r="DG21" s="24"/>
      <c r="DH21" s="24"/>
      <c r="DJ21" t="s">
        <v>149</v>
      </c>
      <c r="DK21" t="s">
        <v>149</v>
      </c>
      <c r="DQ21" t="s">
        <v>1000</v>
      </c>
      <c r="DR21" t="s">
        <v>149</v>
      </c>
      <c r="DS21" s="24">
        <v>46160.384426226854</v>
      </c>
    </row>
    <row r="22" spans="1:123" x14ac:dyDescent="0.3">
      <c r="A22" t="s">
        <v>284</v>
      </c>
      <c r="D22" t="s">
        <v>223</v>
      </c>
      <c r="E22" s="24">
        <v>46141.449050925927</v>
      </c>
      <c r="G22" t="s">
        <v>150</v>
      </c>
      <c r="H22" t="s">
        <v>155</v>
      </c>
      <c r="I22" s="24"/>
      <c r="J22" s="24"/>
      <c r="K22" s="24"/>
      <c r="L22" s="24"/>
      <c r="N22" s="24"/>
      <c r="O22" s="24"/>
      <c r="P22" s="24"/>
      <c r="Q22" s="24"/>
      <c r="V22" s="24"/>
      <c r="W22" s="24"/>
      <c r="X22" s="24"/>
      <c r="Y22" s="24"/>
      <c r="AA22" s="24"/>
      <c r="AB22" s="24"/>
      <c r="AC22" s="24"/>
      <c r="AD22" s="24"/>
      <c r="AF22" s="24"/>
      <c r="AG22" s="24"/>
      <c r="AH22" s="24"/>
      <c r="AI22" s="24"/>
      <c r="AK22" s="24"/>
      <c r="AL22" s="24"/>
      <c r="AM22" s="24"/>
      <c r="AN22" s="24"/>
      <c r="AP22" s="24"/>
      <c r="AQ22" s="24"/>
      <c r="AR22" s="24">
        <v>46154.338789027781</v>
      </c>
      <c r="AS22" s="24">
        <v>46154.338789027781</v>
      </c>
      <c r="AX22" s="24"/>
      <c r="AY22" s="24"/>
      <c r="AZ22" s="24"/>
      <c r="BA22" s="24"/>
      <c r="BC22" s="24"/>
      <c r="BD22" s="24"/>
      <c r="BE22" s="24"/>
      <c r="BF22" s="24"/>
      <c r="BH22" s="24"/>
      <c r="BI22" s="24"/>
      <c r="BJ22" s="24"/>
      <c r="BK22" s="24"/>
      <c r="BM22" s="24"/>
      <c r="BN22" s="24"/>
      <c r="BO22" s="24"/>
      <c r="BP22" s="24"/>
      <c r="BR22" s="24"/>
      <c r="BS22" s="24"/>
      <c r="BT22" s="24"/>
      <c r="BU22" s="24"/>
      <c r="BW22" s="24"/>
      <c r="BX22" s="24"/>
      <c r="BY22" s="24"/>
      <c r="BZ22" s="24"/>
      <c r="CB22" s="24">
        <v>46154.338789027781</v>
      </c>
      <c r="CC22" s="24">
        <v>46154.338789027781</v>
      </c>
      <c r="CD22">
        <v>1</v>
      </c>
      <c r="CE22" s="24"/>
      <c r="CF22" s="24"/>
      <c r="CH22" s="24"/>
      <c r="CI22" s="24"/>
      <c r="CJ22" s="24"/>
      <c r="CK22" s="24"/>
      <c r="DE22" s="24"/>
      <c r="DF22" s="24"/>
      <c r="DG22" s="24"/>
      <c r="DH22" s="24"/>
      <c r="DJ22" t="s">
        <v>149</v>
      </c>
      <c r="DK22" t="s">
        <v>149</v>
      </c>
      <c r="DQ22" t="s">
        <v>1000</v>
      </c>
      <c r="DR22" t="s">
        <v>149</v>
      </c>
      <c r="DS22" s="24">
        <v>46160.384426226854</v>
      </c>
    </row>
    <row r="23" spans="1:123" x14ac:dyDescent="0.3">
      <c r="A23" t="s">
        <v>285</v>
      </c>
      <c r="D23" t="s">
        <v>223</v>
      </c>
      <c r="E23" s="24">
        <v>46140.565625000003</v>
      </c>
      <c r="G23" t="s">
        <v>107</v>
      </c>
      <c r="H23" t="s">
        <v>154</v>
      </c>
      <c r="I23" s="24"/>
      <c r="J23" s="24"/>
      <c r="K23" s="24"/>
      <c r="L23" s="24"/>
      <c r="N23" s="24"/>
      <c r="O23" s="24"/>
      <c r="P23" s="24"/>
      <c r="Q23" s="24"/>
      <c r="V23" s="24"/>
      <c r="W23" s="24"/>
      <c r="X23" s="24"/>
      <c r="Y23" s="24"/>
      <c r="AA23" s="24"/>
      <c r="AB23" s="24"/>
      <c r="AC23" s="24"/>
      <c r="AD23" s="24"/>
      <c r="AF23" s="24"/>
      <c r="AG23" s="24"/>
      <c r="AH23" s="24"/>
      <c r="AI23" s="24"/>
      <c r="AK23" s="24"/>
      <c r="AL23" s="24"/>
      <c r="AM23" s="24"/>
      <c r="AN23" s="24"/>
      <c r="AP23" s="24"/>
      <c r="AQ23" s="24"/>
      <c r="AR23" s="24">
        <v>46154.585967453706</v>
      </c>
      <c r="AS23" s="24">
        <v>46154.585967453706</v>
      </c>
      <c r="AX23" s="24"/>
      <c r="AY23" s="24"/>
      <c r="AZ23" s="24"/>
      <c r="BA23" s="24"/>
      <c r="BC23" s="24"/>
      <c r="BD23" s="24"/>
      <c r="BE23" s="24"/>
      <c r="BF23" s="24"/>
      <c r="BH23" s="24">
        <v>46154.585967453706</v>
      </c>
      <c r="BI23" s="24">
        <v>46154.585967453706</v>
      </c>
      <c r="BJ23" s="24"/>
      <c r="BK23" s="24"/>
      <c r="BL23">
        <v>1</v>
      </c>
      <c r="BM23" s="24"/>
      <c r="BN23" s="24"/>
      <c r="BO23" s="24"/>
      <c r="BP23" s="24"/>
      <c r="BR23" s="24"/>
      <c r="BS23" s="24"/>
      <c r="BT23" s="24"/>
      <c r="BU23" s="24"/>
      <c r="BW23" s="24"/>
      <c r="BX23" s="24"/>
      <c r="BY23" s="24"/>
      <c r="BZ23" s="24"/>
      <c r="CB23" s="24"/>
      <c r="CC23" s="24"/>
      <c r="CE23" s="24"/>
      <c r="CF23" s="24"/>
      <c r="CH23" s="24"/>
      <c r="CI23" s="24"/>
      <c r="CJ23" s="24"/>
      <c r="CK23" s="24"/>
      <c r="DE23" s="24"/>
      <c r="DF23" s="24"/>
      <c r="DG23" s="24"/>
      <c r="DH23" s="24"/>
      <c r="DJ23" t="s">
        <v>149</v>
      </c>
      <c r="DK23" t="s">
        <v>149</v>
      </c>
      <c r="DP23">
        <v>6</v>
      </c>
      <c r="DQ23" t="s">
        <v>1000</v>
      </c>
      <c r="DR23" t="s">
        <v>149</v>
      </c>
      <c r="DS23" s="24">
        <v>46160.384426226854</v>
      </c>
    </row>
    <row r="24" spans="1:123" x14ac:dyDescent="0.3">
      <c r="A24" t="s">
        <v>286</v>
      </c>
      <c r="D24" t="s">
        <v>223</v>
      </c>
      <c r="E24" s="24">
        <v>46140.549085648148</v>
      </c>
      <c r="G24" t="s">
        <v>89</v>
      </c>
      <c r="H24" t="s">
        <v>89</v>
      </c>
      <c r="I24" s="24"/>
      <c r="J24" s="24"/>
      <c r="K24" s="24"/>
      <c r="L24" s="24"/>
      <c r="N24" s="24"/>
      <c r="O24" s="24"/>
      <c r="P24" s="24"/>
      <c r="Q24" s="24"/>
      <c r="V24" s="24"/>
      <c r="W24" s="24"/>
      <c r="X24" s="24"/>
      <c r="Y24" s="24"/>
      <c r="AA24" s="24">
        <v>46147.639901099537</v>
      </c>
      <c r="AB24" s="24">
        <v>46147.639901099537</v>
      </c>
      <c r="AC24" s="24"/>
      <c r="AD24" s="24"/>
      <c r="AE24">
        <v>1</v>
      </c>
      <c r="AF24" s="24"/>
      <c r="AG24" s="24"/>
      <c r="AH24" s="24"/>
      <c r="AI24" s="24"/>
      <c r="AK24" s="24"/>
      <c r="AL24" s="24"/>
      <c r="AM24" s="24"/>
      <c r="AN24" s="24"/>
      <c r="AP24" s="24"/>
      <c r="AQ24" s="24"/>
      <c r="AR24" s="24">
        <v>46140.600415196757</v>
      </c>
      <c r="AS24" s="24">
        <v>46140.600415196757</v>
      </c>
      <c r="AX24" s="24"/>
      <c r="AY24" s="24"/>
      <c r="AZ24" s="24"/>
      <c r="BA24" s="24"/>
      <c r="BC24" s="24"/>
      <c r="BD24" s="24"/>
      <c r="BE24" s="24"/>
      <c r="BF24" s="24"/>
      <c r="BH24" s="24">
        <v>46140.600415196757</v>
      </c>
      <c r="BI24" s="24">
        <v>46140.600415196757</v>
      </c>
      <c r="BJ24" s="24">
        <v>46147.639901099537</v>
      </c>
      <c r="BK24" s="24">
        <v>46147.639901099537</v>
      </c>
      <c r="BL24">
        <v>1</v>
      </c>
      <c r="BM24" s="24"/>
      <c r="BN24" s="24"/>
      <c r="BO24" s="24"/>
      <c r="BP24" s="24"/>
      <c r="BR24" s="24"/>
      <c r="BS24" s="24"/>
      <c r="BT24" s="24"/>
      <c r="BU24" s="24"/>
      <c r="BW24" s="24"/>
      <c r="BX24" s="24"/>
      <c r="BY24" s="24"/>
      <c r="BZ24" s="24"/>
      <c r="CB24" s="24"/>
      <c r="CC24" s="24"/>
      <c r="CE24" s="24"/>
      <c r="CF24" s="24"/>
      <c r="CH24" s="24"/>
      <c r="CI24" s="24"/>
      <c r="CJ24" s="24"/>
      <c r="CK24" s="24"/>
      <c r="DE24" s="24"/>
      <c r="DF24" s="24"/>
      <c r="DG24" s="24"/>
      <c r="DH24" s="24"/>
      <c r="DJ24" t="s">
        <v>149</v>
      </c>
      <c r="DK24" t="s">
        <v>149</v>
      </c>
      <c r="DO24">
        <v>13</v>
      </c>
      <c r="DP24">
        <v>13</v>
      </c>
      <c r="DQ24" t="s">
        <v>1000</v>
      </c>
      <c r="DR24" t="s">
        <v>149</v>
      </c>
      <c r="DS24" s="24">
        <v>46160.384426226854</v>
      </c>
    </row>
    <row r="25" spans="1:123" x14ac:dyDescent="0.3">
      <c r="A25" t="s">
        <v>287</v>
      </c>
      <c r="D25" t="s">
        <v>223</v>
      </c>
      <c r="E25" s="24">
        <v>46140.41777777778</v>
      </c>
      <c r="G25" t="s">
        <v>90</v>
      </c>
      <c r="H25" t="s">
        <v>155</v>
      </c>
      <c r="I25" s="24"/>
      <c r="J25" s="24"/>
      <c r="K25" s="24"/>
      <c r="L25" s="24"/>
      <c r="N25" s="24"/>
      <c r="O25" s="24"/>
      <c r="P25" s="24"/>
      <c r="Q25" s="24"/>
      <c r="V25" s="24"/>
      <c r="W25" s="24"/>
      <c r="X25" s="24"/>
      <c r="Y25" s="24"/>
      <c r="AA25" s="24">
        <v>46146.405501944442</v>
      </c>
      <c r="AB25" s="24">
        <v>46146.405501944442</v>
      </c>
      <c r="AC25" s="24">
        <v>46154.411748321756</v>
      </c>
      <c r="AD25" s="24">
        <v>46154.411748321756</v>
      </c>
      <c r="AE25">
        <v>1</v>
      </c>
      <c r="AF25" s="24"/>
      <c r="AG25" s="24"/>
      <c r="AH25" s="24"/>
      <c r="AI25" s="24"/>
      <c r="AK25" s="24"/>
      <c r="AL25" s="24"/>
      <c r="AM25" s="24"/>
      <c r="AN25" s="24"/>
      <c r="AP25" s="24"/>
      <c r="AQ25" s="24"/>
      <c r="AR25" s="24">
        <v>46146.40541230324</v>
      </c>
      <c r="AS25" s="24">
        <v>46146.40541230324</v>
      </c>
      <c r="AX25" s="24"/>
      <c r="AY25" s="24"/>
      <c r="AZ25" s="24"/>
      <c r="BA25" s="24"/>
      <c r="BC25" s="24"/>
      <c r="BD25" s="24"/>
      <c r="BE25" s="24"/>
      <c r="BF25" s="24"/>
      <c r="BH25" s="24">
        <v>46146.40541230324</v>
      </c>
      <c r="BI25" s="24">
        <v>46146.40541230324</v>
      </c>
      <c r="BJ25" s="24">
        <v>46146.405501944442</v>
      </c>
      <c r="BK25" s="24">
        <v>46146.405501944442</v>
      </c>
      <c r="BL25">
        <v>1</v>
      </c>
      <c r="BM25" s="24"/>
      <c r="BN25" s="24"/>
      <c r="BO25" s="24"/>
      <c r="BP25" s="24"/>
      <c r="BR25" s="24"/>
      <c r="BS25" s="24"/>
      <c r="BT25" s="24"/>
      <c r="BU25" s="24"/>
      <c r="BW25" s="24"/>
      <c r="BX25" s="24"/>
      <c r="BY25" s="24"/>
      <c r="BZ25" s="24"/>
      <c r="CB25" s="24"/>
      <c r="CC25" s="24"/>
      <c r="CE25" s="24">
        <v>46154.411748321756</v>
      </c>
      <c r="CF25" s="24">
        <v>46154.411748321756</v>
      </c>
      <c r="CG25">
        <v>1</v>
      </c>
      <c r="CH25" s="24"/>
      <c r="CI25" s="24"/>
      <c r="CJ25" s="24"/>
      <c r="CK25" s="24"/>
      <c r="DE25" s="24"/>
      <c r="DF25" s="24"/>
      <c r="DG25" s="24"/>
      <c r="DH25" s="24"/>
      <c r="DJ25" t="s">
        <v>149</v>
      </c>
      <c r="DK25" t="s">
        <v>149</v>
      </c>
      <c r="DM25">
        <v>9</v>
      </c>
      <c r="DN25">
        <v>9</v>
      </c>
      <c r="DQ25" t="s">
        <v>1000</v>
      </c>
      <c r="DR25" t="s">
        <v>149</v>
      </c>
      <c r="DS25" s="24">
        <v>46160.384426226854</v>
      </c>
    </row>
    <row r="26" spans="1:123" x14ac:dyDescent="0.3">
      <c r="A26" t="s">
        <v>288</v>
      </c>
      <c r="D26" t="s">
        <v>223</v>
      </c>
      <c r="E26" s="24">
        <v>46140.406030092592</v>
      </c>
      <c r="G26" t="s">
        <v>90</v>
      </c>
      <c r="H26" t="s">
        <v>155</v>
      </c>
      <c r="I26" s="24"/>
      <c r="J26" s="24"/>
      <c r="K26" s="24"/>
      <c r="L26" s="24"/>
      <c r="N26" s="24"/>
      <c r="O26" s="24"/>
      <c r="P26" s="24"/>
      <c r="Q26" s="24"/>
      <c r="V26" s="24"/>
      <c r="W26" s="24"/>
      <c r="X26" s="24"/>
      <c r="Y26" s="24"/>
      <c r="AA26" s="24">
        <v>46141.326349861112</v>
      </c>
      <c r="AB26" s="24">
        <v>46141.326349861112</v>
      </c>
      <c r="AC26" s="24">
        <v>46154.42504234954</v>
      </c>
      <c r="AD26" s="24">
        <v>46154.42504234954</v>
      </c>
      <c r="AE26">
        <v>1</v>
      </c>
      <c r="AF26" s="24"/>
      <c r="AG26" s="24"/>
      <c r="AH26" s="24"/>
      <c r="AI26" s="24"/>
      <c r="AK26" s="24"/>
      <c r="AL26" s="24"/>
      <c r="AM26" s="24"/>
      <c r="AN26" s="24"/>
      <c r="AP26" s="24"/>
      <c r="AQ26" s="24"/>
      <c r="AR26" s="24">
        <v>46141.326219490744</v>
      </c>
      <c r="AS26" s="24">
        <v>46141.326219490744</v>
      </c>
      <c r="AX26" s="24"/>
      <c r="AY26" s="24"/>
      <c r="AZ26" s="24"/>
      <c r="BA26" s="24"/>
      <c r="BC26" s="24"/>
      <c r="BD26" s="24"/>
      <c r="BE26" s="24"/>
      <c r="BF26" s="24"/>
      <c r="BH26" s="24">
        <v>46141.326219490744</v>
      </c>
      <c r="BI26" s="24">
        <v>46141.326219490744</v>
      </c>
      <c r="BJ26" s="24">
        <v>46141.326349861112</v>
      </c>
      <c r="BK26" s="24">
        <v>46141.326349861112</v>
      </c>
      <c r="BL26">
        <v>1</v>
      </c>
      <c r="BM26" s="24"/>
      <c r="BN26" s="24"/>
      <c r="BO26" s="24"/>
      <c r="BP26" s="24"/>
      <c r="BR26" s="24"/>
      <c r="BS26" s="24"/>
      <c r="BT26" s="24"/>
      <c r="BU26" s="24"/>
      <c r="BW26" s="24"/>
      <c r="BX26" s="24"/>
      <c r="BY26" s="24"/>
      <c r="BZ26" s="24"/>
      <c r="CB26" s="24"/>
      <c r="CC26" s="24"/>
      <c r="CE26" s="24">
        <v>46154.42504234954</v>
      </c>
      <c r="CF26" s="24">
        <v>46154.42504234954</v>
      </c>
      <c r="CG26">
        <v>1</v>
      </c>
      <c r="CH26" s="24"/>
      <c r="CI26" s="24"/>
      <c r="CJ26" s="24"/>
      <c r="CK26" s="24"/>
      <c r="DE26" s="24"/>
      <c r="DF26" s="24"/>
      <c r="DG26" s="24"/>
      <c r="DH26" s="24"/>
      <c r="DJ26" t="s">
        <v>149</v>
      </c>
      <c r="DK26" t="s">
        <v>149</v>
      </c>
      <c r="DM26">
        <v>14</v>
      </c>
      <c r="DN26">
        <v>14</v>
      </c>
      <c r="DQ26" t="s">
        <v>1000</v>
      </c>
      <c r="DR26" t="s">
        <v>149</v>
      </c>
      <c r="DS26" s="24">
        <v>46160.384426226854</v>
      </c>
    </row>
    <row r="27" spans="1:123" x14ac:dyDescent="0.3">
      <c r="A27" t="s">
        <v>289</v>
      </c>
      <c r="D27" t="s">
        <v>223</v>
      </c>
      <c r="E27" s="24">
        <v>46139.504733796297</v>
      </c>
      <c r="G27" t="s">
        <v>150</v>
      </c>
      <c r="H27" t="s">
        <v>155</v>
      </c>
      <c r="I27" s="24"/>
      <c r="J27" s="24"/>
      <c r="K27" s="24"/>
      <c r="L27" s="24"/>
      <c r="N27" s="24"/>
      <c r="O27" s="24"/>
      <c r="P27" s="24"/>
      <c r="Q27" s="24"/>
      <c r="V27" s="24"/>
      <c r="W27" s="24"/>
      <c r="X27" s="24"/>
      <c r="Y27" s="24"/>
      <c r="AA27" s="24"/>
      <c r="AB27" s="24"/>
      <c r="AC27" s="24"/>
      <c r="AD27" s="24"/>
      <c r="AF27" s="24"/>
      <c r="AG27" s="24"/>
      <c r="AH27" s="24"/>
      <c r="AI27" s="24"/>
      <c r="AK27" s="24"/>
      <c r="AL27" s="24"/>
      <c r="AM27" s="24"/>
      <c r="AN27" s="24"/>
      <c r="AP27" s="24"/>
      <c r="AQ27" s="24"/>
      <c r="AR27" s="24">
        <v>46147.447461944445</v>
      </c>
      <c r="AS27" s="24">
        <v>46147.447461944445</v>
      </c>
      <c r="AX27" s="24"/>
      <c r="AY27" s="24"/>
      <c r="AZ27" s="24"/>
      <c r="BA27" s="24"/>
      <c r="BC27" s="24"/>
      <c r="BD27" s="24"/>
      <c r="BE27" s="24"/>
      <c r="BF27" s="24"/>
      <c r="BH27" s="24"/>
      <c r="BI27" s="24"/>
      <c r="BJ27" s="24"/>
      <c r="BK27" s="24"/>
      <c r="BM27" s="24"/>
      <c r="BN27" s="24"/>
      <c r="BO27" s="24"/>
      <c r="BP27" s="24"/>
      <c r="BR27" s="24"/>
      <c r="BS27" s="24"/>
      <c r="BT27" s="24"/>
      <c r="BU27" s="24"/>
      <c r="BW27" s="24"/>
      <c r="BX27" s="24"/>
      <c r="BY27" s="24"/>
      <c r="BZ27" s="24"/>
      <c r="CB27" s="24">
        <v>46147.447461944445</v>
      </c>
      <c r="CC27" s="24">
        <v>46147.447461944445</v>
      </c>
      <c r="CD27">
        <v>1</v>
      </c>
      <c r="CE27" s="24"/>
      <c r="CF27" s="24"/>
      <c r="CH27" s="24"/>
      <c r="CI27" s="24"/>
      <c r="CJ27" s="24"/>
      <c r="CK27" s="24"/>
      <c r="DE27" s="24"/>
      <c r="DF27" s="24"/>
      <c r="DG27" s="24"/>
      <c r="DH27" s="24"/>
      <c r="DJ27" t="s">
        <v>149</v>
      </c>
      <c r="DK27" t="s">
        <v>149</v>
      </c>
      <c r="DQ27" t="s">
        <v>1000</v>
      </c>
      <c r="DR27" t="s">
        <v>149</v>
      </c>
      <c r="DS27" s="24">
        <v>46160.384426226854</v>
      </c>
    </row>
    <row r="28" spans="1:123" x14ac:dyDescent="0.3">
      <c r="A28" t="s">
        <v>290</v>
      </c>
      <c r="D28" t="s">
        <v>225</v>
      </c>
      <c r="E28" s="24">
        <v>46138.370613425926</v>
      </c>
      <c r="G28" t="s">
        <v>90</v>
      </c>
      <c r="H28" t="s">
        <v>155</v>
      </c>
      <c r="I28" s="24"/>
      <c r="J28" s="24"/>
      <c r="K28" s="24"/>
      <c r="L28" s="24"/>
      <c r="N28" s="24"/>
      <c r="O28" s="24"/>
      <c r="P28" s="24"/>
      <c r="Q28" s="24"/>
      <c r="V28" s="24"/>
      <c r="W28" s="24"/>
      <c r="X28" s="24"/>
      <c r="Y28" s="24"/>
      <c r="AA28" s="24">
        <v>46140.405173101855</v>
      </c>
      <c r="AB28" s="24">
        <v>46140.405173101855</v>
      </c>
      <c r="AC28" s="24">
        <v>46141.360584282411</v>
      </c>
      <c r="AD28" s="24">
        <v>46141.360584282411</v>
      </c>
      <c r="AE28">
        <v>1</v>
      </c>
      <c r="AF28" s="24">
        <v>46141.360584282411</v>
      </c>
      <c r="AG28" s="24">
        <v>46141.360584282411</v>
      </c>
      <c r="AH28" s="24">
        <v>46149.634563495369</v>
      </c>
      <c r="AI28" s="24">
        <v>46149.634563495369</v>
      </c>
      <c r="AJ28">
        <v>1</v>
      </c>
      <c r="AK28" s="24">
        <v>46149.634563495369</v>
      </c>
      <c r="AL28" s="24">
        <v>46149.634563495369</v>
      </c>
      <c r="AM28" s="24">
        <v>46150.440210115739</v>
      </c>
      <c r="AN28" s="24">
        <v>46150.440210115739</v>
      </c>
      <c r="AO28">
        <v>1</v>
      </c>
      <c r="AP28" s="24"/>
      <c r="AQ28" s="24"/>
      <c r="AR28" s="24">
        <v>46138.373047905094</v>
      </c>
      <c r="AS28" s="24">
        <v>46138.373047905094</v>
      </c>
      <c r="AX28" s="24"/>
      <c r="AY28" s="24"/>
      <c r="AZ28" s="24"/>
      <c r="BA28" s="24"/>
      <c r="BC28" s="24">
        <v>46150.440370486111</v>
      </c>
      <c r="BD28" s="24">
        <v>46150.440370486111</v>
      </c>
      <c r="BE28" s="24">
        <v>46154.619404212965</v>
      </c>
      <c r="BF28" s="24">
        <v>46154.619404212965</v>
      </c>
      <c r="BG28">
        <v>1</v>
      </c>
      <c r="BH28" s="24">
        <v>46138.373047905094</v>
      </c>
      <c r="BI28" s="24">
        <v>46138.373047905094</v>
      </c>
      <c r="BJ28" s="24">
        <v>46140.405173101855</v>
      </c>
      <c r="BK28" s="24">
        <v>46140.405173101855</v>
      </c>
      <c r="BL28">
        <v>1</v>
      </c>
      <c r="BM28" s="24"/>
      <c r="BN28" s="24"/>
      <c r="BO28" s="24"/>
      <c r="BP28" s="24"/>
      <c r="BR28" s="24">
        <v>46150.440210115739</v>
      </c>
      <c r="BS28" s="24">
        <v>46150.440210115739</v>
      </c>
      <c r="BT28" s="24">
        <v>46150.440370486111</v>
      </c>
      <c r="BU28" s="24">
        <v>46150.440370486111</v>
      </c>
      <c r="BV28">
        <v>1</v>
      </c>
      <c r="BW28" s="24"/>
      <c r="BX28" s="24"/>
      <c r="BY28" s="24"/>
      <c r="BZ28" s="24"/>
      <c r="CB28" s="24"/>
      <c r="CC28" s="24"/>
      <c r="CE28" s="24">
        <v>46154.619404212965</v>
      </c>
      <c r="CF28" s="24">
        <v>46154.619404212965</v>
      </c>
      <c r="CG28">
        <v>1</v>
      </c>
      <c r="CH28" s="24"/>
      <c r="CI28" s="24"/>
      <c r="CJ28" s="24"/>
      <c r="CK28" s="24"/>
      <c r="DE28" s="24"/>
      <c r="DF28" s="24"/>
      <c r="DG28" s="24"/>
      <c r="DH28" s="24"/>
      <c r="DJ28" t="s">
        <v>149</v>
      </c>
      <c r="DK28" t="s">
        <v>149</v>
      </c>
      <c r="DM28">
        <v>17</v>
      </c>
      <c r="DN28">
        <v>15</v>
      </c>
      <c r="DQ28" t="s">
        <v>1000</v>
      </c>
      <c r="DR28" t="s">
        <v>149</v>
      </c>
      <c r="DS28" s="24">
        <v>46160.384426226854</v>
      </c>
    </row>
    <row r="29" spans="1:123" x14ac:dyDescent="0.3">
      <c r="A29" t="s">
        <v>291</v>
      </c>
      <c r="D29" t="s">
        <v>223</v>
      </c>
      <c r="E29" s="24">
        <v>46136.338217592594</v>
      </c>
      <c r="G29" t="s">
        <v>90</v>
      </c>
      <c r="H29" t="s">
        <v>155</v>
      </c>
      <c r="I29" s="24"/>
      <c r="J29" s="24"/>
      <c r="K29" s="24"/>
      <c r="L29" s="24"/>
      <c r="N29" s="24"/>
      <c r="O29" s="24"/>
      <c r="P29" s="24"/>
      <c r="Q29" s="24"/>
      <c r="V29" s="24"/>
      <c r="W29" s="24"/>
      <c r="X29" s="24"/>
      <c r="Y29" s="24"/>
      <c r="AA29" s="24">
        <v>46136.342934201391</v>
      </c>
      <c r="AB29" s="24">
        <v>46136.342934201391</v>
      </c>
      <c r="AC29" s="24">
        <v>46136.34310903935</v>
      </c>
      <c r="AD29" s="24">
        <v>46136.34310903935</v>
      </c>
      <c r="AE29">
        <v>1</v>
      </c>
      <c r="AF29" s="24"/>
      <c r="AG29" s="24"/>
      <c r="AH29" s="24"/>
      <c r="AI29" s="24"/>
      <c r="AK29" s="24">
        <v>46136.34310903935</v>
      </c>
      <c r="AL29" s="24">
        <v>46136.34310903935</v>
      </c>
      <c r="AM29" s="24">
        <v>46136.420264479166</v>
      </c>
      <c r="AN29" s="24">
        <v>46136.420264479166</v>
      </c>
      <c r="AO29">
        <v>1</v>
      </c>
      <c r="AP29" s="24"/>
      <c r="AQ29" s="24"/>
      <c r="AR29" s="24">
        <v>46136.342695590276</v>
      </c>
      <c r="AS29" s="24">
        <v>46136.342695590276</v>
      </c>
      <c r="AX29" s="24"/>
      <c r="AY29" s="24"/>
      <c r="AZ29" s="24"/>
      <c r="BA29" s="24"/>
      <c r="BC29" s="24"/>
      <c r="BD29" s="24"/>
      <c r="BE29" s="24"/>
      <c r="BF29" s="24"/>
      <c r="BH29" s="24">
        <v>46136.342695590276</v>
      </c>
      <c r="BI29" s="24">
        <v>46136.342695590276</v>
      </c>
      <c r="BJ29" s="24">
        <v>46136.342934201391</v>
      </c>
      <c r="BK29" s="24">
        <v>46136.342934201391</v>
      </c>
      <c r="BL29">
        <v>1</v>
      </c>
      <c r="BM29" s="24"/>
      <c r="BN29" s="24"/>
      <c r="BO29" s="24"/>
      <c r="BP29" s="24"/>
      <c r="BR29" s="24">
        <v>46136.420264479166</v>
      </c>
      <c r="BS29" s="24">
        <v>46136.420264479166</v>
      </c>
      <c r="BT29" s="24">
        <v>46136.420749212964</v>
      </c>
      <c r="BU29" s="24">
        <v>46136.420749212964</v>
      </c>
      <c r="BV29">
        <v>1</v>
      </c>
      <c r="BW29" s="24"/>
      <c r="BX29" s="24"/>
      <c r="BY29" s="24"/>
      <c r="BZ29" s="24"/>
      <c r="CB29" s="24"/>
      <c r="CC29" s="24"/>
      <c r="CE29" s="24">
        <v>46136.420749212964</v>
      </c>
      <c r="CF29" s="24">
        <v>46136.420749212964</v>
      </c>
      <c r="CG29">
        <v>1</v>
      </c>
      <c r="CH29" s="24"/>
      <c r="CI29" s="24"/>
      <c r="CJ29" s="24"/>
      <c r="CK29" s="24"/>
      <c r="DE29" s="24"/>
      <c r="DF29" s="24"/>
      <c r="DG29" s="24"/>
      <c r="DH29" s="24"/>
      <c r="DJ29" t="s">
        <v>149</v>
      </c>
      <c r="DK29" t="s">
        <v>149</v>
      </c>
      <c r="DM29">
        <v>1</v>
      </c>
      <c r="DN29">
        <v>1</v>
      </c>
      <c r="DQ29" t="s">
        <v>1000</v>
      </c>
      <c r="DR29" t="s">
        <v>149</v>
      </c>
      <c r="DS29" s="24">
        <v>46160.384426226854</v>
      </c>
    </row>
    <row r="30" spans="1:123" x14ac:dyDescent="0.3">
      <c r="A30" t="s">
        <v>292</v>
      </c>
      <c r="D30" t="s">
        <v>223</v>
      </c>
      <c r="E30" s="24">
        <v>46135.628020833334</v>
      </c>
      <c r="G30" t="s">
        <v>90</v>
      </c>
      <c r="H30" t="s">
        <v>155</v>
      </c>
      <c r="I30" s="24"/>
      <c r="J30" s="24"/>
      <c r="K30" s="24"/>
      <c r="L30" s="24"/>
      <c r="N30" s="24"/>
      <c r="O30" s="24"/>
      <c r="P30" s="24"/>
      <c r="Q30" s="24"/>
      <c r="V30" s="24"/>
      <c r="W30" s="24"/>
      <c r="X30" s="24"/>
      <c r="Y30" s="24"/>
      <c r="AA30" s="24">
        <v>46136.545868402776</v>
      </c>
      <c r="AB30" s="24">
        <v>46135.629610162039</v>
      </c>
      <c r="AC30" s="24">
        <v>46136.41331408565</v>
      </c>
      <c r="AD30" s="24">
        <v>46136.54608497685</v>
      </c>
      <c r="AE30">
        <v>4</v>
      </c>
      <c r="AF30" s="24"/>
      <c r="AG30" s="24"/>
      <c r="AH30" s="24"/>
      <c r="AI30" s="24"/>
      <c r="AK30" s="24"/>
      <c r="AL30" s="24"/>
      <c r="AM30" s="24"/>
      <c r="AN30" s="24"/>
      <c r="AP30" s="24"/>
      <c r="AQ30" s="24"/>
      <c r="AR30" s="24">
        <v>46135.629574687497</v>
      </c>
      <c r="AS30" s="24">
        <v>46135.629574687497</v>
      </c>
      <c r="AX30" s="24"/>
      <c r="AY30" s="24"/>
      <c r="AZ30" s="24"/>
      <c r="BA30" s="24"/>
      <c r="BC30" s="24"/>
      <c r="BD30" s="24"/>
      <c r="BE30" s="24"/>
      <c r="BF30" s="24"/>
      <c r="BH30" s="24">
        <v>46135.629574687497</v>
      </c>
      <c r="BI30" s="24">
        <v>46135.629574687497</v>
      </c>
      <c r="BJ30" s="24">
        <v>46135.629610162039</v>
      </c>
      <c r="BK30" s="24">
        <v>46135.629610162039</v>
      </c>
      <c r="BL30">
        <v>1</v>
      </c>
      <c r="BM30" s="24">
        <v>46136.545733275459</v>
      </c>
      <c r="BN30" s="24">
        <v>46136.41331408565</v>
      </c>
      <c r="BO30" s="24">
        <v>46136.413447083331</v>
      </c>
      <c r="BP30" s="24">
        <v>46136.545868402776</v>
      </c>
      <c r="BQ30">
        <v>3</v>
      </c>
      <c r="BR30" s="24"/>
      <c r="BS30" s="24"/>
      <c r="BT30" s="24"/>
      <c r="BU30" s="24"/>
      <c r="BW30" s="24"/>
      <c r="BX30" s="24"/>
      <c r="BY30" s="24"/>
      <c r="BZ30" s="24"/>
      <c r="CB30" s="24"/>
      <c r="CC30" s="24"/>
      <c r="CE30" s="24">
        <v>46136.54608497685</v>
      </c>
      <c r="CF30" s="24">
        <v>46136.54608497685</v>
      </c>
      <c r="CG30">
        <v>1</v>
      </c>
      <c r="CH30" s="24"/>
      <c r="CI30" s="24"/>
      <c r="CJ30" s="24"/>
      <c r="CK30" s="24"/>
      <c r="DE30" s="24"/>
      <c r="DF30" s="24"/>
      <c r="DG30" s="24"/>
      <c r="DH30" s="24"/>
      <c r="DJ30" t="s">
        <v>149</v>
      </c>
      <c r="DK30" t="s">
        <v>149</v>
      </c>
      <c r="DM30">
        <v>1</v>
      </c>
      <c r="DN30">
        <v>1</v>
      </c>
      <c r="DQ30" t="s">
        <v>1000</v>
      </c>
      <c r="DR30" t="s">
        <v>149</v>
      </c>
      <c r="DS30" s="24">
        <v>46160.384426226854</v>
      </c>
    </row>
    <row r="31" spans="1:123" x14ac:dyDescent="0.3">
      <c r="A31" t="s">
        <v>293</v>
      </c>
      <c r="D31" t="s">
        <v>223</v>
      </c>
      <c r="E31" s="24">
        <v>46135.456296296295</v>
      </c>
      <c r="G31" t="s">
        <v>90</v>
      </c>
      <c r="H31" t="s">
        <v>155</v>
      </c>
      <c r="I31" s="24"/>
      <c r="J31" s="24"/>
      <c r="K31" s="24"/>
      <c r="L31" s="24"/>
      <c r="N31" s="24"/>
      <c r="O31" s="24"/>
      <c r="P31" s="24"/>
      <c r="Q31" s="24"/>
      <c r="V31" s="24"/>
      <c r="W31" s="24"/>
      <c r="X31" s="24"/>
      <c r="Y31" s="24"/>
      <c r="AA31" s="24">
        <v>46146.570897048608</v>
      </c>
      <c r="AB31" s="24">
        <v>46146.570897048608</v>
      </c>
      <c r="AC31" s="24">
        <v>46147.325299201388</v>
      </c>
      <c r="AD31" s="24">
        <v>46147.325299201388</v>
      </c>
      <c r="AE31">
        <v>1</v>
      </c>
      <c r="AF31" s="24">
        <v>46147.406982615743</v>
      </c>
      <c r="AG31" s="24">
        <v>46147.406982615743</v>
      </c>
      <c r="AH31" s="24">
        <v>46147.407061377315</v>
      </c>
      <c r="AI31" s="24">
        <v>46147.407061377315</v>
      </c>
      <c r="AJ31">
        <v>1</v>
      </c>
      <c r="AK31" s="24"/>
      <c r="AL31" s="24"/>
      <c r="AM31" s="24"/>
      <c r="AN31" s="24"/>
      <c r="AP31" s="24"/>
      <c r="AQ31" s="24"/>
      <c r="AR31" s="24">
        <v>46146.57071472222</v>
      </c>
      <c r="AS31" s="24">
        <v>46146.57071472222</v>
      </c>
      <c r="AX31" s="24"/>
      <c r="AY31" s="24"/>
      <c r="AZ31" s="24"/>
      <c r="BA31" s="24"/>
      <c r="BC31" s="24"/>
      <c r="BD31" s="24"/>
      <c r="BE31" s="24"/>
      <c r="BF31" s="24"/>
      <c r="BH31" s="24">
        <v>46146.57071472222</v>
      </c>
      <c r="BI31" s="24">
        <v>46146.57071472222</v>
      </c>
      <c r="BJ31" s="24">
        <v>46146.570897048608</v>
      </c>
      <c r="BK31" s="24">
        <v>46146.570897048608</v>
      </c>
      <c r="BL31">
        <v>1</v>
      </c>
      <c r="BM31" s="24">
        <v>46147.325299201388</v>
      </c>
      <c r="BN31" s="24">
        <v>46147.325299201388</v>
      </c>
      <c r="BO31" s="24">
        <v>46147.406982615743</v>
      </c>
      <c r="BP31" s="24">
        <v>46147.406982615743</v>
      </c>
      <c r="BQ31">
        <v>1</v>
      </c>
      <c r="BR31" s="24"/>
      <c r="BS31" s="24"/>
      <c r="BT31" s="24"/>
      <c r="BU31" s="24"/>
      <c r="BW31" s="24"/>
      <c r="BX31" s="24"/>
      <c r="BY31" s="24"/>
      <c r="BZ31" s="24"/>
      <c r="CB31" s="24"/>
      <c r="CC31" s="24"/>
      <c r="CE31" s="24">
        <v>46147.407061377315</v>
      </c>
      <c r="CF31" s="24">
        <v>46147.407061377315</v>
      </c>
      <c r="CG31">
        <v>1</v>
      </c>
      <c r="CH31" s="24"/>
      <c r="CI31" s="24"/>
      <c r="CJ31" s="24"/>
      <c r="CK31" s="24"/>
      <c r="DE31" s="24"/>
      <c r="DF31" s="24"/>
      <c r="DG31" s="24"/>
      <c r="DH31" s="24"/>
      <c r="DJ31" t="s">
        <v>149</v>
      </c>
      <c r="DK31" t="s">
        <v>149</v>
      </c>
      <c r="DM31">
        <v>1</v>
      </c>
      <c r="DN31">
        <v>1</v>
      </c>
      <c r="DQ31" t="s">
        <v>1000</v>
      </c>
      <c r="DR31" t="s">
        <v>149</v>
      </c>
      <c r="DS31" s="24">
        <v>46160.384426226854</v>
      </c>
    </row>
    <row r="32" spans="1:123" x14ac:dyDescent="0.3">
      <c r="A32" t="s">
        <v>294</v>
      </c>
      <c r="D32" t="s">
        <v>223</v>
      </c>
      <c r="E32" s="24">
        <v>46135.340601851851</v>
      </c>
      <c r="G32" t="s">
        <v>90</v>
      </c>
      <c r="H32" t="s">
        <v>155</v>
      </c>
      <c r="I32" s="24"/>
      <c r="J32" s="24"/>
      <c r="K32" s="24"/>
      <c r="L32" s="24"/>
      <c r="N32" s="24"/>
      <c r="O32" s="24"/>
      <c r="P32" s="24"/>
      <c r="Q32" s="24"/>
      <c r="V32" s="24"/>
      <c r="W32" s="24"/>
      <c r="X32" s="24"/>
      <c r="Y32" s="24"/>
      <c r="AA32" s="24">
        <v>46135.345981076389</v>
      </c>
      <c r="AB32" s="24">
        <v>46135.345981076389</v>
      </c>
      <c r="AC32" s="24">
        <v>46140.404752303242</v>
      </c>
      <c r="AD32" s="24">
        <v>46140.404752303242</v>
      </c>
      <c r="AE32">
        <v>1</v>
      </c>
      <c r="AF32" s="24"/>
      <c r="AG32" s="24"/>
      <c r="AH32" s="24"/>
      <c r="AI32" s="24"/>
      <c r="AK32" s="24"/>
      <c r="AL32" s="24"/>
      <c r="AM32" s="24"/>
      <c r="AN32" s="24"/>
      <c r="AP32" s="24"/>
      <c r="AQ32" s="24"/>
      <c r="AR32" s="24">
        <v>46135.345907499999</v>
      </c>
      <c r="AS32" s="24">
        <v>46135.345907499999</v>
      </c>
      <c r="AX32" s="24"/>
      <c r="AY32" s="24"/>
      <c r="AZ32" s="24"/>
      <c r="BA32" s="24"/>
      <c r="BC32" s="24"/>
      <c r="BD32" s="24"/>
      <c r="BE32" s="24"/>
      <c r="BF32" s="24"/>
      <c r="BH32" s="24">
        <v>46135.345907499999</v>
      </c>
      <c r="BI32" s="24">
        <v>46135.345907499999</v>
      </c>
      <c r="BJ32" s="24">
        <v>46135.345981076389</v>
      </c>
      <c r="BK32" s="24">
        <v>46135.345981076389</v>
      </c>
      <c r="BL32">
        <v>1</v>
      </c>
      <c r="BM32" s="24"/>
      <c r="BN32" s="24"/>
      <c r="BO32" s="24"/>
      <c r="BP32" s="24"/>
      <c r="BR32" s="24"/>
      <c r="BS32" s="24"/>
      <c r="BT32" s="24"/>
      <c r="BU32" s="24"/>
      <c r="BW32" s="24"/>
      <c r="BX32" s="24"/>
      <c r="BY32" s="24"/>
      <c r="BZ32" s="24"/>
      <c r="CB32" s="24"/>
      <c r="CC32" s="24"/>
      <c r="CE32" s="24">
        <v>46140.404752303242</v>
      </c>
      <c r="CF32" s="24">
        <v>46140.404752303242</v>
      </c>
      <c r="CG32">
        <v>1</v>
      </c>
      <c r="CH32" s="24"/>
      <c r="CI32" s="24"/>
      <c r="CJ32" s="24"/>
      <c r="CK32" s="24"/>
      <c r="DE32" s="24"/>
      <c r="DF32" s="24"/>
      <c r="DG32" s="24"/>
      <c r="DH32" s="24"/>
      <c r="DJ32" t="s">
        <v>149</v>
      </c>
      <c r="DK32" t="s">
        <v>149</v>
      </c>
      <c r="DM32">
        <v>6</v>
      </c>
      <c r="DN32">
        <v>6</v>
      </c>
      <c r="DQ32" t="s">
        <v>1000</v>
      </c>
      <c r="DR32" t="s">
        <v>149</v>
      </c>
      <c r="DS32" s="24">
        <v>46160.384426226854</v>
      </c>
    </row>
    <row r="33" spans="1:123" x14ac:dyDescent="0.3">
      <c r="A33" t="s">
        <v>295</v>
      </c>
      <c r="D33" t="s">
        <v>223</v>
      </c>
      <c r="E33" s="24">
        <v>46134.694062499999</v>
      </c>
      <c r="G33" t="s">
        <v>102</v>
      </c>
      <c r="H33" t="s">
        <v>154</v>
      </c>
      <c r="I33" s="24"/>
      <c r="J33" s="24"/>
      <c r="K33" s="24"/>
      <c r="L33" s="24"/>
      <c r="N33" s="24"/>
      <c r="O33" s="24"/>
      <c r="P33" s="24"/>
      <c r="Q33" s="24"/>
      <c r="V33" s="24"/>
      <c r="W33" s="24"/>
      <c r="X33" s="24"/>
      <c r="Y33" s="24"/>
      <c r="AA33" s="24"/>
      <c r="AB33" s="24"/>
      <c r="AC33" s="24"/>
      <c r="AD33" s="24"/>
      <c r="AF33" s="24"/>
      <c r="AG33" s="24"/>
      <c r="AH33" s="24"/>
      <c r="AI33" s="24"/>
      <c r="AK33" s="24"/>
      <c r="AL33" s="24"/>
      <c r="AM33" s="24"/>
      <c r="AN33" s="24"/>
      <c r="AP33" s="24"/>
      <c r="AQ33" s="24"/>
      <c r="AR33" s="24"/>
      <c r="AS33" s="24"/>
      <c r="AX33" s="24"/>
      <c r="AY33" s="24"/>
      <c r="AZ33" s="24"/>
      <c r="BA33" s="24"/>
      <c r="BC33" s="24"/>
      <c r="BD33" s="24"/>
      <c r="BE33" s="24"/>
      <c r="BF33" s="24"/>
      <c r="BH33" s="24"/>
      <c r="BI33" s="24"/>
      <c r="BJ33" s="24"/>
      <c r="BK33" s="24"/>
      <c r="BM33" s="24"/>
      <c r="BN33" s="24"/>
      <c r="BO33" s="24"/>
      <c r="BP33" s="24"/>
      <c r="BR33" s="24"/>
      <c r="BS33" s="24"/>
      <c r="BT33" s="24"/>
      <c r="BU33" s="24"/>
      <c r="BW33" s="24"/>
      <c r="BX33" s="24"/>
      <c r="BY33" s="24"/>
      <c r="BZ33" s="24"/>
      <c r="CB33" s="24"/>
      <c r="CC33" s="24"/>
      <c r="CE33" s="24"/>
      <c r="CF33" s="24"/>
      <c r="CH33" s="24"/>
      <c r="CI33" s="24"/>
      <c r="CJ33" s="24"/>
      <c r="CK33" s="24"/>
      <c r="DE33" s="24"/>
      <c r="DF33" s="24"/>
      <c r="DG33" s="24"/>
      <c r="DH33" s="24"/>
      <c r="DJ33" t="s">
        <v>149</v>
      </c>
      <c r="DK33" t="s">
        <v>149</v>
      </c>
      <c r="DQ33" t="s">
        <v>1000</v>
      </c>
      <c r="DR33" t="s">
        <v>149</v>
      </c>
      <c r="DS33" s="24">
        <v>46160.384426226854</v>
      </c>
    </row>
    <row r="34" spans="1:123" x14ac:dyDescent="0.3">
      <c r="A34" t="s">
        <v>296</v>
      </c>
      <c r="D34" t="s">
        <v>223</v>
      </c>
      <c r="E34" s="24">
        <v>46134.347881944443</v>
      </c>
      <c r="G34" t="s">
        <v>107</v>
      </c>
      <c r="H34" t="s">
        <v>154</v>
      </c>
      <c r="I34" s="24">
        <v>46139.67798270833</v>
      </c>
      <c r="J34" s="24">
        <v>46139.67798270833</v>
      </c>
      <c r="K34" s="24">
        <v>46139.678083437502</v>
      </c>
      <c r="L34" s="24">
        <v>46139.678083437502</v>
      </c>
      <c r="M34">
        <v>1</v>
      </c>
      <c r="N34" s="24"/>
      <c r="O34" s="24"/>
      <c r="P34" s="24"/>
      <c r="Q34" s="24"/>
      <c r="V34" s="24"/>
      <c r="W34" s="24"/>
      <c r="X34" s="24"/>
      <c r="Y34" s="24"/>
      <c r="AA34" s="24"/>
      <c r="AB34" s="24"/>
      <c r="AC34" s="24"/>
      <c r="AD34" s="24"/>
      <c r="AF34" s="24"/>
      <c r="AG34" s="24"/>
      <c r="AH34" s="24"/>
      <c r="AI34" s="24"/>
      <c r="AK34" s="24"/>
      <c r="AL34" s="24"/>
      <c r="AM34" s="24"/>
      <c r="AN34" s="24"/>
      <c r="AP34" s="24"/>
      <c r="AQ34" s="24"/>
      <c r="AR34" s="24">
        <v>46139.66531236111</v>
      </c>
      <c r="AS34" s="24">
        <v>46139.66531236111</v>
      </c>
      <c r="AX34" s="24"/>
      <c r="AY34" s="24"/>
      <c r="AZ34" s="24"/>
      <c r="BA34" s="24"/>
      <c r="BC34" s="24"/>
      <c r="BD34" s="24"/>
      <c r="BE34" s="24"/>
      <c r="BF34" s="24"/>
      <c r="BH34" s="24">
        <v>46139.678145694445</v>
      </c>
      <c r="BI34" s="24">
        <v>46139.678145694445</v>
      </c>
      <c r="BJ34" s="24"/>
      <c r="BK34" s="24"/>
      <c r="BL34">
        <v>1</v>
      </c>
      <c r="BM34" s="24"/>
      <c r="BN34" s="24"/>
      <c r="BO34" s="24"/>
      <c r="BP34" s="24"/>
      <c r="BR34" s="24"/>
      <c r="BS34" s="24"/>
      <c r="BT34" s="24"/>
      <c r="BU34" s="24"/>
      <c r="BW34" s="24">
        <v>46139.678083437502</v>
      </c>
      <c r="BX34" s="24">
        <v>46139.678083437502</v>
      </c>
      <c r="BY34" s="24">
        <v>46139.678145694445</v>
      </c>
      <c r="BZ34" s="24">
        <v>46139.678145694445</v>
      </c>
      <c r="CA34">
        <v>1</v>
      </c>
      <c r="CB34" s="24">
        <v>46139.66531236111</v>
      </c>
      <c r="CC34" s="24">
        <v>46139.66531236111</v>
      </c>
      <c r="CD34">
        <v>1</v>
      </c>
      <c r="CE34" s="24"/>
      <c r="CF34" s="24"/>
      <c r="CH34" s="24"/>
      <c r="CI34" s="24"/>
      <c r="CJ34" s="24"/>
      <c r="CK34" s="24"/>
      <c r="DE34" s="24"/>
      <c r="DF34" s="24"/>
      <c r="DG34" s="24"/>
      <c r="DH34" s="24"/>
      <c r="DJ34" t="s">
        <v>149</v>
      </c>
      <c r="DK34" t="s">
        <v>149</v>
      </c>
      <c r="DP34">
        <v>21</v>
      </c>
      <c r="DQ34" t="s">
        <v>1000</v>
      </c>
      <c r="DR34" t="s">
        <v>149</v>
      </c>
      <c r="DS34" s="24">
        <v>46160.384426226854</v>
      </c>
    </row>
    <row r="35" spans="1:123" x14ac:dyDescent="0.3">
      <c r="A35" t="s">
        <v>297</v>
      </c>
      <c r="D35" t="s">
        <v>223</v>
      </c>
      <c r="E35" s="24">
        <v>46133.569305555553</v>
      </c>
      <c r="G35" t="s">
        <v>102</v>
      </c>
      <c r="H35" t="s">
        <v>154</v>
      </c>
      <c r="I35" s="24"/>
      <c r="J35" s="24"/>
      <c r="K35" s="24"/>
      <c r="L35" s="24"/>
      <c r="N35" s="24"/>
      <c r="O35" s="24"/>
      <c r="P35" s="24"/>
      <c r="Q35" s="24"/>
      <c r="V35" s="24"/>
      <c r="W35" s="24"/>
      <c r="X35" s="24"/>
      <c r="Y35" s="24"/>
      <c r="AA35" s="24"/>
      <c r="AB35" s="24"/>
      <c r="AC35" s="24"/>
      <c r="AD35" s="24"/>
      <c r="AF35" s="24"/>
      <c r="AG35" s="24"/>
      <c r="AH35" s="24"/>
      <c r="AI35" s="24"/>
      <c r="AK35" s="24"/>
      <c r="AL35" s="24"/>
      <c r="AM35" s="24"/>
      <c r="AN35" s="24"/>
      <c r="AP35" s="24"/>
      <c r="AQ35" s="24"/>
      <c r="AR35" s="24"/>
      <c r="AS35" s="24"/>
      <c r="AX35" s="24"/>
      <c r="AY35" s="24"/>
      <c r="AZ35" s="24"/>
      <c r="BA35" s="24"/>
      <c r="BC35" s="24"/>
      <c r="BD35" s="24"/>
      <c r="BE35" s="24"/>
      <c r="BF35" s="24"/>
      <c r="BH35" s="24"/>
      <c r="BI35" s="24"/>
      <c r="BJ35" s="24"/>
      <c r="BK35" s="24"/>
      <c r="BM35" s="24"/>
      <c r="BN35" s="24"/>
      <c r="BO35" s="24"/>
      <c r="BP35" s="24"/>
      <c r="BR35" s="24"/>
      <c r="BS35" s="24"/>
      <c r="BT35" s="24"/>
      <c r="BU35" s="24"/>
      <c r="BW35" s="24"/>
      <c r="BX35" s="24"/>
      <c r="BY35" s="24"/>
      <c r="BZ35" s="24"/>
      <c r="CB35" s="24"/>
      <c r="CC35" s="24"/>
      <c r="CE35" s="24"/>
      <c r="CF35" s="24"/>
      <c r="CH35" s="24"/>
      <c r="CI35" s="24"/>
      <c r="CJ35" s="24"/>
      <c r="CK35" s="24"/>
      <c r="DE35" s="24"/>
      <c r="DF35" s="24"/>
      <c r="DG35" s="24"/>
      <c r="DH35" s="24"/>
      <c r="DJ35" t="s">
        <v>149</v>
      </c>
      <c r="DK35" t="s">
        <v>149</v>
      </c>
      <c r="DQ35" t="s">
        <v>1000</v>
      </c>
      <c r="DR35" t="s">
        <v>149</v>
      </c>
      <c r="DS35" s="24">
        <v>46160.384426226854</v>
      </c>
    </row>
    <row r="36" spans="1:123" x14ac:dyDescent="0.3">
      <c r="A36" t="s">
        <v>298</v>
      </c>
      <c r="D36" t="s">
        <v>225</v>
      </c>
      <c r="E36" s="24">
        <v>46133.380856481483</v>
      </c>
      <c r="G36" t="s">
        <v>150</v>
      </c>
      <c r="H36" t="s">
        <v>155</v>
      </c>
      <c r="I36" s="24"/>
      <c r="J36" s="24"/>
      <c r="K36" s="24"/>
      <c r="L36" s="24"/>
      <c r="N36" s="24"/>
      <c r="O36" s="24"/>
      <c r="P36" s="24"/>
      <c r="Q36" s="24"/>
      <c r="V36" s="24"/>
      <c r="W36" s="24"/>
      <c r="X36" s="24"/>
      <c r="Y36" s="24"/>
      <c r="AA36" s="24"/>
      <c r="AB36" s="24"/>
      <c r="AC36" s="24"/>
      <c r="AD36" s="24"/>
      <c r="AF36" s="24"/>
      <c r="AG36" s="24"/>
      <c r="AH36" s="24"/>
      <c r="AI36" s="24"/>
      <c r="AK36" s="24"/>
      <c r="AL36" s="24"/>
      <c r="AM36" s="24"/>
      <c r="AN36" s="24"/>
      <c r="AP36" s="24"/>
      <c r="AQ36" s="24"/>
      <c r="AR36" s="24">
        <v>46147.446897233793</v>
      </c>
      <c r="AS36" s="24">
        <v>46147.446897233793</v>
      </c>
      <c r="AX36" s="24"/>
      <c r="AY36" s="24"/>
      <c r="AZ36" s="24"/>
      <c r="BA36" s="24"/>
      <c r="BC36" s="24"/>
      <c r="BD36" s="24"/>
      <c r="BE36" s="24"/>
      <c r="BF36" s="24"/>
      <c r="BH36" s="24"/>
      <c r="BI36" s="24"/>
      <c r="BJ36" s="24"/>
      <c r="BK36" s="24"/>
      <c r="BM36" s="24"/>
      <c r="BN36" s="24"/>
      <c r="BO36" s="24"/>
      <c r="BP36" s="24"/>
      <c r="BR36" s="24"/>
      <c r="BS36" s="24"/>
      <c r="BT36" s="24"/>
      <c r="BU36" s="24"/>
      <c r="BW36" s="24"/>
      <c r="BX36" s="24"/>
      <c r="BY36" s="24"/>
      <c r="BZ36" s="24"/>
      <c r="CB36" s="24">
        <v>46147.446897233793</v>
      </c>
      <c r="CC36" s="24">
        <v>46147.446897233793</v>
      </c>
      <c r="CD36">
        <v>1</v>
      </c>
      <c r="CE36" s="24"/>
      <c r="CF36" s="24"/>
      <c r="CH36" s="24"/>
      <c r="CI36" s="24"/>
      <c r="CJ36" s="24"/>
      <c r="CK36" s="24"/>
      <c r="DE36" s="24"/>
      <c r="DF36" s="24"/>
      <c r="DG36" s="24"/>
      <c r="DH36" s="24"/>
      <c r="DJ36" t="s">
        <v>149</v>
      </c>
      <c r="DK36" t="s">
        <v>149</v>
      </c>
      <c r="DQ36" t="s">
        <v>1000</v>
      </c>
      <c r="DR36" t="s">
        <v>149</v>
      </c>
      <c r="DS36" s="24">
        <v>46160.384426226854</v>
      </c>
    </row>
    <row r="37" spans="1:123" x14ac:dyDescent="0.3">
      <c r="A37" t="s">
        <v>299</v>
      </c>
      <c r="D37" t="s">
        <v>223</v>
      </c>
      <c r="E37" s="24">
        <v>46129.437384259261</v>
      </c>
      <c r="G37" t="s">
        <v>102</v>
      </c>
      <c r="H37" t="s">
        <v>154</v>
      </c>
      <c r="I37" s="24"/>
      <c r="J37" s="24"/>
      <c r="K37" s="24"/>
      <c r="L37" s="24"/>
      <c r="N37" s="24"/>
      <c r="O37" s="24"/>
      <c r="P37" s="24"/>
      <c r="Q37" s="24"/>
      <c r="V37" s="24"/>
      <c r="W37" s="24"/>
      <c r="X37" s="24"/>
      <c r="Y37" s="24"/>
      <c r="AA37" s="24"/>
      <c r="AB37" s="24"/>
      <c r="AC37" s="24"/>
      <c r="AD37" s="24"/>
      <c r="AF37" s="24"/>
      <c r="AG37" s="24"/>
      <c r="AH37" s="24"/>
      <c r="AI37" s="24"/>
      <c r="AK37" s="24"/>
      <c r="AL37" s="24"/>
      <c r="AM37" s="24"/>
      <c r="AN37" s="24"/>
      <c r="AP37" s="24"/>
      <c r="AQ37" s="24"/>
      <c r="AR37" s="24"/>
      <c r="AS37" s="24"/>
      <c r="AX37" s="24"/>
      <c r="AY37" s="24"/>
      <c r="AZ37" s="24"/>
      <c r="BA37" s="24"/>
      <c r="BC37" s="24"/>
      <c r="BD37" s="24"/>
      <c r="BE37" s="24"/>
      <c r="BF37" s="24"/>
      <c r="BH37" s="24"/>
      <c r="BI37" s="24"/>
      <c r="BJ37" s="24"/>
      <c r="BK37" s="24"/>
      <c r="BM37" s="24"/>
      <c r="BN37" s="24"/>
      <c r="BO37" s="24"/>
      <c r="BP37" s="24"/>
      <c r="BR37" s="24"/>
      <c r="BS37" s="24"/>
      <c r="BT37" s="24"/>
      <c r="BU37" s="24"/>
      <c r="BW37" s="24"/>
      <c r="BX37" s="24"/>
      <c r="BY37" s="24"/>
      <c r="BZ37" s="24"/>
      <c r="CB37" s="24"/>
      <c r="CC37" s="24"/>
      <c r="CE37" s="24"/>
      <c r="CF37" s="24"/>
      <c r="CH37" s="24"/>
      <c r="CI37" s="24"/>
      <c r="CJ37" s="24"/>
      <c r="CK37" s="24"/>
      <c r="DE37" s="24"/>
      <c r="DF37" s="24"/>
      <c r="DG37" s="24"/>
      <c r="DH37" s="24"/>
      <c r="DJ37" t="s">
        <v>149</v>
      </c>
      <c r="DK37" t="s">
        <v>149</v>
      </c>
      <c r="DQ37" t="s">
        <v>1000</v>
      </c>
      <c r="DR37" t="s">
        <v>149</v>
      </c>
      <c r="DS37" s="24">
        <v>46160.384426226854</v>
      </c>
    </row>
    <row r="38" spans="1:123" x14ac:dyDescent="0.3">
      <c r="A38" t="s">
        <v>300</v>
      </c>
      <c r="D38" t="s">
        <v>223</v>
      </c>
      <c r="E38" s="24">
        <v>46129.414918981478</v>
      </c>
      <c r="G38" t="s">
        <v>102</v>
      </c>
      <c r="H38" t="s">
        <v>154</v>
      </c>
      <c r="I38" s="24"/>
      <c r="J38" s="24"/>
      <c r="K38" s="24"/>
      <c r="L38" s="24"/>
      <c r="N38" s="24"/>
      <c r="O38" s="24"/>
      <c r="P38" s="24"/>
      <c r="Q38" s="24"/>
      <c r="V38" s="24"/>
      <c r="W38" s="24"/>
      <c r="X38" s="24"/>
      <c r="Y38" s="24"/>
      <c r="AA38" s="24"/>
      <c r="AB38" s="24"/>
      <c r="AC38" s="24"/>
      <c r="AD38" s="24"/>
      <c r="AF38" s="24"/>
      <c r="AG38" s="24"/>
      <c r="AH38" s="24"/>
      <c r="AI38" s="24"/>
      <c r="AK38" s="24"/>
      <c r="AL38" s="24"/>
      <c r="AM38" s="24"/>
      <c r="AN38" s="24"/>
      <c r="AP38" s="24"/>
      <c r="AQ38" s="24"/>
      <c r="AR38" s="24"/>
      <c r="AS38" s="24"/>
      <c r="AX38" s="24"/>
      <c r="AY38" s="24"/>
      <c r="AZ38" s="24"/>
      <c r="BA38" s="24"/>
      <c r="BC38" s="24"/>
      <c r="BD38" s="24"/>
      <c r="BE38" s="24"/>
      <c r="BF38" s="24"/>
      <c r="BH38" s="24"/>
      <c r="BI38" s="24"/>
      <c r="BJ38" s="24"/>
      <c r="BK38" s="24"/>
      <c r="BM38" s="24"/>
      <c r="BN38" s="24"/>
      <c r="BO38" s="24"/>
      <c r="BP38" s="24"/>
      <c r="BR38" s="24"/>
      <c r="BS38" s="24"/>
      <c r="BT38" s="24"/>
      <c r="BU38" s="24"/>
      <c r="BW38" s="24"/>
      <c r="BX38" s="24"/>
      <c r="BY38" s="24"/>
      <c r="BZ38" s="24"/>
      <c r="CB38" s="24"/>
      <c r="CC38" s="24"/>
      <c r="CE38" s="24"/>
      <c r="CF38" s="24"/>
      <c r="CH38" s="24"/>
      <c r="CI38" s="24"/>
      <c r="CJ38" s="24"/>
      <c r="CK38" s="24"/>
      <c r="DE38" s="24"/>
      <c r="DF38" s="24"/>
      <c r="DG38" s="24"/>
      <c r="DH38" s="24"/>
      <c r="DJ38" t="s">
        <v>149</v>
      </c>
      <c r="DK38" t="s">
        <v>149</v>
      </c>
      <c r="DQ38" t="s">
        <v>1000</v>
      </c>
      <c r="DR38" t="s">
        <v>149</v>
      </c>
      <c r="DS38" s="24">
        <v>46160.384426226854</v>
      </c>
    </row>
    <row r="39" spans="1:123" x14ac:dyDescent="0.3">
      <c r="A39" t="s">
        <v>301</v>
      </c>
      <c r="D39" t="s">
        <v>223</v>
      </c>
      <c r="E39" s="24">
        <v>46129.397835648146</v>
      </c>
      <c r="G39" t="s">
        <v>102</v>
      </c>
      <c r="H39" t="s">
        <v>154</v>
      </c>
      <c r="I39" s="24"/>
      <c r="J39" s="24"/>
      <c r="K39" s="24"/>
      <c r="L39" s="24"/>
      <c r="N39" s="24"/>
      <c r="O39" s="24"/>
      <c r="P39" s="24"/>
      <c r="Q39" s="24"/>
      <c r="V39" s="24"/>
      <c r="W39" s="24"/>
      <c r="X39" s="24"/>
      <c r="Y39" s="24"/>
      <c r="AA39" s="24"/>
      <c r="AB39" s="24"/>
      <c r="AC39" s="24"/>
      <c r="AD39" s="24"/>
      <c r="AF39" s="24"/>
      <c r="AG39" s="24"/>
      <c r="AH39" s="24"/>
      <c r="AI39" s="24"/>
      <c r="AK39" s="24"/>
      <c r="AL39" s="24"/>
      <c r="AM39" s="24"/>
      <c r="AN39" s="24"/>
      <c r="AP39" s="24"/>
      <c r="AQ39" s="24"/>
      <c r="AR39" s="24"/>
      <c r="AS39" s="24"/>
      <c r="AX39" s="24"/>
      <c r="AY39" s="24"/>
      <c r="AZ39" s="24"/>
      <c r="BA39" s="24"/>
      <c r="BC39" s="24"/>
      <c r="BD39" s="24"/>
      <c r="BE39" s="24"/>
      <c r="BF39" s="24"/>
      <c r="BH39" s="24"/>
      <c r="BI39" s="24"/>
      <c r="BJ39" s="24"/>
      <c r="BK39" s="24"/>
      <c r="BM39" s="24"/>
      <c r="BN39" s="24"/>
      <c r="BO39" s="24"/>
      <c r="BP39" s="24"/>
      <c r="BR39" s="24"/>
      <c r="BS39" s="24"/>
      <c r="BT39" s="24"/>
      <c r="BU39" s="24"/>
      <c r="BW39" s="24"/>
      <c r="BX39" s="24"/>
      <c r="BY39" s="24"/>
      <c r="BZ39" s="24"/>
      <c r="CB39" s="24"/>
      <c r="CC39" s="24"/>
      <c r="CE39" s="24"/>
      <c r="CF39" s="24"/>
      <c r="CH39" s="24"/>
      <c r="CI39" s="24"/>
      <c r="CJ39" s="24"/>
      <c r="CK39" s="24"/>
      <c r="DE39" s="24"/>
      <c r="DF39" s="24"/>
      <c r="DG39" s="24"/>
      <c r="DH39" s="24"/>
      <c r="DJ39" t="s">
        <v>149</v>
      </c>
      <c r="DK39" t="s">
        <v>149</v>
      </c>
      <c r="DQ39" t="s">
        <v>1000</v>
      </c>
      <c r="DR39" t="s">
        <v>149</v>
      </c>
      <c r="DS39" s="24">
        <v>46160.384426226854</v>
      </c>
    </row>
    <row r="40" spans="1:123" x14ac:dyDescent="0.3">
      <c r="A40" t="s">
        <v>302</v>
      </c>
      <c r="D40" t="s">
        <v>223</v>
      </c>
      <c r="E40" s="24">
        <v>46129.388738425929</v>
      </c>
      <c r="G40" t="s">
        <v>102</v>
      </c>
      <c r="H40" t="s">
        <v>154</v>
      </c>
      <c r="I40" s="24"/>
      <c r="J40" s="24"/>
      <c r="K40" s="24"/>
      <c r="L40" s="24"/>
      <c r="N40" s="24"/>
      <c r="O40" s="24"/>
      <c r="P40" s="24"/>
      <c r="Q40" s="24"/>
      <c r="V40" s="24"/>
      <c r="W40" s="24"/>
      <c r="X40" s="24"/>
      <c r="Y40" s="24"/>
      <c r="AA40" s="24"/>
      <c r="AB40" s="24"/>
      <c r="AC40" s="24"/>
      <c r="AD40" s="24"/>
      <c r="AF40" s="24"/>
      <c r="AG40" s="24"/>
      <c r="AH40" s="24"/>
      <c r="AI40" s="24"/>
      <c r="AK40" s="24"/>
      <c r="AL40" s="24"/>
      <c r="AM40" s="24"/>
      <c r="AN40" s="24"/>
      <c r="AP40" s="24"/>
      <c r="AQ40" s="24"/>
      <c r="AR40" s="24"/>
      <c r="AS40" s="24"/>
      <c r="AX40" s="24"/>
      <c r="AY40" s="24"/>
      <c r="AZ40" s="24"/>
      <c r="BA40" s="24"/>
      <c r="BC40" s="24"/>
      <c r="BD40" s="24"/>
      <c r="BE40" s="24"/>
      <c r="BF40" s="24"/>
      <c r="BH40" s="24"/>
      <c r="BI40" s="24"/>
      <c r="BJ40" s="24"/>
      <c r="BK40" s="24"/>
      <c r="BM40" s="24"/>
      <c r="BN40" s="24"/>
      <c r="BO40" s="24"/>
      <c r="BP40" s="24"/>
      <c r="BR40" s="24"/>
      <c r="BS40" s="24"/>
      <c r="BT40" s="24"/>
      <c r="BU40" s="24"/>
      <c r="BW40" s="24"/>
      <c r="BX40" s="24"/>
      <c r="BY40" s="24"/>
      <c r="BZ40" s="24"/>
      <c r="CB40" s="24"/>
      <c r="CC40" s="24"/>
      <c r="CE40" s="24"/>
      <c r="CF40" s="24"/>
      <c r="CH40" s="24"/>
      <c r="CI40" s="24"/>
      <c r="CJ40" s="24"/>
      <c r="CK40" s="24"/>
      <c r="DE40" s="24"/>
      <c r="DF40" s="24"/>
      <c r="DG40" s="24"/>
      <c r="DH40" s="24"/>
      <c r="DJ40" t="s">
        <v>149</v>
      </c>
      <c r="DK40" t="s">
        <v>149</v>
      </c>
      <c r="DQ40" t="s">
        <v>1000</v>
      </c>
      <c r="DR40" t="s">
        <v>149</v>
      </c>
      <c r="DS40" s="24">
        <v>46160.384426226854</v>
      </c>
    </row>
    <row r="41" spans="1:123" x14ac:dyDescent="0.3">
      <c r="A41" t="s">
        <v>303</v>
      </c>
      <c r="D41" t="s">
        <v>223</v>
      </c>
      <c r="E41" s="24">
        <v>46129.386759259258</v>
      </c>
      <c r="G41" t="s">
        <v>90</v>
      </c>
      <c r="H41" t="s">
        <v>155</v>
      </c>
      <c r="I41" s="24">
        <v>46147.403468634257</v>
      </c>
      <c r="J41" s="24">
        <v>46147.403468634257</v>
      </c>
      <c r="K41" s="24">
        <v>46147.40351783565</v>
      </c>
      <c r="L41" s="24">
        <v>46147.40351783565</v>
      </c>
      <c r="M41">
        <v>1</v>
      </c>
      <c r="N41" s="24"/>
      <c r="O41" s="24"/>
      <c r="P41" s="24"/>
      <c r="Q41" s="24"/>
      <c r="V41" s="24"/>
      <c r="W41" s="24"/>
      <c r="X41" s="24"/>
      <c r="Y41" s="24"/>
      <c r="AA41" s="24">
        <v>46147.40355195602</v>
      </c>
      <c r="AB41" s="24">
        <v>46146.648074525459</v>
      </c>
      <c r="AC41" s="24">
        <v>46146.648123599538</v>
      </c>
      <c r="AD41" s="24">
        <v>46147.403587986111</v>
      </c>
      <c r="AE41">
        <v>2</v>
      </c>
      <c r="AF41" s="24"/>
      <c r="AG41" s="24"/>
      <c r="AH41" s="24"/>
      <c r="AI41" s="24"/>
      <c r="AK41" s="24"/>
      <c r="AL41" s="24"/>
      <c r="AM41" s="24"/>
      <c r="AN41" s="24"/>
      <c r="AP41" s="24"/>
      <c r="AQ41" s="24"/>
      <c r="AR41" s="24">
        <v>46146.604503773146</v>
      </c>
      <c r="AS41" s="24">
        <v>46146.604503773146</v>
      </c>
      <c r="AX41" s="24"/>
      <c r="AY41" s="24"/>
      <c r="AZ41" s="24"/>
      <c r="BA41" s="24"/>
      <c r="BC41" s="24"/>
      <c r="BD41" s="24"/>
      <c r="BE41" s="24"/>
      <c r="BF41" s="24"/>
      <c r="BH41" s="24">
        <v>46147.40351783565</v>
      </c>
      <c r="BI41" s="24">
        <v>46146.604503773146</v>
      </c>
      <c r="BJ41" s="24">
        <v>46146.648074525459</v>
      </c>
      <c r="BK41" s="24">
        <v>46147.40355195602</v>
      </c>
      <c r="BL41">
        <v>2</v>
      </c>
      <c r="BM41" s="24">
        <v>46146.648123599538</v>
      </c>
      <c r="BN41" s="24">
        <v>46146.648123599538</v>
      </c>
      <c r="BO41" s="24">
        <v>46147.403355150462</v>
      </c>
      <c r="BP41" s="24">
        <v>46147.403355150462</v>
      </c>
      <c r="BQ41">
        <v>1</v>
      </c>
      <c r="BR41" s="24"/>
      <c r="BS41" s="24"/>
      <c r="BT41" s="24"/>
      <c r="BU41" s="24"/>
      <c r="BW41" s="24"/>
      <c r="BX41" s="24"/>
      <c r="BY41" s="24"/>
      <c r="BZ41" s="24"/>
      <c r="CB41" s="24">
        <v>46147.403355150462</v>
      </c>
      <c r="CC41" s="24">
        <v>46147.403355150462</v>
      </c>
      <c r="CD41">
        <v>1</v>
      </c>
      <c r="CE41" s="24">
        <v>46147.403587986111</v>
      </c>
      <c r="CF41" s="24">
        <v>46147.403587986111</v>
      </c>
      <c r="CG41">
        <v>1</v>
      </c>
      <c r="CH41" s="24"/>
      <c r="CI41" s="24"/>
      <c r="CJ41" s="24"/>
      <c r="CK41" s="24"/>
      <c r="DE41" s="24"/>
      <c r="DF41" s="24"/>
      <c r="DG41" s="24"/>
      <c r="DH41" s="24"/>
      <c r="DJ41" t="s">
        <v>149</v>
      </c>
      <c r="DK41" t="s">
        <v>149</v>
      </c>
      <c r="DM41">
        <v>1</v>
      </c>
      <c r="DN41">
        <v>1</v>
      </c>
      <c r="DQ41" t="s">
        <v>1000</v>
      </c>
      <c r="DR41" t="s">
        <v>149</v>
      </c>
      <c r="DS41" s="24">
        <v>46160.384426226854</v>
      </c>
    </row>
    <row r="42" spans="1:123" x14ac:dyDescent="0.3">
      <c r="A42" t="s">
        <v>304</v>
      </c>
      <c r="D42" t="s">
        <v>223</v>
      </c>
      <c r="E42" s="24">
        <v>46129.38453703704</v>
      </c>
      <c r="G42" t="s">
        <v>102</v>
      </c>
      <c r="H42" t="s">
        <v>154</v>
      </c>
      <c r="I42" s="24"/>
      <c r="J42" s="24"/>
      <c r="K42" s="24"/>
      <c r="L42" s="24"/>
      <c r="N42" s="24"/>
      <c r="O42" s="24"/>
      <c r="P42" s="24"/>
      <c r="Q42" s="24"/>
      <c r="V42" s="24"/>
      <c r="W42" s="24"/>
      <c r="X42" s="24"/>
      <c r="Y42" s="24"/>
      <c r="AA42" s="24"/>
      <c r="AB42" s="24"/>
      <c r="AC42" s="24"/>
      <c r="AD42" s="24"/>
      <c r="AF42" s="24"/>
      <c r="AG42" s="24"/>
      <c r="AH42" s="24"/>
      <c r="AI42" s="24"/>
      <c r="AK42" s="24"/>
      <c r="AL42" s="24"/>
      <c r="AM42" s="24"/>
      <c r="AN42" s="24"/>
      <c r="AP42" s="24"/>
      <c r="AQ42" s="24"/>
      <c r="AR42" s="24"/>
      <c r="AS42" s="24"/>
      <c r="AX42" s="24"/>
      <c r="AY42" s="24"/>
      <c r="AZ42" s="24"/>
      <c r="BA42" s="24"/>
      <c r="BC42" s="24"/>
      <c r="BD42" s="24"/>
      <c r="BE42" s="24"/>
      <c r="BF42" s="24"/>
      <c r="BH42" s="24"/>
      <c r="BI42" s="24"/>
      <c r="BJ42" s="24"/>
      <c r="BK42" s="24"/>
      <c r="BM42" s="24"/>
      <c r="BN42" s="24"/>
      <c r="BO42" s="24"/>
      <c r="BP42" s="24"/>
      <c r="BR42" s="24"/>
      <c r="BS42" s="24"/>
      <c r="BT42" s="24"/>
      <c r="BU42" s="24"/>
      <c r="BW42" s="24"/>
      <c r="BX42" s="24"/>
      <c r="BY42" s="24"/>
      <c r="BZ42" s="24"/>
      <c r="CB42" s="24"/>
      <c r="CC42" s="24"/>
      <c r="CE42" s="24"/>
      <c r="CF42" s="24"/>
      <c r="CH42" s="24"/>
      <c r="CI42" s="24"/>
      <c r="CJ42" s="24"/>
      <c r="CK42" s="24"/>
      <c r="DE42" s="24"/>
      <c r="DF42" s="24"/>
      <c r="DG42" s="24"/>
      <c r="DH42" s="24"/>
      <c r="DJ42" t="s">
        <v>149</v>
      </c>
      <c r="DK42" t="s">
        <v>149</v>
      </c>
      <c r="DQ42" t="s">
        <v>1000</v>
      </c>
      <c r="DR42" t="s">
        <v>149</v>
      </c>
      <c r="DS42" s="24">
        <v>46160.384426226854</v>
      </c>
    </row>
    <row r="43" spans="1:123" x14ac:dyDescent="0.3">
      <c r="A43" t="s">
        <v>305</v>
      </c>
      <c r="D43" t="s">
        <v>223</v>
      </c>
      <c r="E43" s="24">
        <v>46129.382592592592</v>
      </c>
      <c r="G43" t="s">
        <v>150</v>
      </c>
      <c r="H43" t="s">
        <v>155</v>
      </c>
      <c r="I43" s="24"/>
      <c r="J43" s="24"/>
      <c r="K43" s="24"/>
      <c r="L43" s="24"/>
      <c r="N43" s="24"/>
      <c r="O43" s="24"/>
      <c r="P43" s="24"/>
      <c r="Q43" s="24"/>
      <c r="V43" s="24"/>
      <c r="W43" s="24"/>
      <c r="X43" s="24"/>
      <c r="Y43" s="24"/>
      <c r="AA43" s="24"/>
      <c r="AB43" s="24"/>
      <c r="AC43" s="24"/>
      <c r="AD43" s="24"/>
      <c r="AF43" s="24"/>
      <c r="AG43" s="24"/>
      <c r="AH43" s="24"/>
      <c r="AI43" s="24"/>
      <c r="AK43" s="24"/>
      <c r="AL43" s="24"/>
      <c r="AM43" s="24"/>
      <c r="AN43" s="24"/>
      <c r="AP43" s="24"/>
      <c r="AQ43" s="24"/>
      <c r="AR43" s="24">
        <v>46133.551097118056</v>
      </c>
      <c r="AS43" s="24">
        <v>46133.551097118056</v>
      </c>
      <c r="AX43" s="24"/>
      <c r="AY43" s="24"/>
      <c r="AZ43" s="24"/>
      <c r="BA43" s="24"/>
      <c r="BC43" s="24"/>
      <c r="BD43" s="24"/>
      <c r="BE43" s="24"/>
      <c r="BF43" s="24"/>
      <c r="BH43" s="24"/>
      <c r="BI43" s="24"/>
      <c r="BJ43" s="24"/>
      <c r="BK43" s="24"/>
      <c r="BM43" s="24"/>
      <c r="BN43" s="24"/>
      <c r="BO43" s="24"/>
      <c r="BP43" s="24"/>
      <c r="BR43" s="24"/>
      <c r="BS43" s="24"/>
      <c r="BT43" s="24"/>
      <c r="BU43" s="24"/>
      <c r="BW43" s="24"/>
      <c r="BX43" s="24"/>
      <c r="BY43" s="24"/>
      <c r="BZ43" s="24"/>
      <c r="CB43" s="24">
        <v>46133.551097118056</v>
      </c>
      <c r="CC43" s="24">
        <v>46133.551097118056</v>
      </c>
      <c r="CD43">
        <v>1</v>
      </c>
      <c r="CE43" s="24"/>
      <c r="CF43" s="24"/>
      <c r="CH43" s="24"/>
      <c r="CI43" s="24"/>
      <c r="CJ43" s="24"/>
      <c r="CK43" s="24"/>
      <c r="DE43" s="24"/>
      <c r="DF43" s="24"/>
      <c r="DG43" s="24"/>
      <c r="DH43" s="24"/>
      <c r="DJ43" t="s">
        <v>149</v>
      </c>
      <c r="DK43" t="s">
        <v>149</v>
      </c>
      <c r="DQ43" t="s">
        <v>1000</v>
      </c>
      <c r="DR43" t="s">
        <v>149</v>
      </c>
      <c r="DS43" s="24">
        <v>46160.384426226854</v>
      </c>
    </row>
    <row r="44" spans="1:123" x14ac:dyDescent="0.3">
      <c r="A44" t="s">
        <v>306</v>
      </c>
      <c r="D44" t="s">
        <v>223</v>
      </c>
      <c r="E44" s="24">
        <v>46129.380706018521</v>
      </c>
      <c r="G44" t="s">
        <v>107</v>
      </c>
      <c r="H44" t="s">
        <v>154</v>
      </c>
      <c r="I44" s="24"/>
      <c r="J44" s="24"/>
      <c r="K44" s="24"/>
      <c r="L44" s="24"/>
      <c r="N44" s="24"/>
      <c r="O44" s="24"/>
      <c r="P44" s="24"/>
      <c r="Q44" s="24"/>
      <c r="V44" s="24"/>
      <c r="W44" s="24"/>
      <c r="X44" s="24"/>
      <c r="Y44" s="24"/>
      <c r="AA44" s="24"/>
      <c r="AB44" s="24"/>
      <c r="AC44" s="24"/>
      <c r="AD44" s="24"/>
      <c r="AF44" s="24"/>
      <c r="AG44" s="24"/>
      <c r="AH44" s="24"/>
      <c r="AI44" s="24"/>
      <c r="AK44" s="24"/>
      <c r="AL44" s="24"/>
      <c r="AM44" s="24"/>
      <c r="AN44" s="24"/>
      <c r="AP44" s="24"/>
      <c r="AQ44" s="24"/>
      <c r="AR44" s="24">
        <v>46154.584919942128</v>
      </c>
      <c r="AS44" s="24">
        <v>46154.584919942128</v>
      </c>
      <c r="AX44" s="24"/>
      <c r="AY44" s="24"/>
      <c r="AZ44" s="24"/>
      <c r="BA44" s="24"/>
      <c r="BC44" s="24"/>
      <c r="BD44" s="24"/>
      <c r="BE44" s="24"/>
      <c r="BF44" s="24"/>
      <c r="BH44" s="24">
        <v>46154.584919942128</v>
      </c>
      <c r="BI44" s="24">
        <v>46154.584919942128</v>
      </c>
      <c r="BJ44" s="24"/>
      <c r="BK44" s="24"/>
      <c r="BL44">
        <v>1</v>
      </c>
      <c r="BM44" s="24"/>
      <c r="BN44" s="24"/>
      <c r="BO44" s="24"/>
      <c r="BP44" s="24"/>
      <c r="BR44" s="24"/>
      <c r="BS44" s="24"/>
      <c r="BT44" s="24"/>
      <c r="BU44" s="24"/>
      <c r="BW44" s="24"/>
      <c r="BX44" s="24"/>
      <c r="BY44" s="24"/>
      <c r="BZ44" s="24"/>
      <c r="CB44" s="24"/>
      <c r="CC44" s="24"/>
      <c r="CE44" s="24"/>
      <c r="CF44" s="24"/>
      <c r="CH44" s="24"/>
      <c r="CI44" s="24"/>
      <c r="CJ44" s="24"/>
      <c r="CK44" s="24"/>
      <c r="DE44" s="24"/>
      <c r="DF44" s="24"/>
      <c r="DG44" s="24"/>
      <c r="DH44" s="24"/>
      <c r="DJ44" t="s">
        <v>149</v>
      </c>
      <c r="DK44" t="s">
        <v>149</v>
      </c>
      <c r="DP44">
        <v>6</v>
      </c>
      <c r="DQ44" t="s">
        <v>1000</v>
      </c>
      <c r="DR44" t="s">
        <v>149</v>
      </c>
      <c r="DS44" s="24">
        <v>46160.384426226854</v>
      </c>
    </row>
    <row r="45" spans="1:123" x14ac:dyDescent="0.3">
      <c r="A45" t="s">
        <v>307</v>
      </c>
      <c r="D45" t="s">
        <v>223</v>
      </c>
      <c r="E45" s="24">
        <v>46129.380185185182</v>
      </c>
      <c r="G45" t="s">
        <v>102</v>
      </c>
      <c r="H45" t="s">
        <v>154</v>
      </c>
      <c r="I45" s="24"/>
      <c r="J45" s="24"/>
      <c r="K45" s="24"/>
      <c r="L45" s="24"/>
      <c r="N45" s="24"/>
      <c r="O45" s="24"/>
      <c r="P45" s="24"/>
      <c r="Q45" s="24"/>
      <c r="V45" s="24"/>
      <c r="W45" s="24"/>
      <c r="X45" s="24"/>
      <c r="Y45" s="24"/>
      <c r="AA45" s="24"/>
      <c r="AB45" s="24"/>
      <c r="AC45" s="24"/>
      <c r="AD45" s="24"/>
      <c r="AF45" s="24"/>
      <c r="AG45" s="24"/>
      <c r="AH45" s="24"/>
      <c r="AI45" s="24"/>
      <c r="AK45" s="24"/>
      <c r="AL45" s="24"/>
      <c r="AM45" s="24"/>
      <c r="AN45" s="24"/>
      <c r="AP45" s="24"/>
      <c r="AQ45" s="24"/>
      <c r="AR45" s="24"/>
      <c r="AS45" s="24"/>
      <c r="AX45" s="24"/>
      <c r="AY45" s="24"/>
      <c r="AZ45" s="24"/>
      <c r="BA45" s="24"/>
      <c r="BC45" s="24"/>
      <c r="BD45" s="24"/>
      <c r="BE45" s="24"/>
      <c r="BF45" s="24"/>
      <c r="BH45" s="24"/>
      <c r="BI45" s="24"/>
      <c r="BJ45" s="24"/>
      <c r="BK45" s="24"/>
      <c r="BM45" s="24"/>
      <c r="BN45" s="24"/>
      <c r="BO45" s="24"/>
      <c r="BP45" s="24"/>
      <c r="BR45" s="24"/>
      <c r="BS45" s="24"/>
      <c r="BT45" s="24"/>
      <c r="BU45" s="24"/>
      <c r="BW45" s="24"/>
      <c r="BX45" s="24"/>
      <c r="BY45" s="24"/>
      <c r="BZ45" s="24"/>
      <c r="CB45" s="24"/>
      <c r="CC45" s="24"/>
      <c r="CE45" s="24"/>
      <c r="CF45" s="24"/>
      <c r="CH45" s="24"/>
      <c r="CI45" s="24"/>
      <c r="CJ45" s="24"/>
      <c r="CK45" s="24"/>
      <c r="DE45" s="24"/>
      <c r="DF45" s="24"/>
      <c r="DG45" s="24"/>
      <c r="DH45" s="24"/>
      <c r="DJ45" t="s">
        <v>149</v>
      </c>
      <c r="DK45" t="s">
        <v>149</v>
      </c>
      <c r="DQ45" t="s">
        <v>1000</v>
      </c>
      <c r="DR45" t="s">
        <v>149</v>
      </c>
      <c r="DS45" s="24">
        <v>46160.384426226854</v>
      </c>
    </row>
    <row r="46" spans="1:123" x14ac:dyDescent="0.3">
      <c r="A46" t="s">
        <v>308</v>
      </c>
      <c r="D46" t="s">
        <v>223</v>
      </c>
      <c r="E46" s="24">
        <v>46129.378576388888</v>
      </c>
      <c r="G46" t="s">
        <v>102</v>
      </c>
      <c r="H46" t="s">
        <v>154</v>
      </c>
      <c r="I46" s="24"/>
      <c r="J46" s="24"/>
      <c r="K46" s="24"/>
      <c r="L46" s="24"/>
      <c r="N46" s="24"/>
      <c r="O46" s="24"/>
      <c r="P46" s="24"/>
      <c r="Q46" s="24"/>
      <c r="V46" s="24"/>
      <c r="W46" s="24"/>
      <c r="X46" s="24"/>
      <c r="Y46" s="24"/>
      <c r="AA46" s="24"/>
      <c r="AB46" s="24"/>
      <c r="AC46" s="24"/>
      <c r="AD46" s="24"/>
      <c r="AF46" s="24"/>
      <c r="AG46" s="24"/>
      <c r="AH46" s="24"/>
      <c r="AI46" s="24"/>
      <c r="AK46" s="24"/>
      <c r="AL46" s="24"/>
      <c r="AM46" s="24"/>
      <c r="AN46" s="24"/>
      <c r="AP46" s="24"/>
      <c r="AQ46" s="24"/>
      <c r="AR46" s="24"/>
      <c r="AS46" s="24"/>
      <c r="AX46" s="24"/>
      <c r="AY46" s="24"/>
      <c r="AZ46" s="24"/>
      <c r="BA46" s="24"/>
      <c r="BC46" s="24"/>
      <c r="BD46" s="24"/>
      <c r="BE46" s="24"/>
      <c r="BF46" s="24"/>
      <c r="BH46" s="24"/>
      <c r="BI46" s="24"/>
      <c r="BJ46" s="24"/>
      <c r="BK46" s="24"/>
      <c r="BM46" s="24"/>
      <c r="BN46" s="24"/>
      <c r="BO46" s="24"/>
      <c r="BP46" s="24"/>
      <c r="BR46" s="24"/>
      <c r="BS46" s="24"/>
      <c r="BT46" s="24"/>
      <c r="BU46" s="24"/>
      <c r="BW46" s="24"/>
      <c r="BX46" s="24"/>
      <c r="BY46" s="24"/>
      <c r="BZ46" s="24"/>
      <c r="CB46" s="24"/>
      <c r="CC46" s="24"/>
      <c r="CE46" s="24"/>
      <c r="CF46" s="24"/>
      <c r="CH46" s="24"/>
      <c r="CI46" s="24"/>
      <c r="CJ46" s="24"/>
      <c r="CK46" s="24"/>
      <c r="DE46" s="24"/>
      <c r="DF46" s="24"/>
      <c r="DG46" s="24"/>
      <c r="DH46" s="24"/>
      <c r="DJ46" t="s">
        <v>149</v>
      </c>
      <c r="DK46" t="s">
        <v>149</v>
      </c>
      <c r="DQ46" t="s">
        <v>1000</v>
      </c>
      <c r="DR46" t="s">
        <v>149</v>
      </c>
      <c r="DS46" s="24">
        <v>46160.384426226854</v>
      </c>
    </row>
    <row r="47" spans="1:123" x14ac:dyDescent="0.3">
      <c r="A47" t="s">
        <v>309</v>
      </c>
      <c r="D47" t="s">
        <v>223</v>
      </c>
      <c r="E47" s="24">
        <v>46129.375474537039</v>
      </c>
      <c r="G47" t="s">
        <v>89</v>
      </c>
      <c r="H47" t="s">
        <v>89</v>
      </c>
      <c r="I47" s="24"/>
      <c r="J47" s="24"/>
      <c r="K47" s="24"/>
      <c r="L47" s="24"/>
      <c r="N47" s="24"/>
      <c r="O47" s="24"/>
      <c r="P47" s="24"/>
      <c r="Q47" s="24"/>
      <c r="V47" s="24"/>
      <c r="W47" s="24"/>
      <c r="X47" s="24"/>
      <c r="Y47" s="24"/>
      <c r="AA47" s="24">
        <v>46155.395988078701</v>
      </c>
      <c r="AB47" s="24">
        <v>46155.395988078701</v>
      </c>
      <c r="AC47" s="24"/>
      <c r="AD47" s="24"/>
      <c r="AE47">
        <v>1</v>
      </c>
      <c r="AF47" s="24"/>
      <c r="AG47" s="24"/>
      <c r="AH47" s="24"/>
      <c r="AI47" s="24"/>
      <c r="AK47" s="24"/>
      <c r="AL47" s="24"/>
      <c r="AM47" s="24"/>
      <c r="AN47" s="24"/>
      <c r="AP47" s="24"/>
      <c r="AQ47" s="24"/>
      <c r="AR47" s="24">
        <v>46154.585481793983</v>
      </c>
      <c r="AS47" s="24">
        <v>46154.585481793983</v>
      </c>
      <c r="AX47" s="24"/>
      <c r="AY47" s="24"/>
      <c r="AZ47" s="24"/>
      <c r="BA47" s="24"/>
      <c r="BC47" s="24"/>
      <c r="BD47" s="24"/>
      <c r="BE47" s="24"/>
      <c r="BF47" s="24"/>
      <c r="BH47" s="24">
        <v>46154.585481793983</v>
      </c>
      <c r="BI47" s="24">
        <v>46154.585481793983</v>
      </c>
      <c r="BJ47" s="24">
        <v>46155.395988078701</v>
      </c>
      <c r="BK47" s="24">
        <v>46155.395988078701</v>
      </c>
      <c r="BL47">
        <v>1</v>
      </c>
      <c r="BM47" s="24"/>
      <c r="BN47" s="24"/>
      <c r="BO47" s="24"/>
      <c r="BP47" s="24"/>
      <c r="BR47" s="24"/>
      <c r="BS47" s="24"/>
      <c r="BT47" s="24"/>
      <c r="BU47" s="24"/>
      <c r="BW47" s="24"/>
      <c r="BX47" s="24"/>
      <c r="BY47" s="24"/>
      <c r="BZ47" s="24"/>
      <c r="CB47" s="24"/>
      <c r="CC47" s="24"/>
      <c r="CE47" s="24"/>
      <c r="CF47" s="24"/>
      <c r="CH47" s="24"/>
      <c r="CI47" s="24"/>
      <c r="CJ47" s="24"/>
      <c r="CK47" s="24"/>
      <c r="DE47" s="24"/>
      <c r="DF47" s="24"/>
      <c r="DG47" s="24"/>
      <c r="DH47" s="24"/>
      <c r="DJ47" t="s">
        <v>149</v>
      </c>
      <c r="DK47" t="s">
        <v>149</v>
      </c>
      <c r="DO47">
        <v>5</v>
      </c>
      <c r="DP47">
        <v>5</v>
      </c>
      <c r="DQ47" t="s">
        <v>1000</v>
      </c>
      <c r="DR47" t="s">
        <v>149</v>
      </c>
      <c r="DS47" s="24">
        <v>46160.384426226854</v>
      </c>
    </row>
    <row r="48" spans="1:123" x14ac:dyDescent="0.3">
      <c r="A48" t="s">
        <v>310</v>
      </c>
      <c r="D48" t="s">
        <v>223</v>
      </c>
      <c r="E48" s="24">
        <v>46129.374421296299</v>
      </c>
      <c r="G48" t="s">
        <v>102</v>
      </c>
      <c r="H48" t="s">
        <v>154</v>
      </c>
      <c r="I48" s="24"/>
      <c r="J48" s="24"/>
      <c r="K48" s="24"/>
      <c r="L48" s="24"/>
      <c r="N48" s="24"/>
      <c r="O48" s="24"/>
      <c r="P48" s="24"/>
      <c r="Q48" s="24"/>
      <c r="V48" s="24"/>
      <c r="W48" s="24"/>
      <c r="X48" s="24"/>
      <c r="Y48" s="24"/>
      <c r="AA48" s="24"/>
      <c r="AB48" s="24"/>
      <c r="AC48" s="24"/>
      <c r="AD48" s="24"/>
      <c r="AF48" s="24"/>
      <c r="AG48" s="24"/>
      <c r="AH48" s="24"/>
      <c r="AI48" s="24"/>
      <c r="AK48" s="24"/>
      <c r="AL48" s="24"/>
      <c r="AM48" s="24"/>
      <c r="AN48" s="24"/>
      <c r="AP48" s="24"/>
      <c r="AQ48" s="24"/>
      <c r="AR48" s="24"/>
      <c r="AS48" s="24"/>
      <c r="AX48" s="24"/>
      <c r="AY48" s="24"/>
      <c r="AZ48" s="24"/>
      <c r="BA48" s="24"/>
      <c r="BC48" s="24"/>
      <c r="BD48" s="24"/>
      <c r="BE48" s="24"/>
      <c r="BF48" s="24"/>
      <c r="BH48" s="24"/>
      <c r="BI48" s="24"/>
      <c r="BJ48" s="24"/>
      <c r="BK48" s="24"/>
      <c r="BM48" s="24"/>
      <c r="BN48" s="24"/>
      <c r="BO48" s="24"/>
      <c r="BP48" s="24"/>
      <c r="BR48" s="24"/>
      <c r="BS48" s="24"/>
      <c r="BT48" s="24"/>
      <c r="BU48" s="24"/>
      <c r="BW48" s="24"/>
      <c r="BX48" s="24"/>
      <c r="BY48" s="24"/>
      <c r="BZ48" s="24"/>
      <c r="CB48" s="24"/>
      <c r="CC48" s="24"/>
      <c r="CE48" s="24"/>
      <c r="CF48" s="24"/>
      <c r="CH48" s="24"/>
      <c r="CI48" s="24"/>
      <c r="CJ48" s="24"/>
      <c r="CK48" s="24"/>
      <c r="DE48" s="24"/>
      <c r="DF48" s="24"/>
      <c r="DG48" s="24"/>
      <c r="DH48" s="24"/>
      <c r="DJ48" t="s">
        <v>149</v>
      </c>
      <c r="DK48" t="s">
        <v>149</v>
      </c>
      <c r="DQ48" t="s">
        <v>1000</v>
      </c>
      <c r="DR48" t="s">
        <v>149</v>
      </c>
      <c r="DS48" s="24">
        <v>46160.384426226854</v>
      </c>
    </row>
    <row r="49" spans="1:123" x14ac:dyDescent="0.3">
      <c r="A49" t="s">
        <v>311</v>
      </c>
      <c r="D49" t="s">
        <v>223</v>
      </c>
      <c r="E49" s="24">
        <v>46129.350347222222</v>
      </c>
      <c r="G49" t="s">
        <v>102</v>
      </c>
      <c r="H49" t="s">
        <v>154</v>
      </c>
      <c r="I49" s="24"/>
      <c r="J49" s="24"/>
      <c r="K49" s="24"/>
      <c r="L49" s="24"/>
      <c r="N49" s="24"/>
      <c r="O49" s="24"/>
      <c r="P49" s="24"/>
      <c r="Q49" s="24"/>
      <c r="V49" s="24"/>
      <c r="W49" s="24"/>
      <c r="X49" s="24"/>
      <c r="Y49" s="24"/>
      <c r="AA49" s="24"/>
      <c r="AB49" s="24"/>
      <c r="AC49" s="24"/>
      <c r="AD49" s="24"/>
      <c r="AF49" s="24"/>
      <c r="AG49" s="24"/>
      <c r="AH49" s="24"/>
      <c r="AI49" s="24"/>
      <c r="AK49" s="24"/>
      <c r="AL49" s="24"/>
      <c r="AM49" s="24"/>
      <c r="AN49" s="24"/>
      <c r="AP49" s="24"/>
      <c r="AQ49" s="24"/>
      <c r="AR49" s="24"/>
      <c r="AS49" s="24"/>
      <c r="AX49" s="24"/>
      <c r="AY49" s="24"/>
      <c r="AZ49" s="24"/>
      <c r="BA49" s="24"/>
      <c r="BC49" s="24"/>
      <c r="BD49" s="24"/>
      <c r="BE49" s="24"/>
      <c r="BF49" s="24"/>
      <c r="BH49" s="24"/>
      <c r="BI49" s="24"/>
      <c r="BJ49" s="24"/>
      <c r="BK49" s="24"/>
      <c r="BM49" s="24"/>
      <c r="BN49" s="24"/>
      <c r="BO49" s="24"/>
      <c r="BP49" s="24"/>
      <c r="BR49" s="24"/>
      <c r="BS49" s="24"/>
      <c r="BT49" s="24"/>
      <c r="BU49" s="24"/>
      <c r="BW49" s="24"/>
      <c r="BX49" s="24"/>
      <c r="BY49" s="24"/>
      <c r="BZ49" s="24"/>
      <c r="CB49" s="24"/>
      <c r="CC49" s="24"/>
      <c r="CE49" s="24"/>
      <c r="CF49" s="24"/>
      <c r="CH49" s="24"/>
      <c r="CI49" s="24"/>
      <c r="CJ49" s="24"/>
      <c r="CK49" s="24"/>
      <c r="DE49" s="24"/>
      <c r="DF49" s="24"/>
      <c r="DG49" s="24"/>
      <c r="DH49" s="24"/>
      <c r="DJ49" t="s">
        <v>149</v>
      </c>
      <c r="DK49" t="s">
        <v>149</v>
      </c>
      <c r="DQ49" t="s">
        <v>1000</v>
      </c>
      <c r="DR49" t="s">
        <v>149</v>
      </c>
      <c r="DS49" s="24">
        <v>46160.384426226854</v>
      </c>
    </row>
    <row r="50" spans="1:123" x14ac:dyDescent="0.3">
      <c r="A50" t="s">
        <v>312</v>
      </c>
      <c r="D50" t="s">
        <v>223</v>
      </c>
      <c r="E50" s="24">
        <v>46128.577280092592</v>
      </c>
      <c r="G50" t="s">
        <v>150</v>
      </c>
      <c r="H50" t="s">
        <v>155</v>
      </c>
      <c r="I50" s="24"/>
      <c r="J50" s="24"/>
      <c r="K50" s="24"/>
      <c r="L50" s="24"/>
      <c r="N50" s="24"/>
      <c r="O50" s="24"/>
      <c r="P50" s="24"/>
      <c r="Q50" s="24"/>
      <c r="V50" s="24"/>
      <c r="W50" s="24"/>
      <c r="X50" s="24"/>
      <c r="Y50" s="24"/>
      <c r="AA50" s="24"/>
      <c r="AB50" s="24"/>
      <c r="AC50" s="24"/>
      <c r="AD50" s="24"/>
      <c r="AF50" s="24"/>
      <c r="AG50" s="24"/>
      <c r="AH50" s="24"/>
      <c r="AI50" s="24"/>
      <c r="AK50" s="24"/>
      <c r="AL50" s="24"/>
      <c r="AM50" s="24"/>
      <c r="AN50" s="24"/>
      <c r="AP50" s="24"/>
      <c r="AQ50" s="24"/>
      <c r="AR50" s="24">
        <v>46133.562911261572</v>
      </c>
      <c r="AS50" s="24">
        <v>46133.562911261572</v>
      </c>
      <c r="AX50" s="24"/>
      <c r="AY50" s="24"/>
      <c r="AZ50" s="24"/>
      <c r="BA50" s="24"/>
      <c r="BC50" s="24"/>
      <c r="BD50" s="24"/>
      <c r="BE50" s="24"/>
      <c r="BF50" s="24"/>
      <c r="BH50" s="24"/>
      <c r="BI50" s="24"/>
      <c r="BJ50" s="24"/>
      <c r="BK50" s="24"/>
      <c r="BM50" s="24"/>
      <c r="BN50" s="24"/>
      <c r="BO50" s="24"/>
      <c r="BP50" s="24"/>
      <c r="BR50" s="24"/>
      <c r="BS50" s="24"/>
      <c r="BT50" s="24"/>
      <c r="BU50" s="24"/>
      <c r="BW50" s="24"/>
      <c r="BX50" s="24"/>
      <c r="BY50" s="24"/>
      <c r="BZ50" s="24"/>
      <c r="CB50" s="24">
        <v>46133.562911261572</v>
      </c>
      <c r="CC50" s="24">
        <v>46133.562911261572</v>
      </c>
      <c r="CD50">
        <v>1</v>
      </c>
      <c r="CE50" s="24"/>
      <c r="CF50" s="24"/>
      <c r="CH50" s="24"/>
      <c r="CI50" s="24"/>
      <c r="CJ50" s="24"/>
      <c r="CK50" s="24"/>
      <c r="DE50" s="24"/>
      <c r="DF50" s="24"/>
      <c r="DG50" s="24"/>
      <c r="DH50" s="24"/>
      <c r="DJ50" t="s">
        <v>149</v>
      </c>
      <c r="DK50" t="s">
        <v>149</v>
      </c>
      <c r="DQ50" t="s">
        <v>1000</v>
      </c>
      <c r="DR50" t="s">
        <v>149</v>
      </c>
      <c r="DS50" s="24">
        <v>46160.384426226854</v>
      </c>
    </row>
    <row r="51" spans="1:123" x14ac:dyDescent="0.3">
      <c r="A51" t="s">
        <v>313</v>
      </c>
      <c r="D51" t="s">
        <v>223</v>
      </c>
      <c r="E51" s="24">
        <v>46128.460150462961</v>
      </c>
      <c r="G51" t="s">
        <v>90</v>
      </c>
      <c r="H51" t="s">
        <v>155</v>
      </c>
      <c r="I51" s="24"/>
      <c r="J51" s="24"/>
      <c r="K51" s="24"/>
      <c r="L51" s="24"/>
      <c r="N51" s="24"/>
      <c r="O51" s="24"/>
      <c r="P51" s="24"/>
      <c r="Q51" s="24"/>
      <c r="V51" s="24"/>
      <c r="W51" s="24"/>
      <c r="X51" s="24"/>
      <c r="Y51" s="24"/>
      <c r="AA51" s="24">
        <v>46128.460729710649</v>
      </c>
      <c r="AB51" s="24">
        <v>46128.460729710649</v>
      </c>
      <c r="AC51" s="24">
        <v>46128.460770821759</v>
      </c>
      <c r="AD51" s="24">
        <v>46128.460770821759</v>
      </c>
      <c r="AE51">
        <v>1</v>
      </c>
      <c r="AF51" s="24"/>
      <c r="AG51" s="24"/>
      <c r="AH51" s="24"/>
      <c r="AI51" s="24"/>
      <c r="AK51" s="24"/>
      <c r="AL51" s="24"/>
      <c r="AM51" s="24"/>
      <c r="AN51" s="24"/>
      <c r="AP51" s="24"/>
      <c r="AQ51" s="24"/>
      <c r="AR51" s="24">
        <v>46128.460692476852</v>
      </c>
      <c r="AS51" s="24">
        <v>46128.460692476852</v>
      </c>
      <c r="AX51" s="24"/>
      <c r="AY51" s="24"/>
      <c r="AZ51" s="24"/>
      <c r="BA51" s="24"/>
      <c r="BC51" s="24"/>
      <c r="BD51" s="24"/>
      <c r="BE51" s="24"/>
      <c r="BF51" s="24"/>
      <c r="BH51" s="24">
        <v>46128.460692476852</v>
      </c>
      <c r="BI51" s="24">
        <v>46128.460692476852</v>
      </c>
      <c r="BJ51" s="24">
        <v>46128.460729710649</v>
      </c>
      <c r="BK51" s="24">
        <v>46128.460729710649</v>
      </c>
      <c r="BL51">
        <v>1</v>
      </c>
      <c r="BM51" s="24"/>
      <c r="BN51" s="24"/>
      <c r="BO51" s="24"/>
      <c r="BP51" s="24"/>
      <c r="BR51" s="24"/>
      <c r="BS51" s="24"/>
      <c r="BT51" s="24"/>
      <c r="BU51" s="24"/>
      <c r="BW51" s="24"/>
      <c r="BX51" s="24"/>
      <c r="BY51" s="24"/>
      <c r="BZ51" s="24"/>
      <c r="CB51" s="24"/>
      <c r="CC51" s="24"/>
      <c r="CE51" s="24">
        <v>46128.460770821759</v>
      </c>
      <c r="CF51" s="24">
        <v>46128.460770821759</v>
      </c>
      <c r="CG51">
        <v>1</v>
      </c>
      <c r="CH51" s="24"/>
      <c r="CI51" s="24"/>
      <c r="CJ51" s="24"/>
      <c r="CK51" s="24"/>
      <c r="DE51" s="24"/>
      <c r="DF51" s="24"/>
      <c r="DG51" s="24"/>
      <c r="DH51" s="24"/>
      <c r="DJ51" t="s">
        <v>149</v>
      </c>
      <c r="DK51" t="s">
        <v>149</v>
      </c>
      <c r="DM51">
        <v>1</v>
      </c>
      <c r="DN51">
        <v>1</v>
      </c>
      <c r="DQ51" t="s">
        <v>1000</v>
      </c>
      <c r="DR51" t="s">
        <v>149</v>
      </c>
      <c r="DS51" s="24">
        <v>46160.384426226854</v>
      </c>
    </row>
    <row r="52" spans="1:123" x14ac:dyDescent="0.3">
      <c r="A52" t="s">
        <v>314</v>
      </c>
      <c r="D52" t="s">
        <v>223</v>
      </c>
      <c r="E52" s="24">
        <v>46128.45722222222</v>
      </c>
      <c r="G52" t="s">
        <v>90</v>
      </c>
      <c r="H52" t="s">
        <v>155</v>
      </c>
      <c r="I52" s="24"/>
      <c r="J52" s="24"/>
      <c r="K52" s="24"/>
      <c r="L52" s="24"/>
      <c r="N52" s="24"/>
      <c r="O52" s="24"/>
      <c r="P52" s="24"/>
      <c r="Q52" s="24"/>
      <c r="V52" s="24"/>
      <c r="W52" s="24"/>
      <c r="X52" s="24"/>
      <c r="Y52" s="24"/>
      <c r="AA52" s="24">
        <v>46128.457977835649</v>
      </c>
      <c r="AB52" s="24">
        <v>46128.457977835649</v>
      </c>
      <c r="AC52" s="24">
        <v>46128.458263923611</v>
      </c>
      <c r="AD52" s="24">
        <v>46128.458263923611</v>
      </c>
      <c r="AE52">
        <v>1</v>
      </c>
      <c r="AF52" s="24">
        <v>46128.458263923611</v>
      </c>
      <c r="AG52" s="24">
        <v>46128.458263923611</v>
      </c>
      <c r="AH52" s="24">
        <v>46128.458361296296</v>
      </c>
      <c r="AI52" s="24">
        <v>46128.458361296296</v>
      </c>
      <c r="AJ52">
        <v>1</v>
      </c>
      <c r="AK52" s="24"/>
      <c r="AL52" s="24"/>
      <c r="AM52" s="24"/>
      <c r="AN52" s="24"/>
      <c r="AP52" s="24"/>
      <c r="AQ52" s="24"/>
      <c r="AR52" s="24">
        <v>46128.457883159725</v>
      </c>
      <c r="AS52" s="24">
        <v>46128.457883159725</v>
      </c>
      <c r="AX52" s="24"/>
      <c r="AY52" s="24"/>
      <c r="AZ52" s="24"/>
      <c r="BA52" s="24"/>
      <c r="BC52" s="24"/>
      <c r="BD52" s="24"/>
      <c r="BE52" s="24"/>
      <c r="BF52" s="24"/>
      <c r="BH52" s="24">
        <v>46128.457883159725</v>
      </c>
      <c r="BI52" s="24">
        <v>46128.457883159725</v>
      </c>
      <c r="BJ52" s="24">
        <v>46128.457977835649</v>
      </c>
      <c r="BK52" s="24">
        <v>46128.457977835649</v>
      </c>
      <c r="BL52">
        <v>1</v>
      </c>
      <c r="BM52" s="24"/>
      <c r="BN52" s="24"/>
      <c r="BO52" s="24"/>
      <c r="BP52" s="24"/>
      <c r="BR52" s="24"/>
      <c r="BS52" s="24"/>
      <c r="BT52" s="24"/>
      <c r="BU52" s="24"/>
      <c r="BW52" s="24"/>
      <c r="BX52" s="24"/>
      <c r="BY52" s="24"/>
      <c r="BZ52" s="24"/>
      <c r="CB52" s="24"/>
      <c r="CC52" s="24"/>
      <c r="CE52" s="24">
        <v>46128.458361296296</v>
      </c>
      <c r="CF52" s="24">
        <v>46128.458361296296</v>
      </c>
      <c r="CG52">
        <v>1</v>
      </c>
      <c r="CH52" s="24"/>
      <c r="CI52" s="24"/>
      <c r="CJ52" s="24"/>
      <c r="CK52" s="24"/>
      <c r="DE52" s="24"/>
      <c r="DF52" s="24"/>
      <c r="DG52" s="24"/>
      <c r="DH52" s="24"/>
      <c r="DJ52" t="s">
        <v>149</v>
      </c>
      <c r="DK52" t="s">
        <v>149</v>
      </c>
      <c r="DM52">
        <v>1</v>
      </c>
      <c r="DN52">
        <v>1</v>
      </c>
      <c r="DQ52" t="s">
        <v>1000</v>
      </c>
      <c r="DR52" t="s">
        <v>149</v>
      </c>
      <c r="DS52" s="24">
        <v>46160.384426226854</v>
      </c>
    </row>
    <row r="53" spans="1:123" x14ac:dyDescent="0.3">
      <c r="A53" t="s">
        <v>315</v>
      </c>
      <c r="D53" t="s">
        <v>223</v>
      </c>
      <c r="E53" s="24">
        <v>46128.451909722222</v>
      </c>
      <c r="G53" t="s">
        <v>90</v>
      </c>
      <c r="H53" t="s">
        <v>155</v>
      </c>
      <c r="I53" s="24"/>
      <c r="J53" s="24"/>
      <c r="K53" s="24"/>
      <c r="L53" s="24"/>
      <c r="N53" s="24"/>
      <c r="O53" s="24"/>
      <c r="P53" s="24"/>
      <c r="Q53" s="24"/>
      <c r="V53" s="24"/>
      <c r="W53" s="24"/>
      <c r="X53" s="24"/>
      <c r="Y53" s="24"/>
      <c r="AA53" s="24">
        <v>46128.453313020837</v>
      </c>
      <c r="AB53" s="24">
        <v>46128.453313020837</v>
      </c>
      <c r="AC53" s="24">
        <v>46128.45429184028</v>
      </c>
      <c r="AD53" s="24">
        <v>46128.45429184028</v>
      </c>
      <c r="AE53">
        <v>1</v>
      </c>
      <c r="AF53" s="24">
        <v>46128.45429184028</v>
      </c>
      <c r="AG53" s="24">
        <v>46128.45429184028</v>
      </c>
      <c r="AH53" s="24">
        <v>46128.454338518517</v>
      </c>
      <c r="AI53" s="24">
        <v>46128.454338518517</v>
      </c>
      <c r="AJ53">
        <v>1</v>
      </c>
      <c r="AK53" s="24"/>
      <c r="AL53" s="24"/>
      <c r="AM53" s="24"/>
      <c r="AN53" s="24"/>
      <c r="AP53" s="24"/>
      <c r="AQ53" s="24"/>
      <c r="AR53" s="24">
        <v>46128.453259594906</v>
      </c>
      <c r="AS53" s="24">
        <v>46128.453259594906</v>
      </c>
      <c r="AX53" s="24"/>
      <c r="AY53" s="24"/>
      <c r="AZ53" s="24"/>
      <c r="BA53" s="24"/>
      <c r="BC53" s="24"/>
      <c r="BD53" s="24"/>
      <c r="BE53" s="24"/>
      <c r="BF53" s="24"/>
      <c r="BH53" s="24">
        <v>46128.453259594906</v>
      </c>
      <c r="BI53" s="24">
        <v>46128.453259594906</v>
      </c>
      <c r="BJ53" s="24">
        <v>46128.453313020837</v>
      </c>
      <c r="BK53" s="24">
        <v>46128.453313020837</v>
      </c>
      <c r="BL53">
        <v>1</v>
      </c>
      <c r="BM53" s="24"/>
      <c r="BN53" s="24"/>
      <c r="BO53" s="24"/>
      <c r="BP53" s="24"/>
      <c r="BR53" s="24"/>
      <c r="BS53" s="24"/>
      <c r="BT53" s="24"/>
      <c r="BU53" s="24"/>
      <c r="BW53" s="24"/>
      <c r="BX53" s="24"/>
      <c r="BY53" s="24"/>
      <c r="BZ53" s="24"/>
      <c r="CB53" s="24"/>
      <c r="CC53" s="24"/>
      <c r="CE53" s="24">
        <v>46128.454338518517</v>
      </c>
      <c r="CF53" s="24">
        <v>46128.454338518517</v>
      </c>
      <c r="CG53">
        <v>1</v>
      </c>
      <c r="CH53" s="24"/>
      <c r="CI53" s="24"/>
      <c r="CJ53" s="24"/>
      <c r="CK53" s="24"/>
      <c r="DE53" s="24"/>
      <c r="DF53" s="24"/>
      <c r="DG53" s="24"/>
      <c r="DH53" s="24"/>
      <c r="DJ53" t="s">
        <v>149</v>
      </c>
      <c r="DK53" t="s">
        <v>149</v>
      </c>
      <c r="DM53">
        <v>1</v>
      </c>
      <c r="DN53">
        <v>1</v>
      </c>
      <c r="DQ53" t="s">
        <v>1000</v>
      </c>
      <c r="DR53" t="s">
        <v>149</v>
      </c>
      <c r="DS53" s="24">
        <v>46160.384426226854</v>
      </c>
    </row>
    <row r="54" spans="1:123" x14ac:dyDescent="0.3">
      <c r="A54" t="s">
        <v>316</v>
      </c>
      <c r="D54" t="s">
        <v>223</v>
      </c>
      <c r="E54" s="24">
        <v>46127.619050925925</v>
      </c>
      <c r="G54" t="s">
        <v>102</v>
      </c>
      <c r="H54" t="s">
        <v>154</v>
      </c>
      <c r="I54" s="24"/>
      <c r="J54" s="24"/>
      <c r="K54" s="24"/>
      <c r="L54" s="24"/>
      <c r="N54" s="24"/>
      <c r="O54" s="24"/>
      <c r="P54" s="24"/>
      <c r="Q54" s="24"/>
      <c r="V54" s="24"/>
      <c r="W54" s="24"/>
      <c r="X54" s="24"/>
      <c r="Y54" s="24"/>
      <c r="AA54" s="24"/>
      <c r="AB54" s="24"/>
      <c r="AC54" s="24"/>
      <c r="AD54" s="24"/>
      <c r="AF54" s="24"/>
      <c r="AG54" s="24"/>
      <c r="AH54" s="24"/>
      <c r="AI54" s="24"/>
      <c r="AK54" s="24"/>
      <c r="AL54" s="24"/>
      <c r="AM54" s="24"/>
      <c r="AN54" s="24"/>
      <c r="AP54" s="24"/>
      <c r="AQ54" s="24"/>
      <c r="AR54" s="24"/>
      <c r="AS54" s="24"/>
      <c r="AX54" s="24"/>
      <c r="AY54" s="24"/>
      <c r="AZ54" s="24"/>
      <c r="BA54" s="24"/>
      <c r="BC54" s="24"/>
      <c r="BD54" s="24"/>
      <c r="BE54" s="24"/>
      <c r="BF54" s="24"/>
      <c r="BH54" s="24"/>
      <c r="BI54" s="24"/>
      <c r="BJ54" s="24"/>
      <c r="BK54" s="24"/>
      <c r="BM54" s="24"/>
      <c r="BN54" s="24"/>
      <c r="BO54" s="24"/>
      <c r="BP54" s="24"/>
      <c r="BR54" s="24"/>
      <c r="BS54" s="24"/>
      <c r="BT54" s="24"/>
      <c r="BU54" s="24"/>
      <c r="BW54" s="24"/>
      <c r="BX54" s="24"/>
      <c r="BY54" s="24"/>
      <c r="BZ54" s="24"/>
      <c r="CB54" s="24"/>
      <c r="CC54" s="24"/>
      <c r="CE54" s="24"/>
      <c r="CF54" s="24"/>
      <c r="CH54" s="24"/>
      <c r="CI54" s="24"/>
      <c r="CJ54" s="24"/>
      <c r="CK54" s="24"/>
      <c r="DE54" s="24"/>
      <c r="DF54" s="24"/>
      <c r="DG54" s="24"/>
      <c r="DH54" s="24"/>
      <c r="DJ54" t="s">
        <v>149</v>
      </c>
      <c r="DK54" t="s">
        <v>149</v>
      </c>
      <c r="DQ54" t="s">
        <v>1000</v>
      </c>
      <c r="DR54" t="s">
        <v>149</v>
      </c>
      <c r="DS54" s="24">
        <v>46160.384426226854</v>
      </c>
    </row>
    <row r="55" spans="1:123" x14ac:dyDescent="0.3">
      <c r="A55" t="s">
        <v>317</v>
      </c>
      <c r="D55" t="s">
        <v>223</v>
      </c>
      <c r="E55" s="24">
        <v>46126.426793981482</v>
      </c>
      <c r="G55" t="s">
        <v>104</v>
      </c>
      <c r="H55" t="s">
        <v>154</v>
      </c>
      <c r="I55" s="24"/>
      <c r="J55" s="24"/>
      <c r="K55" s="24"/>
      <c r="L55" s="24"/>
      <c r="N55" s="24"/>
      <c r="O55" s="24"/>
      <c r="P55" s="24"/>
      <c r="Q55" s="24"/>
      <c r="V55" s="24"/>
      <c r="W55" s="24"/>
      <c r="X55" s="24"/>
      <c r="Y55" s="24"/>
      <c r="AA55" s="24"/>
      <c r="AB55" s="24"/>
      <c r="AC55" s="24"/>
      <c r="AD55" s="24"/>
      <c r="AF55" s="24"/>
      <c r="AG55" s="24"/>
      <c r="AH55" s="24"/>
      <c r="AI55" s="24"/>
      <c r="AK55" s="24"/>
      <c r="AL55" s="24"/>
      <c r="AM55" s="24"/>
      <c r="AN55" s="24"/>
      <c r="AP55" s="24"/>
      <c r="AQ55" s="24"/>
      <c r="AR55" s="24">
        <v>46126.66621722222</v>
      </c>
      <c r="AS55" s="24">
        <v>46126.66621722222</v>
      </c>
      <c r="AX55" s="24"/>
      <c r="AY55" s="24"/>
      <c r="AZ55" s="24"/>
      <c r="BA55" s="24"/>
      <c r="BC55" s="24"/>
      <c r="BD55" s="24"/>
      <c r="BE55" s="24"/>
      <c r="BF55" s="24"/>
      <c r="BH55" s="24">
        <v>46126.66621722222</v>
      </c>
      <c r="BI55" s="24">
        <v>46126.66621722222</v>
      </c>
      <c r="BJ55" s="24">
        <v>46129.421969317133</v>
      </c>
      <c r="BK55" s="24">
        <v>46129.421969317133</v>
      </c>
      <c r="BL55">
        <v>1</v>
      </c>
      <c r="BM55" s="24"/>
      <c r="BN55" s="24"/>
      <c r="BO55" s="24"/>
      <c r="BP55" s="24"/>
      <c r="BR55" s="24"/>
      <c r="BS55" s="24"/>
      <c r="BT55" s="24"/>
      <c r="BU55" s="24"/>
      <c r="BW55" s="24"/>
      <c r="BX55" s="24"/>
      <c r="BY55" s="24"/>
      <c r="BZ55" s="24"/>
      <c r="CB55" s="24">
        <v>46129.421969317133</v>
      </c>
      <c r="CC55" s="24">
        <v>46129.421969317133</v>
      </c>
      <c r="CD55">
        <v>1</v>
      </c>
      <c r="CE55" s="24"/>
      <c r="CF55" s="24"/>
      <c r="CH55" s="24">
        <v>46129.422101122684</v>
      </c>
      <c r="CI55" s="24">
        <v>46129.422101122684</v>
      </c>
      <c r="CJ55" s="24"/>
      <c r="CK55" s="24"/>
      <c r="CL55">
        <v>1</v>
      </c>
      <c r="DE55" s="24"/>
      <c r="DF55" s="24"/>
      <c r="DG55" s="24"/>
      <c r="DH55" s="24"/>
      <c r="DJ55" t="s">
        <v>149</v>
      </c>
      <c r="DK55" t="s">
        <v>149</v>
      </c>
      <c r="DP55">
        <v>31</v>
      </c>
      <c r="DQ55" t="s">
        <v>1000</v>
      </c>
      <c r="DR55" t="s">
        <v>149</v>
      </c>
      <c r="DS55" s="24">
        <v>46160.384426226854</v>
      </c>
    </row>
    <row r="56" spans="1:123" x14ac:dyDescent="0.3">
      <c r="A56" t="s">
        <v>318</v>
      </c>
      <c r="D56" t="s">
        <v>223</v>
      </c>
      <c r="E56" s="24">
        <v>46125.875613425924</v>
      </c>
      <c r="G56" t="s">
        <v>102</v>
      </c>
      <c r="H56" t="s">
        <v>154</v>
      </c>
      <c r="I56" s="24"/>
      <c r="J56" s="24"/>
      <c r="K56" s="24"/>
      <c r="L56" s="24"/>
      <c r="N56" s="24"/>
      <c r="O56" s="24"/>
      <c r="P56" s="24"/>
      <c r="Q56" s="24"/>
      <c r="V56" s="24"/>
      <c r="W56" s="24"/>
      <c r="X56" s="24"/>
      <c r="Y56" s="24"/>
      <c r="AA56" s="24"/>
      <c r="AB56" s="24"/>
      <c r="AC56" s="24"/>
      <c r="AD56" s="24"/>
      <c r="AF56" s="24"/>
      <c r="AG56" s="24"/>
      <c r="AH56" s="24"/>
      <c r="AI56" s="24"/>
      <c r="AK56" s="24"/>
      <c r="AL56" s="24"/>
      <c r="AM56" s="24"/>
      <c r="AN56" s="24"/>
      <c r="AP56" s="24"/>
      <c r="AQ56" s="24"/>
      <c r="AR56" s="24"/>
      <c r="AS56" s="24"/>
      <c r="AX56" s="24"/>
      <c r="AY56" s="24"/>
      <c r="AZ56" s="24"/>
      <c r="BA56" s="24"/>
      <c r="BC56" s="24"/>
      <c r="BD56" s="24"/>
      <c r="BE56" s="24"/>
      <c r="BF56" s="24"/>
      <c r="BH56" s="24"/>
      <c r="BI56" s="24"/>
      <c r="BJ56" s="24"/>
      <c r="BK56" s="24"/>
      <c r="BM56" s="24"/>
      <c r="BN56" s="24"/>
      <c r="BO56" s="24"/>
      <c r="BP56" s="24"/>
      <c r="BR56" s="24"/>
      <c r="BS56" s="24"/>
      <c r="BT56" s="24"/>
      <c r="BU56" s="24"/>
      <c r="BW56" s="24"/>
      <c r="BX56" s="24"/>
      <c r="BY56" s="24"/>
      <c r="BZ56" s="24"/>
      <c r="CB56" s="24"/>
      <c r="CC56" s="24"/>
      <c r="CE56" s="24"/>
      <c r="CF56" s="24"/>
      <c r="CH56" s="24"/>
      <c r="CI56" s="24"/>
      <c r="CJ56" s="24"/>
      <c r="CK56" s="24"/>
      <c r="DE56" s="24"/>
      <c r="DF56" s="24"/>
      <c r="DG56" s="24"/>
      <c r="DH56" s="24"/>
      <c r="DJ56" t="s">
        <v>149</v>
      </c>
      <c r="DK56" t="s">
        <v>149</v>
      </c>
      <c r="DQ56" t="s">
        <v>1000</v>
      </c>
      <c r="DR56" t="s">
        <v>149</v>
      </c>
      <c r="DS56" s="24">
        <v>46160.384426226854</v>
      </c>
    </row>
    <row r="57" spans="1:123" x14ac:dyDescent="0.3">
      <c r="A57" t="s">
        <v>319</v>
      </c>
      <c r="D57" t="s">
        <v>223</v>
      </c>
      <c r="E57" s="24">
        <v>46125.681550925925</v>
      </c>
      <c r="G57" t="s">
        <v>102</v>
      </c>
      <c r="H57" t="s">
        <v>154</v>
      </c>
      <c r="I57" s="24"/>
      <c r="J57" s="24"/>
      <c r="K57" s="24"/>
      <c r="L57" s="24"/>
      <c r="N57" s="24"/>
      <c r="O57" s="24"/>
      <c r="P57" s="24"/>
      <c r="Q57" s="24"/>
      <c r="V57" s="24"/>
      <c r="W57" s="24"/>
      <c r="X57" s="24"/>
      <c r="Y57" s="24"/>
      <c r="AA57" s="24"/>
      <c r="AB57" s="24"/>
      <c r="AC57" s="24"/>
      <c r="AD57" s="24"/>
      <c r="AF57" s="24"/>
      <c r="AG57" s="24"/>
      <c r="AH57" s="24"/>
      <c r="AI57" s="24"/>
      <c r="AK57" s="24"/>
      <c r="AL57" s="24"/>
      <c r="AM57" s="24"/>
      <c r="AN57" s="24"/>
      <c r="AP57" s="24"/>
      <c r="AQ57" s="24"/>
      <c r="AR57" s="24"/>
      <c r="AS57" s="24"/>
      <c r="AX57" s="24"/>
      <c r="AY57" s="24"/>
      <c r="AZ57" s="24"/>
      <c r="BA57" s="24"/>
      <c r="BC57" s="24"/>
      <c r="BD57" s="24"/>
      <c r="BE57" s="24"/>
      <c r="BF57" s="24"/>
      <c r="BH57" s="24"/>
      <c r="BI57" s="24"/>
      <c r="BJ57" s="24"/>
      <c r="BK57" s="24"/>
      <c r="BM57" s="24"/>
      <c r="BN57" s="24"/>
      <c r="BO57" s="24"/>
      <c r="BP57" s="24"/>
      <c r="BR57" s="24"/>
      <c r="BS57" s="24"/>
      <c r="BT57" s="24"/>
      <c r="BU57" s="24"/>
      <c r="BW57" s="24"/>
      <c r="BX57" s="24"/>
      <c r="BY57" s="24"/>
      <c r="BZ57" s="24"/>
      <c r="CB57" s="24"/>
      <c r="CC57" s="24"/>
      <c r="CE57" s="24"/>
      <c r="CF57" s="24"/>
      <c r="CH57" s="24"/>
      <c r="CI57" s="24"/>
      <c r="CJ57" s="24"/>
      <c r="CK57" s="24"/>
      <c r="DE57" s="24"/>
      <c r="DF57" s="24"/>
      <c r="DG57" s="24"/>
      <c r="DH57" s="24"/>
      <c r="DJ57" t="s">
        <v>149</v>
      </c>
      <c r="DK57" t="s">
        <v>149</v>
      </c>
      <c r="DQ57" t="s">
        <v>1000</v>
      </c>
      <c r="DR57" t="s">
        <v>149</v>
      </c>
      <c r="DS57" s="24">
        <v>46160.384426226854</v>
      </c>
    </row>
    <row r="58" spans="1:123" x14ac:dyDescent="0.3">
      <c r="A58" t="s">
        <v>320</v>
      </c>
      <c r="D58" t="s">
        <v>223</v>
      </c>
      <c r="E58" s="24">
        <v>46125.435648148145</v>
      </c>
      <c r="G58" t="s">
        <v>102</v>
      </c>
      <c r="H58" t="s">
        <v>154</v>
      </c>
      <c r="I58" s="24"/>
      <c r="J58" s="24"/>
      <c r="K58" s="24"/>
      <c r="L58" s="24"/>
      <c r="N58" s="24"/>
      <c r="O58" s="24"/>
      <c r="P58" s="24"/>
      <c r="Q58" s="24"/>
      <c r="V58" s="24"/>
      <c r="W58" s="24"/>
      <c r="X58" s="24"/>
      <c r="Y58" s="24"/>
      <c r="AA58" s="24"/>
      <c r="AB58" s="24"/>
      <c r="AC58" s="24"/>
      <c r="AD58" s="24"/>
      <c r="AF58" s="24"/>
      <c r="AG58" s="24"/>
      <c r="AH58" s="24"/>
      <c r="AI58" s="24"/>
      <c r="AK58" s="24"/>
      <c r="AL58" s="24"/>
      <c r="AM58" s="24"/>
      <c r="AN58" s="24"/>
      <c r="AP58" s="24"/>
      <c r="AQ58" s="24"/>
      <c r="AR58" s="24"/>
      <c r="AS58" s="24"/>
      <c r="AX58" s="24"/>
      <c r="AY58" s="24"/>
      <c r="AZ58" s="24"/>
      <c r="BA58" s="24"/>
      <c r="BC58" s="24"/>
      <c r="BD58" s="24"/>
      <c r="BE58" s="24"/>
      <c r="BF58" s="24"/>
      <c r="BH58" s="24"/>
      <c r="BI58" s="24"/>
      <c r="BJ58" s="24"/>
      <c r="BK58" s="24"/>
      <c r="BM58" s="24"/>
      <c r="BN58" s="24"/>
      <c r="BO58" s="24"/>
      <c r="BP58" s="24"/>
      <c r="BR58" s="24"/>
      <c r="BS58" s="24"/>
      <c r="BT58" s="24"/>
      <c r="BU58" s="24"/>
      <c r="BW58" s="24"/>
      <c r="BX58" s="24"/>
      <c r="BY58" s="24"/>
      <c r="BZ58" s="24"/>
      <c r="CB58" s="24"/>
      <c r="CC58" s="24"/>
      <c r="CE58" s="24"/>
      <c r="CF58" s="24"/>
      <c r="CH58" s="24"/>
      <c r="CI58" s="24"/>
      <c r="CJ58" s="24"/>
      <c r="CK58" s="24"/>
      <c r="DE58" s="24"/>
      <c r="DF58" s="24"/>
      <c r="DG58" s="24"/>
      <c r="DH58" s="24"/>
      <c r="DJ58" t="s">
        <v>149</v>
      </c>
      <c r="DK58" t="s">
        <v>149</v>
      </c>
      <c r="DQ58" t="s">
        <v>1000</v>
      </c>
      <c r="DR58" t="s">
        <v>149</v>
      </c>
      <c r="DS58" s="24">
        <v>46160.384426226854</v>
      </c>
    </row>
    <row r="59" spans="1:123" x14ac:dyDescent="0.3">
      <c r="A59" t="s">
        <v>321</v>
      </c>
      <c r="D59" t="s">
        <v>223</v>
      </c>
      <c r="E59" s="24">
        <v>46125.425844907404</v>
      </c>
      <c r="G59" t="s">
        <v>90</v>
      </c>
      <c r="H59" t="s">
        <v>155</v>
      </c>
      <c r="I59" s="24"/>
      <c r="J59" s="24"/>
      <c r="K59" s="24"/>
      <c r="L59" s="24"/>
      <c r="N59" s="24"/>
      <c r="O59" s="24"/>
      <c r="P59" s="24"/>
      <c r="Q59" s="24"/>
      <c r="V59" s="24"/>
      <c r="W59" s="24"/>
      <c r="X59" s="24"/>
      <c r="Y59" s="24"/>
      <c r="AA59" s="24">
        <v>46135.632620798613</v>
      </c>
      <c r="AB59" s="24">
        <v>46126.703483888887</v>
      </c>
      <c r="AC59" s="24">
        <v>46134.695328344904</v>
      </c>
      <c r="AD59" s="24">
        <v>46135.632727175929</v>
      </c>
      <c r="AE59">
        <v>2</v>
      </c>
      <c r="AF59" s="24">
        <v>46135.632786956019</v>
      </c>
      <c r="AG59" s="24">
        <v>46135.632786956019</v>
      </c>
      <c r="AH59" s="24">
        <v>46135.632840763887</v>
      </c>
      <c r="AI59" s="24">
        <v>46135.632840763887</v>
      </c>
      <c r="AJ59">
        <v>1</v>
      </c>
      <c r="AK59" s="24"/>
      <c r="AL59" s="24"/>
      <c r="AM59" s="24"/>
      <c r="AN59" s="24"/>
      <c r="AP59" s="24">
        <v>46135.632402175928</v>
      </c>
      <c r="AQ59" s="24">
        <v>46135.632402175928</v>
      </c>
      <c r="AR59" s="24">
        <v>46126.666065370373</v>
      </c>
      <c r="AS59" s="24">
        <v>46135.632560231483</v>
      </c>
      <c r="AT59">
        <v>1</v>
      </c>
      <c r="AX59" s="24"/>
      <c r="AY59" s="24"/>
      <c r="AZ59" s="24"/>
      <c r="BA59" s="24"/>
      <c r="BC59" s="24">
        <v>46135.400756504627</v>
      </c>
      <c r="BD59" s="24">
        <v>46135.400756504627</v>
      </c>
      <c r="BE59" s="24">
        <v>46135.632402175928</v>
      </c>
      <c r="BF59" s="24">
        <v>46135.632402175928</v>
      </c>
      <c r="BG59">
        <v>1</v>
      </c>
      <c r="BH59" s="24">
        <v>46135.632560231483</v>
      </c>
      <c r="BI59" s="24">
        <v>46126.666065370373</v>
      </c>
      <c r="BJ59" s="24">
        <v>46126.703483888887</v>
      </c>
      <c r="BK59" s="24">
        <v>46135.632620798613</v>
      </c>
      <c r="BL59">
        <v>2</v>
      </c>
      <c r="BM59" s="24">
        <v>46135.632727175929</v>
      </c>
      <c r="BN59" s="24">
        <v>46135.632727175929</v>
      </c>
      <c r="BO59" s="24">
        <v>46135.632786956019</v>
      </c>
      <c r="BP59" s="24">
        <v>46135.632786956019</v>
      </c>
      <c r="BQ59">
        <v>1</v>
      </c>
      <c r="BR59" s="24">
        <v>46135.632840763887</v>
      </c>
      <c r="BS59" s="24">
        <v>46134.695328344904</v>
      </c>
      <c r="BT59" s="24">
        <v>46135.400756504627</v>
      </c>
      <c r="BU59" s="24">
        <v>46135.632874537034</v>
      </c>
      <c r="BV59">
        <v>2</v>
      </c>
      <c r="BW59" s="24"/>
      <c r="BX59" s="24"/>
      <c r="BY59" s="24"/>
      <c r="BZ59" s="24"/>
      <c r="CB59" s="24"/>
      <c r="CC59" s="24"/>
      <c r="CE59" s="24">
        <v>46135.632874537034</v>
      </c>
      <c r="CF59" s="24">
        <v>46135.632874537034</v>
      </c>
      <c r="CG59">
        <v>1</v>
      </c>
      <c r="CH59" s="24"/>
      <c r="CI59" s="24"/>
      <c r="CJ59" s="24"/>
      <c r="CK59" s="24"/>
      <c r="DE59" s="24"/>
      <c r="DF59" s="24"/>
      <c r="DG59" s="24"/>
      <c r="DH59" s="24"/>
      <c r="DJ59" t="s">
        <v>149</v>
      </c>
      <c r="DK59" t="s">
        <v>149</v>
      </c>
      <c r="DM59">
        <v>9</v>
      </c>
      <c r="DN59">
        <v>9</v>
      </c>
      <c r="DQ59" t="s">
        <v>1000</v>
      </c>
      <c r="DR59" t="s">
        <v>149</v>
      </c>
      <c r="DS59" s="24">
        <v>46160.384426226854</v>
      </c>
    </row>
    <row r="60" spans="1:123" x14ac:dyDescent="0.3">
      <c r="A60" t="s">
        <v>322</v>
      </c>
      <c r="D60" t="s">
        <v>223</v>
      </c>
      <c r="E60" s="24">
        <v>46125.370150462964</v>
      </c>
      <c r="G60" t="s">
        <v>107</v>
      </c>
      <c r="H60" t="s">
        <v>154</v>
      </c>
      <c r="I60" s="24"/>
      <c r="J60" s="24"/>
      <c r="K60" s="24"/>
      <c r="L60" s="24"/>
      <c r="N60" s="24"/>
      <c r="O60" s="24"/>
      <c r="P60" s="24"/>
      <c r="Q60" s="24"/>
      <c r="V60" s="24"/>
      <c r="W60" s="24"/>
      <c r="X60" s="24"/>
      <c r="Y60" s="24"/>
      <c r="AA60" s="24"/>
      <c r="AB60" s="24"/>
      <c r="AC60" s="24"/>
      <c r="AD60" s="24"/>
      <c r="AF60" s="24"/>
      <c r="AG60" s="24"/>
      <c r="AH60" s="24"/>
      <c r="AI60" s="24"/>
      <c r="AK60" s="24"/>
      <c r="AL60" s="24"/>
      <c r="AM60" s="24"/>
      <c r="AN60" s="24"/>
      <c r="AP60" s="24"/>
      <c r="AQ60" s="24"/>
      <c r="AR60" s="24">
        <v>46126.665881342589</v>
      </c>
      <c r="AS60" s="24">
        <v>46126.665881342589</v>
      </c>
      <c r="AX60" s="24"/>
      <c r="AY60" s="24"/>
      <c r="AZ60" s="24"/>
      <c r="BA60" s="24"/>
      <c r="BC60" s="24"/>
      <c r="BD60" s="24"/>
      <c r="BE60" s="24"/>
      <c r="BF60" s="24"/>
      <c r="BH60" s="24">
        <v>46126.665881342589</v>
      </c>
      <c r="BI60" s="24">
        <v>46126.665881342589</v>
      </c>
      <c r="BJ60" s="24"/>
      <c r="BK60" s="24"/>
      <c r="BL60">
        <v>1</v>
      </c>
      <c r="BM60" s="24"/>
      <c r="BN60" s="24"/>
      <c r="BO60" s="24"/>
      <c r="BP60" s="24"/>
      <c r="BR60" s="24"/>
      <c r="BS60" s="24"/>
      <c r="BT60" s="24"/>
      <c r="BU60" s="24"/>
      <c r="BW60" s="24"/>
      <c r="BX60" s="24"/>
      <c r="BY60" s="24"/>
      <c r="BZ60" s="24"/>
      <c r="CB60" s="24"/>
      <c r="CC60" s="24"/>
      <c r="CE60" s="24"/>
      <c r="CF60" s="24"/>
      <c r="CH60" s="24"/>
      <c r="CI60" s="24"/>
      <c r="CJ60" s="24"/>
      <c r="CK60" s="24"/>
      <c r="DE60" s="24"/>
      <c r="DF60" s="24"/>
      <c r="DG60" s="24"/>
      <c r="DH60" s="24"/>
      <c r="DJ60" t="s">
        <v>149</v>
      </c>
      <c r="DK60" t="s">
        <v>149</v>
      </c>
      <c r="DP60">
        <v>34</v>
      </c>
      <c r="DQ60" t="s">
        <v>1000</v>
      </c>
      <c r="DR60" t="s">
        <v>149</v>
      </c>
      <c r="DS60" s="24">
        <v>46160.384426226854</v>
      </c>
    </row>
    <row r="61" spans="1:123" x14ac:dyDescent="0.3">
      <c r="A61" t="s">
        <v>257</v>
      </c>
      <c r="D61" t="s">
        <v>223</v>
      </c>
      <c r="E61" s="24">
        <v>46122.529791666668</v>
      </c>
      <c r="G61" t="s">
        <v>90</v>
      </c>
      <c r="H61" t="s">
        <v>155</v>
      </c>
      <c r="I61" s="24">
        <v>46142.400779224539</v>
      </c>
      <c r="J61" s="24">
        <v>46142.400779224539</v>
      </c>
      <c r="K61" s="24">
        <v>46142.400902002315</v>
      </c>
      <c r="L61" s="24">
        <v>46142.400902002315</v>
      </c>
      <c r="M61">
        <v>1</v>
      </c>
      <c r="N61" s="24">
        <v>46133.696221006947</v>
      </c>
      <c r="O61" s="24">
        <v>46127.391806666667</v>
      </c>
      <c r="P61" s="24">
        <v>46132.402368634263</v>
      </c>
      <c r="Q61" s="24">
        <v>46136.4006375463</v>
      </c>
      <c r="R61">
        <v>2</v>
      </c>
      <c r="V61" s="24"/>
      <c r="W61" s="24"/>
      <c r="X61" s="24"/>
      <c r="Y61" s="24"/>
      <c r="AA61" s="24">
        <v>46142.400942083332</v>
      </c>
      <c r="AB61" s="24">
        <v>46122.536087256944</v>
      </c>
      <c r="AC61" s="24">
        <v>46127.391806666667</v>
      </c>
      <c r="AD61" s="24">
        <v>46142.401059814816</v>
      </c>
      <c r="AE61">
        <v>4</v>
      </c>
      <c r="AF61" s="24">
        <v>46140.73948989583</v>
      </c>
      <c r="AG61" s="24">
        <v>46140.73948989583</v>
      </c>
      <c r="AH61" s="24">
        <v>46140.739544247685</v>
      </c>
      <c r="AI61" s="24">
        <v>46140.739544247685</v>
      </c>
      <c r="AJ61">
        <v>1</v>
      </c>
      <c r="AK61" s="24"/>
      <c r="AL61" s="24"/>
      <c r="AM61" s="24"/>
      <c r="AN61" s="24"/>
      <c r="AP61" s="24"/>
      <c r="AQ61" s="24"/>
      <c r="AR61" s="24">
        <v>46122.535993738427</v>
      </c>
      <c r="AS61" s="24">
        <v>46122.535993738427</v>
      </c>
      <c r="AX61" s="24"/>
      <c r="AY61" s="24"/>
      <c r="AZ61" s="24"/>
      <c r="BA61" s="24"/>
      <c r="BC61" s="24"/>
      <c r="BD61" s="24"/>
      <c r="BE61" s="24"/>
      <c r="BF61" s="24"/>
      <c r="BH61" s="24">
        <v>46142.400902002315</v>
      </c>
      <c r="BI61" s="24">
        <v>46122.535993738427</v>
      </c>
      <c r="BJ61" s="24">
        <v>46122.536087256944</v>
      </c>
      <c r="BK61" s="24">
        <v>46142.400942083332</v>
      </c>
      <c r="BL61">
        <v>2</v>
      </c>
      <c r="BM61" s="24">
        <v>46140.739544247685</v>
      </c>
      <c r="BN61" s="24">
        <v>46140.739544247685</v>
      </c>
      <c r="BO61" s="24">
        <v>46142.400212638888</v>
      </c>
      <c r="BP61" s="24">
        <v>46142.400212638888</v>
      </c>
      <c r="BQ61">
        <v>1</v>
      </c>
      <c r="BR61" s="24">
        <v>46142.401059814816</v>
      </c>
      <c r="BS61" s="24">
        <v>46142.401059814816</v>
      </c>
      <c r="BT61" s="24">
        <v>46142.401104282406</v>
      </c>
      <c r="BU61" s="24">
        <v>46142.401104282406</v>
      </c>
      <c r="BV61">
        <v>1</v>
      </c>
      <c r="BW61" s="24"/>
      <c r="BX61" s="24"/>
      <c r="BY61" s="24"/>
      <c r="BZ61" s="24"/>
      <c r="CB61" s="24">
        <v>46142.400212638888</v>
      </c>
      <c r="CC61" s="24">
        <v>46142.400212638888</v>
      </c>
      <c r="CD61">
        <v>1</v>
      </c>
      <c r="CE61" s="24">
        <v>46142.401104282406</v>
      </c>
      <c r="CF61" s="24">
        <v>46142.401104282406</v>
      </c>
      <c r="CG61">
        <v>1</v>
      </c>
      <c r="CH61" s="24"/>
      <c r="CI61" s="24"/>
      <c r="CJ61" s="24"/>
      <c r="CK61" s="24"/>
      <c r="DE61" s="24"/>
      <c r="DF61" s="24"/>
      <c r="DG61" s="24"/>
      <c r="DH61" s="24"/>
      <c r="DJ61" t="s">
        <v>149</v>
      </c>
      <c r="DK61" t="s">
        <v>149</v>
      </c>
      <c r="DL61">
        <v>7.7149784722222225</v>
      </c>
      <c r="DM61">
        <v>20</v>
      </c>
      <c r="DN61">
        <v>20</v>
      </c>
      <c r="DQ61" t="s">
        <v>1000</v>
      </c>
      <c r="DR61" t="s">
        <v>149</v>
      </c>
      <c r="DS61" s="24">
        <v>46160.384426226854</v>
      </c>
    </row>
    <row r="62" spans="1:123" x14ac:dyDescent="0.3">
      <c r="A62" t="s">
        <v>323</v>
      </c>
      <c r="D62" t="s">
        <v>223</v>
      </c>
      <c r="E62" s="24">
        <v>46122.308599537035</v>
      </c>
      <c r="G62" t="s">
        <v>90</v>
      </c>
      <c r="H62" t="s">
        <v>155</v>
      </c>
      <c r="I62" s="24"/>
      <c r="J62" s="24"/>
      <c r="K62" s="24"/>
      <c r="L62" s="24"/>
      <c r="N62" s="24"/>
      <c r="O62" s="24"/>
      <c r="P62" s="24"/>
      <c r="Q62" s="24"/>
      <c r="V62" s="24"/>
      <c r="W62" s="24"/>
      <c r="X62" s="24"/>
      <c r="Y62" s="24"/>
      <c r="AA62" s="24">
        <v>46135.458524074071</v>
      </c>
      <c r="AB62" s="24">
        <v>46135.363249629627</v>
      </c>
      <c r="AC62" s="24">
        <v>46135.458234814818</v>
      </c>
      <c r="AD62" s="24">
        <v>46135.458692164349</v>
      </c>
      <c r="AE62">
        <v>2</v>
      </c>
      <c r="AF62" s="24">
        <v>46135.458234814818</v>
      </c>
      <c r="AG62" s="24">
        <v>46135.458234814818</v>
      </c>
      <c r="AH62" s="24">
        <v>46135.458282719905</v>
      </c>
      <c r="AI62" s="24">
        <v>46135.458282719905</v>
      </c>
      <c r="AJ62">
        <v>1</v>
      </c>
      <c r="AK62" s="24"/>
      <c r="AL62" s="24"/>
      <c r="AM62" s="24"/>
      <c r="AN62" s="24"/>
      <c r="AP62" s="24"/>
      <c r="AQ62" s="24"/>
      <c r="AR62" s="24">
        <v>46126.668369513885</v>
      </c>
      <c r="AS62" s="24">
        <v>46126.668369513885</v>
      </c>
      <c r="AX62" s="24"/>
      <c r="AY62" s="24"/>
      <c r="AZ62" s="24"/>
      <c r="BA62" s="24"/>
      <c r="BC62" s="24"/>
      <c r="BD62" s="24"/>
      <c r="BE62" s="24"/>
      <c r="BF62" s="24"/>
      <c r="BH62" s="24">
        <v>46126.668369513885</v>
      </c>
      <c r="BI62" s="24">
        <v>46126.668369513885</v>
      </c>
      <c r="BJ62" s="24">
        <v>46135.363249629627</v>
      </c>
      <c r="BK62" s="24">
        <v>46135.363249629627</v>
      </c>
      <c r="BL62">
        <v>1</v>
      </c>
      <c r="BM62" s="24">
        <v>46135.458282719905</v>
      </c>
      <c r="BN62" s="24">
        <v>46135.458282719905</v>
      </c>
      <c r="BO62" s="24">
        <v>46135.458524074071</v>
      </c>
      <c r="BP62" s="24">
        <v>46135.458524074071</v>
      </c>
      <c r="BQ62">
        <v>1</v>
      </c>
      <c r="BR62" s="24">
        <v>46135.458692164349</v>
      </c>
      <c r="BS62" s="24">
        <v>46135.458692164349</v>
      </c>
      <c r="BT62" s="24">
        <v>46136.401678773145</v>
      </c>
      <c r="BU62" s="24">
        <v>46136.401678773145</v>
      </c>
      <c r="BV62">
        <v>1</v>
      </c>
      <c r="BW62" s="24"/>
      <c r="BX62" s="24"/>
      <c r="BY62" s="24"/>
      <c r="BZ62" s="24"/>
      <c r="CB62" s="24"/>
      <c r="CC62" s="24"/>
      <c r="CE62" s="24">
        <v>46136.401678773145</v>
      </c>
      <c r="CF62" s="24">
        <v>46136.401678773145</v>
      </c>
      <c r="CG62">
        <v>1</v>
      </c>
      <c r="CH62" s="24"/>
      <c r="CI62" s="24"/>
      <c r="CJ62" s="24"/>
      <c r="CK62" s="24"/>
      <c r="DE62" s="24"/>
      <c r="DF62" s="24"/>
      <c r="DG62" s="24"/>
      <c r="DH62" s="24"/>
      <c r="DJ62" t="s">
        <v>149</v>
      </c>
      <c r="DK62" t="s">
        <v>149</v>
      </c>
      <c r="DM62">
        <v>10</v>
      </c>
      <c r="DN62">
        <v>2</v>
      </c>
      <c r="DQ62" t="s">
        <v>1000</v>
      </c>
      <c r="DR62" t="s">
        <v>149</v>
      </c>
      <c r="DS62" s="24">
        <v>46160.384426226854</v>
      </c>
    </row>
    <row r="63" spans="1:123" x14ac:dyDescent="0.3">
      <c r="A63" t="s">
        <v>324</v>
      </c>
      <c r="D63" t="s">
        <v>225</v>
      </c>
      <c r="E63" s="24">
        <v>46120.486805555556</v>
      </c>
      <c r="G63" t="s">
        <v>102</v>
      </c>
      <c r="H63" t="s">
        <v>154</v>
      </c>
      <c r="I63" s="24"/>
      <c r="J63" s="24"/>
      <c r="K63" s="24"/>
      <c r="L63" s="24"/>
      <c r="N63" s="24"/>
      <c r="O63" s="24"/>
      <c r="P63" s="24"/>
      <c r="Q63" s="24"/>
      <c r="V63" s="24"/>
      <c r="W63" s="24"/>
      <c r="X63" s="24"/>
      <c r="Y63" s="24"/>
      <c r="AA63" s="24"/>
      <c r="AB63" s="24"/>
      <c r="AC63" s="24"/>
      <c r="AD63" s="24"/>
      <c r="AF63" s="24"/>
      <c r="AG63" s="24"/>
      <c r="AH63" s="24"/>
      <c r="AI63" s="24"/>
      <c r="AK63" s="24"/>
      <c r="AL63" s="24"/>
      <c r="AM63" s="24"/>
      <c r="AN63" s="24"/>
      <c r="AP63" s="24"/>
      <c r="AQ63" s="24"/>
      <c r="AR63" s="24"/>
      <c r="AS63" s="24"/>
      <c r="AX63" s="24"/>
      <c r="AY63" s="24"/>
      <c r="AZ63" s="24"/>
      <c r="BA63" s="24"/>
      <c r="BC63" s="24"/>
      <c r="BD63" s="24"/>
      <c r="BE63" s="24"/>
      <c r="BF63" s="24"/>
      <c r="BH63" s="24"/>
      <c r="BI63" s="24"/>
      <c r="BJ63" s="24"/>
      <c r="BK63" s="24"/>
      <c r="BM63" s="24"/>
      <c r="BN63" s="24"/>
      <c r="BO63" s="24"/>
      <c r="BP63" s="24"/>
      <c r="BR63" s="24"/>
      <c r="BS63" s="24"/>
      <c r="BT63" s="24"/>
      <c r="BU63" s="24"/>
      <c r="BW63" s="24"/>
      <c r="BX63" s="24"/>
      <c r="BY63" s="24"/>
      <c r="BZ63" s="24"/>
      <c r="CB63" s="24"/>
      <c r="CC63" s="24"/>
      <c r="CE63" s="24"/>
      <c r="CF63" s="24"/>
      <c r="CH63" s="24"/>
      <c r="CI63" s="24"/>
      <c r="CJ63" s="24"/>
      <c r="CK63" s="24"/>
      <c r="DE63" s="24"/>
      <c r="DF63" s="24"/>
      <c r="DG63" s="24"/>
      <c r="DH63" s="24"/>
      <c r="DJ63" t="s">
        <v>149</v>
      </c>
      <c r="DK63" t="s">
        <v>149</v>
      </c>
      <c r="DQ63" t="s">
        <v>1000</v>
      </c>
      <c r="DR63" t="s">
        <v>149</v>
      </c>
      <c r="DS63" s="24">
        <v>46160.384426226854</v>
      </c>
    </row>
    <row r="64" spans="1:123" x14ac:dyDescent="0.3">
      <c r="A64" t="s">
        <v>325</v>
      </c>
      <c r="D64" t="s">
        <v>223</v>
      </c>
      <c r="E64" s="24">
        <v>46120.47347222222</v>
      </c>
      <c r="G64" t="s">
        <v>102</v>
      </c>
      <c r="H64" t="s">
        <v>154</v>
      </c>
      <c r="I64" s="24"/>
      <c r="J64" s="24"/>
      <c r="K64" s="24"/>
      <c r="L64" s="24"/>
      <c r="N64" s="24"/>
      <c r="O64" s="24"/>
      <c r="P64" s="24"/>
      <c r="Q64" s="24"/>
      <c r="V64" s="24"/>
      <c r="W64" s="24"/>
      <c r="X64" s="24"/>
      <c r="Y64" s="24"/>
      <c r="AA64" s="24"/>
      <c r="AB64" s="24"/>
      <c r="AC64" s="24"/>
      <c r="AD64" s="24"/>
      <c r="AF64" s="24"/>
      <c r="AG64" s="24"/>
      <c r="AH64" s="24"/>
      <c r="AI64" s="24"/>
      <c r="AK64" s="24"/>
      <c r="AL64" s="24"/>
      <c r="AM64" s="24"/>
      <c r="AN64" s="24"/>
      <c r="AP64" s="24"/>
      <c r="AQ64" s="24"/>
      <c r="AR64" s="24"/>
      <c r="AS64" s="24"/>
      <c r="AX64" s="24"/>
      <c r="AY64" s="24"/>
      <c r="AZ64" s="24"/>
      <c r="BA64" s="24"/>
      <c r="BC64" s="24"/>
      <c r="BD64" s="24"/>
      <c r="BE64" s="24"/>
      <c r="BF64" s="24"/>
      <c r="BH64" s="24"/>
      <c r="BI64" s="24"/>
      <c r="BJ64" s="24"/>
      <c r="BK64" s="24"/>
      <c r="BM64" s="24"/>
      <c r="BN64" s="24"/>
      <c r="BO64" s="24"/>
      <c r="BP64" s="24"/>
      <c r="BR64" s="24"/>
      <c r="BS64" s="24"/>
      <c r="BT64" s="24"/>
      <c r="BU64" s="24"/>
      <c r="BW64" s="24"/>
      <c r="BX64" s="24"/>
      <c r="BY64" s="24"/>
      <c r="BZ64" s="24"/>
      <c r="CB64" s="24"/>
      <c r="CC64" s="24"/>
      <c r="CE64" s="24"/>
      <c r="CF64" s="24"/>
      <c r="CH64" s="24"/>
      <c r="CI64" s="24"/>
      <c r="CJ64" s="24"/>
      <c r="CK64" s="24"/>
      <c r="DE64" s="24"/>
      <c r="DF64" s="24"/>
      <c r="DG64" s="24"/>
      <c r="DH64" s="24"/>
      <c r="DJ64" t="s">
        <v>149</v>
      </c>
      <c r="DK64" t="s">
        <v>149</v>
      </c>
      <c r="DQ64" t="s">
        <v>1000</v>
      </c>
      <c r="DR64" t="s">
        <v>149</v>
      </c>
      <c r="DS64" s="24">
        <v>46160.384426226854</v>
      </c>
    </row>
    <row r="65" spans="1:123" x14ac:dyDescent="0.3">
      <c r="A65" t="s">
        <v>326</v>
      </c>
      <c r="D65" t="s">
        <v>223</v>
      </c>
      <c r="E65" s="24">
        <v>46120.464166666665</v>
      </c>
      <c r="G65" t="s">
        <v>102</v>
      </c>
      <c r="H65" t="s">
        <v>154</v>
      </c>
      <c r="I65" s="24"/>
      <c r="J65" s="24"/>
      <c r="K65" s="24"/>
      <c r="L65" s="24"/>
      <c r="N65" s="24"/>
      <c r="O65" s="24"/>
      <c r="P65" s="24"/>
      <c r="Q65" s="24"/>
      <c r="V65" s="24"/>
      <c r="W65" s="24"/>
      <c r="X65" s="24"/>
      <c r="Y65" s="24"/>
      <c r="AA65" s="24"/>
      <c r="AB65" s="24"/>
      <c r="AC65" s="24"/>
      <c r="AD65" s="24"/>
      <c r="AF65" s="24"/>
      <c r="AG65" s="24"/>
      <c r="AH65" s="24"/>
      <c r="AI65" s="24"/>
      <c r="AK65" s="24"/>
      <c r="AL65" s="24"/>
      <c r="AM65" s="24"/>
      <c r="AN65" s="24"/>
      <c r="AP65" s="24"/>
      <c r="AQ65" s="24"/>
      <c r="AR65" s="24"/>
      <c r="AS65" s="24"/>
      <c r="AX65" s="24"/>
      <c r="AY65" s="24"/>
      <c r="AZ65" s="24"/>
      <c r="BA65" s="24"/>
      <c r="BC65" s="24"/>
      <c r="BD65" s="24"/>
      <c r="BE65" s="24"/>
      <c r="BF65" s="24"/>
      <c r="BH65" s="24"/>
      <c r="BI65" s="24"/>
      <c r="BJ65" s="24"/>
      <c r="BK65" s="24"/>
      <c r="BM65" s="24"/>
      <c r="BN65" s="24"/>
      <c r="BO65" s="24"/>
      <c r="BP65" s="24"/>
      <c r="BR65" s="24"/>
      <c r="BS65" s="24"/>
      <c r="BT65" s="24"/>
      <c r="BU65" s="24"/>
      <c r="BW65" s="24"/>
      <c r="BX65" s="24"/>
      <c r="BY65" s="24"/>
      <c r="BZ65" s="24"/>
      <c r="CB65" s="24"/>
      <c r="CC65" s="24"/>
      <c r="CE65" s="24"/>
      <c r="CF65" s="24"/>
      <c r="CH65" s="24"/>
      <c r="CI65" s="24"/>
      <c r="CJ65" s="24"/>
      <c r="CK65" s="24"/>
      <c r="DE65" s="24"/>
      <c r="DF65" s="24"/>
      <c r="DG65" s="24"/>
      <c r="DH65" s="24"/>
      <c r="DJ65" t="s">
        <v>149</v>
      </c>
      <c r="DK65" t="s">
        <v>149</v>
      </c>
      <c r="DQ65" t="s">
        <v>1000</v>
      </c>
      <c r="DR65" t="s">
        <v>149</v>
      </c>
      <c r="DS65" s="24">
        <v>46160.384426226854</v>
      </c>
    </row>
    <row r="66" spans="1:123" x14ac:dyDescent="0.3">
      <c r="A66" t="s">
        <v>327</v>
      </c>
      <c r="D66" t="s">
        <v>223</v>
      </c>
      <c r="E66" s="24">
        <v>46119.582615740743</v>
      </c>
      <c r="G66" t="s">
        <v>102</v>
      </c>
      <c r="H66" t="s">
        <v>154</v>
      </c>
      <c r="I66" s="24"/>
      <c r="J66" s="24"/>
      <c r="K66" s="24"/>
      <c r="L66" s="24"/>
      <c r="N66" s="24"/>
      <c r="O66" s="24"/>
      <c r="P66" s="24"/>
      <c r="Q66" s="24"/>
      <c r="V66" s="24"/>
      <c r="W66" s="24"/>
      <c r="X66" s="24"/>
      <c r="Y66" s="24"/>
      <c r="AA66" s="24"/>
      <c r="AB66" s="24"/>
      <c r="AC66" s="24"/>
      <c r="AD66" s="24"/>
      <c r="AF66" s="24"/>
      <c r="AG66" s="24"/>
      <c r="AH66" s="24"/>
      <c r="AI66" s="24"/>
      <c r="AK66" s="24"/>
      <c r="AL66" s="24"/>
      <c r="AM66" s="24"/>
      <c r="AN66" s="24"/>
      <c r="AP66" s="24"/>
      <c r="AQ66" s="24"/>
      <c r="AR66" s="24"/>
      <c r="AS66" s="24"/>
      <c r="AX66" s="24"/>
      <c r="AY66" s="24"/>
      <c r="AZ66" s="24"/>
      <c r="BA66" s="24"/>
      <c r="BC66" s="24"/>
      <c r="BD66" s="24"/>
      <c r="BE66" s="24"/>
      <c r="BF66" s="24"/>
      <c r="BH66" s="24"/>
      <c r="BI66" s="24"/>
      <c r="BJ66" s="24"/>
      <c r="BK66" s="24"/>
      <c r="BM66" s="24"/>
      <c r="BN66" s="24"/>
      <c r="BO66" s="24"/>
      <c r="BP66" s="24"/>
      <c r="BR66" s="24"/>
      <c r="BS66" s="24"/>
      <c r="BT66" s="24"/>
      <c r="BU66" s="24"/>
      <c r="BW66" s="24"/>
      <c r="BX66" s="24"/>
      <c r="BY66" s="24"/>
      <c r="BZ66" s="24"/>
      <c r="CB66" s="24"/>
      <c r="CC66" s="24"/>
      <c r="CE66" s="24"/>
      <c r="CF66" s="24"/>
      <c r="CH66" s="24"/>
      <c r="CI66" s="24"/>
      <c r="CJ66" s="24"/>
      <c r="CK66" s="24"/>
      <c r="DE66" s="24"/>
      <c r="DF66" s="24"/>
      <c r="DG66" s="24"/>
      <c r="DH66" s="24"/>
      <c r="DJ66" t="s">
        <v>149</v>
      </c>
      <c r="DK66" t="s">
        <v>149</v>
      </c>
      <c r="DQ66" t="s">
        <v>1000</v>
      </c>
      <c r="DR66" t="s">
        <v>149</v>
      </c>
      <c r="DS66" s="24">
        <v>46160.384426226854</v>
      </c>
    </row>
    <row r="67" spans="1:123" x14ac:dyDescent="0.3">
      <c r="A67" t="s">
        <v>328</v>
      </c>
      <c r="D67" t="s">
        <v>223</v>
      </c>
      <c r="E67" s="24">
        <v>46119.57880787037</v>
      </c>
      <c r="G67" t="s">
        <v>102</v>
      </c>
      <c r="H67" t="s">
        <v>154</v>
      </c>
      <c r="I67" s="24"/>
      <c r="J67" s="24"/>
      <c r="K67" s="24"/>
      <c r="L67" s="24"/>
      <c r="N67" s="24"/>
      <c r="O67" s="24"/>
      <c r="P67" s="24"/>
      <c r="Q67" s="24"/>
      <c r="V67" s="24"/>
      <c r="W67" s="24"/>
      <c r="X67" s="24"/>
      <c r="Y67" s="24"/>
      <c r="AA67" s="24"/>
      <c r="AB67" s="24"/>
      <c r="AC67" s="24"/>
      <c r="AD67" s="24"/>
      <c r="AF67" s="24"/>
      <c r="AG67" s="24"/>
      <c r="AH67" s="24"/>
      <c r="AI67" s="24"/>
      <c r="AK67" s="24"/>
      <c r="AL67" s="24"/>
      <c r="AM67" s="24"/>
      <c r="AN67" s="24"/>
      <c r="AP67" s="24"/>
      <c r="AQ67" s="24"/>
      <c r="AR67" s="24"/>
      <c r="AS67" s="24"/>
      <c r="AX67" s="24"/>
      <c r="AY67" s="24"/>
      <c r="AZ67" s="24"/>
      <c r="BA67" s="24"/>
      <c r="BC67" s="24"/>
      <c r="BD67" s="24"/>
      <c r="BE67" s="24"/>
      <c r="BF67" s="24"/>
      <c r="BH67" s="24"/>
      <c r="BI67" s="24"/>
      <c r="BJ67" s="24"/>
      <c r="BK67" s="24"/>
      <c r="BM67" s="24"/>
      <c r="BN67" s="24"/>
      <c r="BO67" s="24"/>
      <c r="BP67" s="24"/>
      <c r="BR67" s="24"/>
      <c r="BS67" s="24"/>
      <c r="BT67" s="24"/>
      <c r="BU67" s="24"/>
      <c r="BW67" s="24"/>
      <c r="BX67" s="24"/>
      <c r="BY67" s="24"/>
      <c r="BZ67" s="24"/>
      <c r="CB67" s="24"/>
      <c r="CC67" s="24"/>
      <c r="CE67" s="24"/>
      <c r="CF67" s="24"/>
      <c r="CH67" s="24"/>
      <c r="CI67" s="24"/>
      <c r="CJ67" s="24"/>
      <c r="CK67" s="24"/>
      <c r="DE67" s="24"/>
      <c r="DF67" s="24"/>
      <c r="DG67" s="24"/>
      <c r="DH67" s="24"/>
      <c r="DJ67" t="s">
        <v>149</v>
      </c>
      <c r="DK67" t="s">
        <v>149</v>
      </c>
      <c r="DQ67" t="s">
        <v>1000</v>
      </c>
      <c r="DR67" t="s">
        <v>149</v>
      </c>
      <c r="DS67" s="24">
        <v>46160.384426226854</v>
      </c>
    </row>
    <row r="68" spans="1:123" x14ac:dyDescent="0.3">
      <c r="A68" t="s">
        <v>329</v>
      </c>
      <c r="D68" t="s">
        <v>223</v>
      </c>
      <c r="E68" s="24">
        <v>46119.574537037035</v>
      </c>
      <c r="G68" t="s">
        <v>102</v>
      </c>
      <c r="H68" t="s">
        <v>154</v>
      </c>
      <c r="I68" s="24"/>
      <c r="J68" s="24"/>
      <c r="K68" s="24"/>
      <c r="L68" s="24"/>
      <c r="N68" s="24"/>
      <c r="O68" s="24"/>
      <c r="P68" s="24"/>
      <c r="Q68" s="24"/>
      <c r="V68" s="24"/>
      <c r="W68" s="24"/>
      <c r="X68" s="24"/>
      <c r="Y68" s="24"/>
      <c r="AA68" s="24"/>
      <c r="AB68" s="24"/>
      <c r="AC68" s="24"/>
      <c r="AD68" s="24"/>
      <c r="AF68" s="24"/>
      <c r="AG68" s="24"/>
      <c r="AH68" s="24"/>
      <c r="AI68" s="24"/>
      <c r="AK68" s="24"/>
      <c r="AL68" s="24"/>
      <c r="AM68" s="24"/>
      <c r="AN68" s="24"/>
      <c r="AP68" s="24"/>
      <c r="AQ68" s="24"/>
      <c r="AR68" s="24"/>
      <c r="AS68" s="24"/>
      <c r="AX68" s="24"/>
      <c r="AY68" s="24"/>
      <c r="AZ68" s="24"/>
      <c r="BA68" s="24"/>
      <c r="BC68" s="24"/>
      <c r="BD68" s="24"/>
      <c r="BE68" s="24"/>
      <c r="BF68" s="24"/>
      <c r="BH68" s="24"/>
      <c r="BI68" s="24"/>
      <c r="BJ68" s="24"/>
      <c r="BK68" s="24"/>
      <c r="BM68" s="24"/>
      <c r="BN68" s="24"/>
      <c r="BO68" s="24"/>
      <c r="BP68" s="24"/>
      <c r="BR68" s="24"/>
      <c r="BS68" s="24"/>
      <c r="BT68" s="24"/>
      <c r="BU68" s="24"/>
      <c r="BW68" s="24"/>
      <c r="BX68" s="24"/>
      <c r="BY68" s="24"/>
      <c r="BZ68" s="24"/>
      <c r="CB68" s="24"/>
      <c r="CC68" s="24"/>
      <c r="CE68" s="24"/>
      <c r="CF68" s="24"/>
      <c r="CH68" s="24"/>
      <c r="CI68" s="24"/>
      <c r="CJ68" s="24"/>
      <c r="CK68" s="24"/>
      <c r="DE68" s="24"/>
      <c r="DF68" s="24"/>
      <c r="DG68" s="24"/>
      <c r="DH68" s="24"/>
      <c r="DJ68" t="s">
        <v>149</v>
      </c>
      <c r="DK68" t="s">
        <v>149</v>
      </c>
      <c r="DQ68" t="s">
        <v>1000</v>
      </c>
      <c r="DR68" t="s">
        <v>149</v>
      </c>
      <c r="DS68" s="24">
        <v>46160.384426226854</v>
      </c>
    </row>
    <row r="69" spans="1:123" x14ac:dyDescent="0.3">
      <c r="A69" t="s">
        <v>330</v>
      </c>
      <c r="D69" t="s">
        <v>223</v>
      </c>
      <c r="E69" s="24">
        <v>46119.528773148151</v>
      </c>
      <c r="G69" t="s">
        <v>90</v>
      </c>
      <c r="H69" t="s">
        <v>155</v>
      </c>
      <c r="I69" s="24"/>
      <c r="J69" s="24"/>
      <c r="K69" s="24"/>
      <c r="L69" s="24"/>
      <c r="N69" s="24"/>
      <c r="O69" s="24"/>
      <c r="P69" s="24"/>
      <c r="Q69" s="24"/>
      <c r="V69" s="24"/>
      <c r="W69" s="24"/>
      <c r="X69" s="24"/>
      <c r="Y69" s="24"/>
      <c r="AA69" s="24">
        <v>46132.769265219904</v>
      </c>
      <c r="AB69" s="24">
        <v>46129.710916875003</v>
      </c>
      <c r="AC69" s="24">
        <v>46129.714558344909</v>
      </c>
      <c r="AD69" s="24">
        <v>46132.76937652778</v>
      </c>
      <c r="AE69">
        <v>2</v>
      </c>
      <c r="AF69" s="24">
        <v>46132.771811840277</v>
      </c>
      <c r="AG69" s="24">
        <v>46129.714558344909</v>
      </c>
      <c r="AH69" s="24">
        <v>46132.768390138888</v>
      </c>
      <c r="AI69" s="24">
        <v>46132.771912870368</v>
      </c>
      <c r="AJ69">
        <v>3</v>
      </c>
      <c r="AK69" s="24"/>
      <c r="AL69" s="24"/>
      <c r="AM69" s="24"/>
      <c r="AN69" s="24"/>
      <c r="AP69" s="24"/>
      <c r="AQ69" s="24"/>
      <c r="AR69" s="24">
        <v>46129.710854780089</v>
      </c>
      <c r="AS69" s="24">
        <v>46129.710854780089</v>
      </c>
      <c r="AX69" s="24"/>
      <c r="AY69" s="24"/>
      <c r="AZ69" s="24"/>
      <c r="BA69" s="24"/>
      <c r="BC69" s="24"/>
      <c r="BD69" s="24"/>
      <c r="BE69" s="24"/>
      <c r="BF69" s="24"/>
      <c r="BH69" s="24">
        <v>46129.710854780089</v>
      </c>
      <c r="BI69" s="24">
        <v>46129.710854780089</v>
      </c>
      <c r="BJ69" s="24">
        <v>46129.710916875003</v>
      </c>
      <c r="BK69" s="24">
        <v>46129.710916875003</v>
      </c>
      <c r="BL69">
        <v>1</v>
      </c>
      <c r="BM69" s="24">
        <v>46132.769648935187</v>
      </c>
      <c r="BN69" s="24">
        <v>46132.769648935187</v>
      </c>
      <c r="BO69" s="24">
        <v>46132.771811840277</v>
      </c>
      <c r="BP69" s="24">
        <v>46132.771811840277</v>
      </c>
      <c r="BQ69">
        <v>1</v>
      </c>
      <c r="BR69" s="24">
        <v>46132.771912870368</v>
      </c>
      <c r="BS69" s="24">
        <v>46132.768390138888</v>
      </c>
      <c r="BT69" s="24">
        <v>46132.769265219904</v>
      </c>
      <c r="BU69" s="24">
        <v>46133.402186319443</v>
      </c>
      <c r="BV69">
        <v>2</v>
      </c>
      <c r="BW69" s="24"/>
      <c r="BX69" s="24"/>
      <c r="BY69" s="24"/>
      <c r="BZ69" s="24"/>
      <c r="CB69" s="24"/>
      <c r="CC69" s="24"/>
      <c r="CE69" s="24">
        <v>46133.402186319443</v>
      </c>
      <c r="CF69" s="24">
        <v>46133.402186319443</v>
      </c>
      <c r="CG69">
        <v>1</v>
      </c>
      <c r="CH69" s="24"/>
      <c r="CI69" s="24"/>
      <c r="CJ69" s="24"/>
      <c r="CK69" s="24"/>
      <c r="DE69" s="24"/>
      <c r="DF69" s="24"/>
      <c r="DG69" s="24"/>
      <c r="DH69" s="24"/>
      <c r="DJ69" t="s">
        <v>149</v>
      </c>
      <c r="DK69" t="s">
        <v>149</v>
      </c>
      <c r="DM69">
        <v>4</v>
      </c>
      <c r="DN69">
        <v>4</v>
      </c>
      <c r="DQ69" t="s">
        <v>1000</v>
      </c>
      <c r="DR69" t="s">
        <v>149</v>
      </c>
      <c r="DS69" s="24">
        <v>46160.384426226854</v>
      </c>
    </row>
    <row r="70" spans="1:123" x14ac:dyDescent="0.3">
      <c r="A70" t="s">
        <v>331</v>
      </c>
      <c r="D70" t="s">
        <v>223</v>
      </c>
      <c r="E70" s="24">
        <v>46119.392141203702</v>
      </c>
      <c r="G70" t="s">
        <v>102</v>
      </c>
      <c r="H70" t="s">
        <v>154</v>
      </c>
      <c r="I70" s="24"/>
      <c r="J70" s="24"/>
      <c r="K70" s="24"/>
      <c r="L70" s="24"/>
      <c r="N70" s="24"/>
      <c r="O70" s="24"/>
      <c r="P70" s="24"/>
      <c r="Q70" s="24"/>
      <c r="V70" s="24"/>
      <c r="W70" s="24"/>
      <c r="X70" s="24"/>
      <c r="Y70" s="24"/>
      <c r="AA70" s="24">
        <v>46119.410056006942</v>
      </c>
      <c r="AB70" s="24">
        <v>46119.410056006942</v>
      </c>
      <c r="AC70" s="24">
        <v>46119.410150497686</v>
      </c>
      <c r="AD70" s="24">
        <v>46119.410150497686</v>
      </c>
      <c r="AE70">
        <v>1</v>
      </c>
      <c r="AF70" s="24"/>
      <c r="AG70" s="24"/>
      <c r="AH70" s="24"/>
      <c r="AI70" s="24"/>
      <c r="AK70" s="24"/>
      <c r="AL70" s="24"/>
      <c r="AM70" s="24"/>
      <c r="AN70" s="24"/>
      <c r="AP70" s="24">
        <v>46125.768315393521</v>
      </c>
      <c r="AQ70" s="24">
        <v>46125.768315393521</v>
      </c>
      <c r="AR70" s="24"/>
      <c r="AS70" s="24"/>
      <c r="AT70">
        <v>1</v>
      </c>
      <c r="AU70">
        <v>46119.410150497686</v>
      </c>
      <c r="AV70">
        <v>46119.410150497686</v>
      </c>
      <c r="AW70">
        <v>1</v>
      </c>
      <c r="AX70" s="24"/>
      <c r="AY70" s="24"/>
      <c r="AZ70" s="24"/>
      <c r="BA70" s="24"/>
      <c r="BC70" s="24"/>
      <c r="BD70" s="24"/>
      <c r="BE70" s="24"/>
      <c r="BF70" s="24"/>
      <c r="BH70" s="24"/>
      <c r="BI70" s="24"/>
      <c r="BJ70" s="24"/>
      <c r="BK70" s="24"/>
      <c r="BM70" s="24"/>
      <c r="BN70" s="24"/>
      <c r="BO70" s="24"/>
      <c r="BP70" s="24"/>
      <c r="BR70" s="24"/>
      <c r="BS70" s="24"/>
      <c r="BT70" s="24"/>
      <c r="BU70" s="24"/>
      <c r="BW70" s="24"/>
      <c r="BX70" s="24"/>
      <c r="BY70" s="24"/>
      <c r="BZ70" s="24"/>
      <c r="CB70" s="24"/>
      <c r="CC70" s="24"/>
      <c r="CE70" s="24"/>
      <c r="CF70" s="24"/>
      <c r="CH70" s="24"/>
      <c r="CI70" s="24"/>
      <c r="CJ70" s="24"/>
      <c r="CK70" s="24"/>
      <c r="DE70" s="24"/>
      <c r="DF70" s="24"/>
      <c r="DG70" s="24"/>
      <c r="DH70" s="24"/>
      <c r="DJ70" t="s">
        <v>149</v>
      </c>
      <c r="DK70" t="s">
        <v>149</v>
      </c>
      <c r="DO70">
        <v>41</v>
      </c>
      <c r="DP70">
        <v>35</v>
      </c>
      <c r="DQ70" t="s">
        <v>1000</v>
      </c>
      <c r="DR70" t="s">
        <v>149</v>
      </c>
      <c r="DS70" s="24">
        <v>46160.384426226854</v>
      </c>
    </row>
    <row r="71" spans="1:123" x14ac:dyDescent="0.3">
      <c r="A71" t="s">
        <v>332</v>
      </c>
      <c r="D71" t="s">
        <v>223</v>
      </c>
      <c r="E71" s="24">
        <v>46119.382395833331</v>
      </c>
      <c r="G71" t="s">
        <v>150</v>
      </c>
      <c r="H71" t="s">
        <v>155</v>
      </c>
      <c r="I71" s="24"/>
      <c r="J71" s="24"/>
      <c r="K71" s="24"/>
      <c r="L71" s="24"/>
      <c r="N71" s="24"/>
      <c r="O71" s="24"/>
      <c r="P71" s="24"/>
      <c r="Q71" s="24"/>
      <c r="V71" s="24"/>
      <c r="W71" s="24"/>
      <c r="X71" s="24"/>
      <c r="Y71" s="24"/>
      <c r="AA71" s="24"/>
      <c r="AB71" s="24"/>
      <c r="AC71" s="24"/>
      <c r="AD71" s="24"/>
      <c r="AF71" s="24"/>
      <c r="AG71" s="24"/>
      <c r="AH71" s="24"/>
      <c r="AI71" s="24"/>
      <c r="AK71" s="24"/>
      <c r="AL71" s="24"/>
      <c r="AM71" s="24"/>
      <c r="AN71" s="24"/>
      <c r="AP71" s="24">
        <v>46125.791689745369</v>
      </c>
      <c r="AQ71" s="24">
        <v>46125.791689745369</v>
      </c>
      <c r="AR71" s="24">
        <v>46135.63544435185</v>
      </c>
      <c r="AS71" s="24">
        <v>46135.63544435185</v>
      </c>
      <c r="AT71">
        <v>1</v>
      </c>
      <c r="AX71" s="24"/>
      <c r="AY71" s="24"/>
      <c r="AZ71" s="24"/>
      <c r="BA71" s="24"/>
      <c r="BC71" s="24"/>
      <c r="BD71" s="24"/>
      <c r="BE71" s="24"/>
      <c r="BF71" s="24"/>
      <c r="BH71" s="24"/>
      <c r="BI71" s="24"/>
      <c r="BJ71" s="24"/>
      <c r="BK71" s="24"/>
      <c r="BM71" s="24"/>
      <c r="BN71" s="24"/>
      <c r="BO71" s="24"/>
      <c r="BP71" s="24"/>
      <c r="BR71" s="24"/>
      <c r="BS71" s="24"/>
      <c r="BT71" s="24"/>
      <c r="BU71" s="24"/>
      <c r="BW71" s="24"/>
      <c r="BX71" s="24"/>
      <c r="BY71" s="24"/>
      <c r="BZ71" s="24"/>
      <c r="CB71" s="24">
        <v>46135.63544435185</v>
      </c>
      <c r="CC71" s="24">
        <v>46135.63544435185</v>
      </c>
      <c r="CD71">
        <v>1</v>
      </c>
      <c r="CE71" s="24"/>
      <c r="CF71" s="24"/>
      <c r="CH71" s="24"/>
      <c r="CI71" s="24"/>
      <c r="CJ71" s="24"/>
      <c r="CK71" s="24"/>
      <c r="DE71" s="24"/>
      <c r="DF71" s="24"/>
      <c r="DG71" s="24"/>
      <c r="DH71" s="24"/>
      <c r="DJ71" t="s">
        <v>149</v>
      </c>
      <c r="DK71" t="s">
        <v>149</v>
      </c>
      <c r="DQ71" t="s">
        <v>1000</v>
      </c>
      <c r="DR71" t="s">
        <v>149</v>
      </c>
      <c r="DS71" s="24">
        <v>46160.384426226854</v>
      </c>
    </row>
    <row r="72" spans="1:123" x14ac:dyDescent="0.3">
      <c r="A72" t="s">
        <v>333</v>
      </c>
      <c r="D72" t="s">
        <v>223</v>
      </c>
      <c r="E72" s="24">
        <v>46119.382337962961</v>
      </c>
      <c r="G72" t="s">
        <v>89</v>
      </c>
      <c r="H72" t="s">
        <v>89</v>
      </c>
      <c r="I72" s="24"/>
      <c r="J72" s="24"/>
      <c r="K72" s="24"/>
      <c r="L72" s="24"/>
      <c r="N72" s="24"/>
      <c r="O72" s="24"/>
      <c r="P72" s="24"/>
      <c r="Q72" s="24"/>
      <c r="V72" s="24"/>
      <c r="W72" s="24"/>
      <c r="X72" s="24"/>
      <c r="Y72" s="24"/>
      <c r="AA72" s="24">
        <v>46119.386504872688</v>
      </c>
      <c r="AB72" s="24">
        <v>46119.386504872688</v>
      </c>
      <c r="AC72" s="24"/>
      <c r="AD72" s="24"/>
      <c r="AE72">
        <v>1</v>
      </c>
      <c r="AF72" s="24"/>
      <c r="AG72" s="24"/>
      <c r="AH72" s="24"/>
      <c r="AI72" s="24"/>
      <c r="AK72" s="24"/>
      <c r="AL72" s="24"/>
      <c r="AM72" s="24"/>
      <c r="AN72" s="24"/>
      <c r="AP72" s="24"/>
      <c r="AQ72" s="24"/>
      <c r="AR72" s="24">
        <v>46119.38620212963</v>
      </c>
      <c r="AS72" s="24">
        <v>46119.38620212963</v>
      </c>
      <c r="AX72" s="24"/>
      <c r="AY72" s="24"/>
      <c r="AZ72" s="24"/>
      <c r="BA72" s="24"/>
      <c r="BC72" s="24"/>
      <c r="BD72" s="24"/>
      <c r="BE72" s="24"/>
      <c r="BF72" s="24"/>
      <c r="BH72" s="24">
        <v>46119.38620212963</v>
      </c>
      <c r="BI72" s="24">
        <v>46119.38620212963</v>
      </c>
      <c r="BJ72" s="24">
        <v>46119.386504872688</v>
      </c>
      <c r="BK72" s="24">
        <v>46119.386504872688</v>
      </c>
      <c r="BL72">
        <v>1</v>
      </c>
      <c r="BM72" s="24"/>
      <c r="BN72" s="24"/>
      <c r="BO72" s="24"/>
      <c r="BP72" s="24"/>
      <c r="BR72" s="24"/>
      <c r="BS72" s="24"/>
      <c r="BT72" s="24"/>
      <c r="BU72" s="24"/>
      <c r="BW72" s="24"/>
      <c r="BX72" s="24"/>
      <c r="BY72" s="24"/>
      <c r="BZ72" s="24"/>
      <c r="CB72" s="24"/>
      <c r="CC72" s="24"/>
      <c r="CE72" s="24"/>
      <c r="CF72" s="24"/>
      <c r="CH72" s="24"/>
      <c r="CI72" s="24"/>
      <c r="CJ72" s="24"/>
      <c r="CK72" s="24"/>
      <c r="DE72" s="24"/>
      <c r="DF72" s="24"/>
      <c r="DG72" s="24"/>
      <c r="DH72" s="24"/>
      <c r="DJ72" t="s">
        <v>149</v>
      </c>
      <c r="DK72" t="s">
        <v>149</v>
      </c>
      <c r="DO72">
        <v>41</v>
      </c>
      <c r="DP72">
        <v>41</v>
      </c>
      <c r="DQ72" t="s">
        <v>1000</v>
      </c>
      <c r="DR72" t="s">
        <v>149</v>
      </c>
      <c r="DS72" s="24">
        <v>46160.384426226854</v>
      </c>
    </row>
    <row r="73" spans="1:123" x14ac:dyDescent="0.3">
      <c r="A73" t="s">
        <v>334</v>
      </c>
      <c r="D73" t="s">
        <v>223</v>
      </c>
      <c r="E73" s="24">
        <v>46119.373576388891</v>
      </c>
      <c r="G73" t="s">
        <v>102</v>
      </c>
      <c r="H73" t="s">
        <v>154</v>
      </c>
      <c r="I73" s="24"/>
      <c r="J73" s="24"/>
      <c r="K73" s="24"/>
      <c r="L73" s="24"/>
      <c r="N73" s="24"/>
      <c r="O73" s="24"/>
      <c r="P73" s="24"/>
      <c r="Q73" s="24"/>
      <c r="V73" s="24"/>
      <c r="W73" s="24"/>
      <c r="X73" s="24"/>
      <c r="Y73" s="24"/>
      <c r="AA73" s="24"/>
      <c r="AB73" s="24"/>
      <c r="AC73" s="24"/>
      <c r="AD73" s="24"/>
      <c r="AF73" s="24"/>
      <c r="AG73" s="24"/>
      <c r="AH73" s="24"/>
      <c r="AI73" s="24"/>
      <c r="AK73" s="24"/>
      <c r="AL73" s="24"/>
      <c r="AM73" s="24"/>
      <c r="AN73" s="24"/>
      <c r="AP73" s="24">
        <v>46125.788996435185</v>
      </c>
      <c r="AQ73" s="24">
        <v>46125.788996435185</v>
      </c>
      <c r="AR73" s="24"/>
      <c r="AS73" s="24"/>
      <c r="AT73">
        <v>1</v>
      </c>
      <c r="AX73" s="24"/>
      <c r="AY73" s="24"/>
      <c r="AZ73" s="24"/>
      <c r="BA73" s="24"/>
      <c r="BC73" s="24"/>
      <c r="BD73" s="24"/>
      <c r="BE73" s="24"/>
      <c r="BF73" s="24"/>
      <c r="BH73" s="24"/>
      <c r="BI73" s="24"/>
      <c r="BJ73" s="24"/>
      <c r="BK73" s="24"/>
      <c r="BM73" s="24"/>
      <c r="BN73" s="24"/>
      <c r="BO73" s="24"/>
      <c r="BP73" s="24"/>
      <c r="BR73" s="24"/>
      <c r="BS73" s="24"/>
      <c r="BT73" s="24"/>
      <c r="BU73" s="24"/>
      <c r="BW73" s="24"/>
      <c r="BX73" s="24"/>
      <c r="BY73" s="24"/>
      <c r="BZ73" s="24"/>
      <c r="CB73" s="24"/>
      <c r="CC73" s="24"/>
      <c r="CE73" s="24"/>
      <c r="CF73" s="24"/>
      <c r="CH73" s="24"/>
      <c r="CI73" s="24"/>
      <c r="CJ73" s="24"/>
      <c r="CK73" s="24"/>
      <c r="DE73" s="24"/>
      <c r="DF73" s="24"/>
      <c r="DG73" s="24"/>
      <c r="DH73" s="24"/>
      <c r="DJ73" t="s">
        <v>149</v>
      </c>
      <c r="DK73" t="s">
        <v>149</v>
      </c>
      <c r="DP73">
        <v>35</v>
      </c>
      <c r="DQ73" t="s">
        <v>1000</v>
      </c>
      <c r="DR73" t="s">
        <v>149</v>
      </c>
      <c r="DS73" s="24">
        <v>46160.384426226854</v>
      </c>
    </row>
    <row r="74" spans="1:123" x14ac:dyDescent="0.3">
      <c r="A74" t="s">
        <v>335</v>
      </c>
      <c r="D74" t="s">
        <v>225</v>
      </c>
      <c r="E74" s="24">
        <v>46114.682372685187</v>
      </c>
      <c r="G74" t="s">
        <v>90</v>
      </c>
      <c r="H74" t="s">
        <v>155</v>
      </c>
      <c r="I74" s="24"/>
      <c r="J74" s="24"/>
      <c r="K74" s="24"/>
      <c r="L74" s="24"/>
      <c r="N74" s="24"/>
      <c r="O74" s="24"/>
      <c r="P74" s="24"/>
      <c r="Q74" s="24"/>
      <c r="V74" s="24"/>
      <c r="W74" s="24"/>
      <c r="X74" s="24"/>
      <c r="Y74" s="24"/>
      <c r="AA74" s="24">
        <v>46119.677640833332</v>
      </c>
      <c r="AB74" s="24">
        <v>46119.677640833332</v>
      </c>
      <c r="AC74" s="24">
        <v>46125.583421296295</v>
      </c>
      <c r="AD74" s="24">
        <v>46125.583421296295</v>
      </c>
      <c r="AE74">
        <v>1</v>
      </c>
      <c r="AF74" s="24">
        <v>46125.583421296295</v>
      </c>
      <c r="AG74" s="24">
        <v>46125.583421296295</v>
      </c>
      <c r="AH74" s="24">
        <v>46125.58381246528</v>
      </c>
      <c r="AI74" s="24">
        <v>46125.58381246528</v>
      </c>
      <c r="AJ74">
        <v>1</v>
      </c>
      <c r="AK74" s="24">
        <v>46125.58381246528</v>
      </c>
      <c r="AL74" s="24">
        <v>46125.58381246528</v>
      </c>
      <c r="AM74" s="24">
        <v>46125.724938391206</v>
      </c>
      <c r="AN74" s="24">
        <v>46125.724938391206</v>
      </c>
      <c r="AO74">
        <v>1</v>
      </c>
      <c r="AP74" s="24"/>
      <c r="AQ74" s="24"/>
      <c r="AR74" s="24">
        <v>46119.677571446759</v>
      </c>
      <c r="AS74" s="24">
        <v>46119.677571446759</v>
      </c>
      <c r="AX74" s="24"/>
      <c r="AY74" s="24"/>
      <c r="AZ74" s="24"/>
      <c r="BA74" s="24"/>
      <c r="BC74" s="24">
        <v>46126.40774599537</v>
      </c>
      <c r="BD74" s="24">
        <v>46126.40774599537</v>
      </c>
      <c r="BE74" s="24">
        <v>46132.411900416664</v>
      </c>
      <c r="BF74" s="24">
        <v>46132.411900416664</v>
      </c>
      <c r="BG74">
        <v>1</v>
      </c>
      <c r="BH74" s="24">
        <v>46119.677571446759</v>
      </c>
      <c r="BI74" s="24">
        <v>46119.677571446759</v>
      </c>
      <c r="BJ74" s="24">
        <v>46119.677640833332</v>
      </c>
      <c r="BK74" s="24">
        <v>46119.677640833332</v>
      </c>
      <c r="BL74">
        <v>1</v>
      </c>
      <c r="BM74" s="24"/>
      <c r="BN74" s="24"/>
      <c r="BO74" s="24"/>
      <c r="BP74" s="24"/>
      <c r="BR74" s="24">
        <v>46125.724938391206</v>
      </c>
      <c r="BS74" s="24">
        <v>46125.724938391206</v>
      </c>
      <c r="BT74" s="24">
        <v>46126.40774599537</v>
      </c>
      <c r="BU74" s="24">
        <v>46126.40774599537</v>
      </c>
      <c r="BV74">
        <v>1</v>
      </c>
      <c r="BW74" s="24"/>
      <c r="BX74" s="24"/>
      <c r="BY74" s="24"/>
      <c r="BZ74" s="24"/>
      <c r="CB74" s="24"/>
      <c r="CC74" s="24"/>
      <c r="CE74" s="24">
        <v>46132.411900416664</v>
      </c>
      <c r="CF74" s="24">
        <v>46132.411900416664</v>
      </c>
      <c r="CG74">
        <v>1</v>
      </c>
      <c r="CH74" s="24"/>
      <c r="CI74" s="24"/>
      <c r="CJ74" s="24"/>
      <c r="CK74" s="24"/>
      <c r="DE74" s="24"/>
      <c r="DF74" s="24"/>
      <c r="DG74" s="24"/>
      <c r="DH74" s="24"/>
      <c r="DJ74" t="s">
        <v>149</v>
      </c>
      <c r="DK74" t="s">
        <v>149</v>
      </c>
      <c r="DM74">
        <v>13</v>
      </c>
      <c r="DN74">
        <v>13</v>
      </c>
      <c r="DQ74" t="s">
        <v>1000</v>
      </c>
      <c r="DR74" t="s">
        <v>149</v>
      </c>
      <c r="DS74" s="24">
        <v>46160.384426226854</v>
      </c>
    </row>
    <row r="75" spans="1:123" x14ac:dyDescent="0.3">
      <c r="A75" t="s">
        <v>336</v>
      </c>
      <c r="D75" t="s">
        <v>223</v>
      </c>
      <c r="E75" s="24">
        <v>46114.593391203707</v>
      </c>
      <c r="G75" t="s">
        <v>102</v>
      </c>
      <c r="H75" t="s">
        <v>154</v>
      </c>
      <c r="I75" s="24"/>
      <c r="J75" s="24"/>
      <c r="K75" s="24"/>
      <c r="L75" s="24"/>
      <c r="N75" s="24"/>
      <c r="O75" s="24"/>
      <c r="P75" s="24"/>
      <c r="Q75" s="24"/>
      <c r="V75" s="24"/>
      <c r="W75" s="24"/>
      <c r="X75" s="24"/>
      <c r="Y75" s="24"/>
      <c r="AA75" s="24"/>
      <c r="AB75" s="24"/>
      <c r="AC75" s="24"/>
      <c r="AD75" s="24"/>
      <c r="AF75" s="24"/>
      <c r="AG75" s="24"/>
      <c r="AH75" s="24"/>
      <c r="AI75" s="24"/>
      <c r="AK75" s="24"/>
      <c r="AL75" s="24"/>
      <c r="AM75" s="24"/>
      <c r="AN75" s="24"/>
      <c r="AP75" s="24"/>
      <c r="AQ75" s="24"/>
      <c r="AR75" s="24"/>
      <c r="AS75" s="24"/>
      <c r="AX75" s="24"/>
      <c r="AY75" s="24"/>
      <c r="AZ75" s="24"/>
      <c r="BA75" s="24"/>
      <c r="BC75" s="24"/>
      <c r="BD75" s="24"/>
      <c r="BE75" s="24"/>
      <c r="BF75" s="24"/>
      <c r="BH75" s="24"/>
      <c r="BI75" s="24"/>
      <c r="BJ75" s="24"/>
      <c r="BK75" s="24"/>
      <c r="BM75" s="24"/>
      <c r="BN75" s="24"/>
      <c r="BO75" s="24"/>
      <c r="BP75" s="24"/>
      <c r="BR75" s="24"/>
      <c r="BS75" s="24"/>
      <c r="BT75" s="24"/>
      <c r="BU75" s="24"/>
      <c r="BW75" s="24"/>
      <c r="BX75" s="24"/>
      <c r="BY75" s="24"/>
      <c r="BZ75" s="24"/>
      <c r="CB75" s="24"/>
      <c r="CC75" s="24"/>
      <c r="CE75" s="24"/>
      <c r="CF75" s="24"/>
      <c r="CH75" s="24"/>
      <c r="CI75" s="24"/>
      <c r="CJ75" s="24"/>
      <c r="CK75" s="24"/>
      <c r="DE75" s="24"/>
      <c r="DF75" s="24"/>
      <c r="DG75" s="24"/>
      <c r="DH75" s="24"/>
      <c r="DJ75" t="s">
        <v>149</v>
      </c>
      <c r="DK75" t="s">
        <v>149</v>
      </c>
      <c r="DQ75" t="s">
        <v>1000</v>
      </c>
      <c r="DR75" t="s">
        <v>149</v>
      </c>
      <c r="DS75" s="24">
        <v>46160.384426226854</v>
      </c>
    </row>
    <row r="76" spans="1:123" x14ac:dyDescent="0.3">
      <c r="A76" t="s">
        <v>337</v>
      </c>
      <c r="D76" t="s">
        <v>225</v>
      </c>
      <c r="E76" s="24">
        <v>46114.420740740738</v>
      </c>
      <c r="G76" t="s">
        <v>102</v>
      </c>
      <c r="H76" t="s">
        <v>154</v>
      </c>
      <c r="I76" s="24"/>
      <c r="J76" s="24"/>
      <c r="K76" s="24"/>
      <c r="L76" s="24"/>
      <c r="N76" s="24"/>
      <c r="O76" s="24"/>
      <c r="P76" s="24"/>
      <c r="Q76" s="24"/>
      <c r="V76" s="24"/>
      <c r="W76" s="24"/>
      <c r="X76" s="24"/>
      <c r="Y76" s="24"/>
      <c r="AA76" s="24"/>
      <c r="AB76" s="24"/>
      <c r="AC76" s="24"/>
      <c r="AD76" s="24"/>
      <c r="AF76" s="24"/>
      <c r="AG76" s="24"/>
      <c r="AH76" s="24"/>
      <c r="AI76" s="24"/>
      <c r="AK76" s="24"/>
      <c r="AL76" s="24"/>
      <c r="AM76" s="24"/>
      <c r="AN76" s="24"/>
      <c r="AP76" s="24"/>
      <c r="AQ76" s="24"/>
      <c r="AR76" s="24"/>
      <c r="AS76" s="24"/>
      <c r="AX76" s="24"/>
      <c r="AY76" s="24"/>
      <c r="AZ76" s="24"/>
      <c r="BA76" s="24"/>
      <c r="BC76" s="24"/>
      <c r="BD76" s="24"/>
      <c r="BE76" s="24"/>
      <c r="BF76" s="24"/>
      <c r="BH76" s="24"/>
      <c r="BI76" s="24"/>
      <c r="BJ76" s="24"/>
      <c r="BK76" s="24"/>
      <c r="BM76" s="24"/>
      <c r="BN76" s="24"/>
      <c r="BO76" s="24"/>
      <c r="BP76" s="24"/>
      <c r="BR76" s="24"/>
      <c r="BS76" s="24"/>
      <c r="BT76" s="24"/>
      <c r="BU76" s="24"/>
      <c r="BW76" s="24"/>
      <c r="BX76" s="24"/>
      <c r="BY76" s="24"/>
      <c r="BZ76" s="24"/>
      <c r="CB76" s="24"/>
      <c r="CC76" s="24"/>
      <c r="CE76" s="24"/>
      <c r="CF76" s="24"/>
      <c r="CH76" s="24"/>
      <c r="CI76" s="24"/>
      <c r="CJ76" s="24"/>
      <c r="CK76" s="24"/>
      <c r="DE76" s="24"/>
      <c r="DF76" s="24"/>
      <c r="DG76" s="24"/>
      <c r="DH76" s="24"/>
      <c r="DJ76" t="s">
        <v>149</v>
      </c>
      <c r="DK76" t="s">
        <v>149</v>
      </c>
      <c r="DQ76" t="s">
        <v>1000</v>
      </c>
      <c r="DR76" t="s">
        <v>149</v>
      </c>
      <c r="DS76" s="24">
        <v>46160.384426226854</v>
      </c>
    </row>
    <row r="77" spans="1:123" x14ac:dyDescent="0.3">
      <c r="A77" t="s">
        <v>338</v>
      </c>
      <c r="D77" t="s">
        <v>223</v>
      </c>
      <c r="E77" s="24">
        <v>46114.414837962962</v>
      </c>
      <c r="G77" t="s">
        <v>90</v>
      </c>
      <c r="H77" t="s">
        <v>155</v>
      </c>
      <c r="I77" s="24"/>
      <c r="J77" s="24"/>
      <c r="K77" s="24"/>
      <c r="L77" s="24"/>
      <c r="N77" s="24"/>
      <c r="O77" s="24"/>
      <c r="P77" s="24"/>
      <c r="Q77" s="24"/>
      <c r="V77" s="24"/>
      <c r="W77" s="24"/>
      <c r="X77" s="24"/>
      <c r="Y77" s="24"/>
      <c r="AA77" s="24">
        <v>46128.362645949077</v>
      </c>
      <c r="AB77" s="24">
        <v>46128.362645949077</v>
      </c>
      <c r="AC77" s="24">
        <v>46128.581811226853</v>
      </c>
      <c r="AD77" s="24">
        <v>46128.581811226853</v>
      </c>
      <c r="AE77">
        <v>1</v>
      </c>
      <c r="AF77" s="24"/>
      <c r="AG77" s="24"/>
      <c r="AH77" s="24"/>
      <c r="AI77" s="24"/>
      <c r="AK77" s="24"/>
      <c r="AL77" s="24"/>
      <c r="AM77" s="24"/>
      <c r="AN77" s="24"/>
      <c r="AP77" s="24"/>
      <c r="AQ77" s="24"/>
      <c r="AR77" s="24">
        <v>46114.415595486113</v>
      </c>
      <c r="AS77" s="24">
        <v>46114.415595486113</v>
      </c>
      <c r="AX77" s="24"/>
      <c r="AY77" s="24"/>
      <c r="AZ77" s="24"/>
      <c r="BA77" s="24"/>
      <c r="BC77" s="24"/>
      <c r="BD77" s="24"/>
      <c r="BE77" s="24"/>
      <c r="BF77" s="24"/>
      <c r="BH77" s="24">
        <v>46114.415595486113</v>
      </c>
      <c r="BI77" s="24">
        <v>46114.415595486113</v>
      </c>
      <c r="BJ77" s="24">
        <v>46128.362645949077</v>
      </c>
      <c r="BK77" s="24">
        <v>46128.362645949077</v>
      </c>
      <c r="BL77">
        <v>1</v>
      </c>
      <c r="BM77" s="24"/>
      <c r="BN77" s="24"/>
      <c r="BO77" s="24"/>
      <c r="BP77" s="24"/>
      <c r="BR77" s="24">
        <v>46128.581811226853</v>
      </c>
      <c r="BS77" s="24">
        <v>46128.581811226853</v>
      </c>
      <c r="BT77" s="24">
        <v>46129.413838437496</v>
      </c>
      <c r="BU77" s="24">
        <v>46129.413838437496</v>
      </c>
      <c r="BV77">
        <v>1</v>
      </c>
      <c r="BW77" s="24"/>
      <c r="BX77" s="24"/>
      <c r="BY77" s="24"/>
      <c r="BZ77" s="24"/>
      <c r="CB77" s="24"/>
      <c r="CC77" s="24"/>
      <c r="CE77" s="24">
        <v>46129.413838437496</v>
      </c>
      <c r="CF77" s="24">
        <v>46129.413838437496</v>
      </c>
      <c r="CG77">
        <v>1</v>
      </c>
      <c r="CH77" s="24"/>
      <c r="CI77" s="24"/>
      <c r="CJ77" s="24"/>
      <c r="CK77" s="24"/>
      <c r="DE77" s="24"/>
      <c r="DF77" s="24"/>
      <c r="DG77" s="24"/>
      <c r="DH77" s="24"/>
      <c r="DJ77" t="s">
        <v>149</v>
      </c>
      <c r="DK77" t="s">
        <v>149</v>
      </c>
      <c r="DM77">
        <v>15</v>
      </c>
      <c r="DN77">
        <v>2</v>
      </c>
      <c r="DQ77" t="s">
        <v>1000</v>
      </c>
      <c r="DR77" t="s">
        <v>149</v>
      </c>
      <c r="DS77" s="24">
        <v>46160.384426226854</v>
      </c>
    </row>
    <row r="78" spans="1:123" x14ac:dyDescent="0.3">
      <c r="A78" t="s">
        <v>339</v>
      </c>
      <c r="D78" t="s">
        <v>223</v>
      </c>
      <c r="E78" s="24">
        <v>46114.413287037038</v>
      </c>
      <c r="G78" t="s">
        <v>90</v>
      </c>
      <c r="H78" t="s">
        <v>155</v>
      </c>
      <c r="I78" s="24"/>
      <c r="J78" s="24"/>
      <c r="K78" s="24"/>
      <c r="L78" s="24"/>
      <c r="N78" s="24"/>
      <c r="O78" s="24"/>
      <c r="P78" s="24"/>
      <c r="Q78" s="24"/>
      <c r="V78" s="24"/>
      <c r="W78" s="24"/>
      <c r="X78" s="24"/>
      <c r="Y78" s="24"/>
      <c r="AA78" s="24">
        <v>46119.384610624998</v>
      </c>
      <c r="AB78" s="24">
        <v>46119.384610624998</v>
      </c>
      <c r="AC78" s="24">
        <v>46119.659133715279</v>
      </c>
      <c r="AD78" s="24">
        <v>46119.659133715279</v>
      </c>
      <c r="AE78">
        <v>1</v>
      </c>
      <c r="AF78" s="24">
        <v>46119.659133715279</v>
      </c>
      <c r="AG78" s="24">
        <v>46119.659133715279</v>
      </c>
      <c r="AH78" s="24">
        <v>46120.407694224537</v>
      </c>
      <c r="AI78" s="24">
        <v>46120.407694224537</v>
      </c>
      <c r="AJ78">
        <v>1</v>
      </c>
      <c r="AK78" s="24"/>
      <c r="AL78" s="24"/>
      <c r="AM78" s="24"/>
      <c r="AN78" s="24"/>
      <c r="AP78" s="24"/>
      <c r="AQ78" s="24"/>
      <c r="AR78" s="24">
        <v>46119.384515868056</v>
      </c>
      <c r="AS78" s="24">
        <v>46119.384515868056</v>
      </c>
      <c r="AX78" s="24"/>
      <c r="AY78" s="24"/>
      <c r="AZ78" s="24"/>
      <c r="BA78" s="24"/>
      <c r="BC78" s="24"/>
      <c r="BD78" s="24"/>
      <c r="BE78" s="24"/>
      <c r="BF78" s="24"/>
      <c r="BH78" s="24">
        <v>46119.384515868056</v>
      </c>
      <c r="BI78" s="24">
        <v>46119.384515868056</v>
      </c>
      <c r="BJ78" s="24">
        <v>46119.384610624998</v>
      </c>
      <c r="BK78" s="24">
        <v>46119.384610624998</v>
      </c>
      <c r="BL78">
        <v>1</v>
      </c>
      <c r="BM78" s="24"/>
      <c r="BN78" s="24"/>
      <c r="BO78" s="24"/>
      <c r="BP78" s="24"/>
      <c r="BR78" s="24"/>
      <c r="BS78" s="24"/>
      <c r="BT78" s="24"/>
      <c r="BU78" s="24"/>
      <c r="BW78" s="24"/>
      <c r="BX78" s="24"/>
      <c r="BY78" s="24"/>
      <c r="BZ78" s="24"/>
      <c r="CB78" s="24"/>
      <c r="CC78" s="24"/>
      <c r="CE78" s="24">
        <v>46120.407694224537</v>
      </c>
      <c r="CF78" s="24">
        <v>46120.407694224537</v>
      </c>
      <c r="CG78">
        <v>1</v>
      </c>
      <c r="CH78" s="24"/>
      <c r="CI78" s="24"/>
      <c r="CJ78" s="24"/>
      <c r="CK78" s="24"/>
      <c r="DE78" s="24"/>
      <c r="DF78" s="24"/>
      <c r="DG78" s="24"/>
      <c r="DH78" s="24"/>
      <c r="DJ78" t="s">
        <v>149</v>
      </c>
      <c r="DK78" t="s">
        <v>149</v>
      </c>
      <c r="DM78">
        <v>2</v>
      </c>
      <c r="DN78">
        <v>2</v>
      </c>
      <c r="DQ78" t="s">
        <v>1000</v>
      </c>
      <c r="DR78" t="s">
        <v>149</v>
      </c>
      <c r="DS78" s="24">
        <v>46160.384426226854</v>
      </c>
    </row>
    <row r="79" spans="1:123" x14ac:dyDescent="0.3">
      <c r="A79" t="s">
        <v>340</v>
      </c>
      <c r="D79" t="s">
        <v>225</v>
      </c>
      <c r="E79" s="24">
        <v>46114.350937499999</v>
      </c>
      <c r="G79" t="s">
        <v>90</v>
      </c>
      <c r="H79" t="s">
        <v>155</v>
      </c>
      <c r="I79" s="24"/>
      <c r="J79" s="24"/>
      <c r="K79" s="24"/>
      <c r="L79" s="24"/>
      <c r="N79" s="24"/>
      <c r="O79" s="24"/>
      <c r="P79" s="24"/>
      <c r="Q79" s="24"/>
      <c r="V79" s="24"/>
      <c r="W79" s="24"/>
      <c r="X79" s="24"/>
      <c r="Y79" s="24"/>
      <c r="AA79" s="24">
        <v>46114.39053420139</v>
      </c>
      <c r="AB79" s="24">
        <v>46114.39053420139</v>
      </c>
      <c r="AC79" s="24">
        <v>46114.392007870367</v>
      </c>
      <c r="AD79" s="24">
        <v>46114.392007870367</v>
      </c>
      <c r="AE79">
        <v>1</v>
      </c>
      <c r="AF79" s="24">
        <v>46114.392007870367</v>
      </c>
      <c r="AG79" s="24">
        <v>46114.392007870367</v>
      </c>
      <c r="AH79" s="24">
        <v>46120.400529456019</v>
      </c>
      <c r="AI79" s="24">
        <v>46120.400529456019</v>
      </c>
      <c r="AJ79">
        <v>1</v>
      </c>
      <c r="AK79" s="24">
        <v>46120.400529456019</v>
      </c>
      <c r="AL79" s="24">
        <v>46120.400529456019</v>
      </c>
      <c r="AM79" s="24">
        <v>46120.554473854165</v>
      </c>
      <c r="AN79" s="24">
        <v>46120.554473854165</v>
      </c>
      <c r="AO79">
        <v>1</v>
      </c>
      <c r="AP79" s="24"/>
      <c r="AQ79" s="24"/>
      <c r="AR79" s="24">
        <v>46114.39042920139</v>
      </c>
      <c r="AS79" s="24">
        <v>46114.39042920139</v>
      </c>
      <c r="AX79" s="24"/>
      <c r="AY79" s="24"/>
      <c r="AZ79" s="24"/>
      <c r="BA79" s="24"/>
      <c r="BC79" s="24">
        <v>46120.680546944444</v>
      </c>
      <c r="BD79" s="24">
        <v>46120.680546944444</v>
      </c>
      <c r="BE79" s="24">
        <v>46132.411900370367</v>
      </c>
      <c r="BF79" s="24">
        <v>46132.411900370367</v>
      </c>
      <c r="BG79">
        <v>1</v>
      </c>
      <c r="BH79" s="24">
        <v>46114.39042920139</v>
      </c>
      <c r="BI79" s="24">
        <v>46114.39042920139</v>
      </c>
      <c r="BJ79" s="24">
        <v>46114.39053420139</v>
      </c>
      <c r="BK79" s="24">
        <v>46114.39053420139</v>
      </c>
      <c r="BL79">
        <v>1</v>
      </c>
      <c r="BM79" s="24"/>
      <c r="BN79" s="24"/>
      <c r="BO79" s="24"/>
      <c r="BP79" s="24"/>
      <c r="BR79" s="24">
        <v>46120.554473854165</v>
      </c>
      <c r="BS79" s="24">
        <v>46120.554473854165</v>
      </c>
      <c r="BT79" s="24">
        <v>46120.680546944444</v>
      </c>
      <c r="BU79" s="24">
        <v>46120.680546944444</v>
      </c>
      <c r="BV79">
        <v>1</v>
      </c>
      <c r="BW79" s="24"/>
      <c r="BX79" s="24"/>
      <c r="BY79" s="24"/>
      <c r="BZ79" s="24"/>
      <c r="CB79" s="24"/>
      <c r="CC79" s="24"/>
      <c r="CE79" s="24">
        <v>46132.411900370367</v>
      </c>
      <c r="CF79" s="24">
        <v>46132.411900370367</v>
      </c>
      <c r="CG79">
        <v>1</v>
      </c>
      <c r="CH79" s="24"/>
      <c r="CI79" s="24"/>
      <c r="CJ79" s="24"/>
      <c r="CK79" s="24"/>
      <c r="DE79" s="24"/>
      <c r="DF79" s="24"/>
      <c r="DG79" s="24"/>
      <c r="DH79" s="24"/>
      <c r="DJ79" t="s">
        <v>149</v>
      </c>
      <c r="DK79" t="s">
        <v>149</v>
      </c>
      <c r="DM79">
        <v>19</v>
      </c>
      <c r="DN79">
        <v>19</v>
      </c>
      <c r="DQ79" t="s">
        <v>1000</v>
      </c>
      <c r="DR79" t="s">
        <v>149</v>
      </c>
      <c r="DS79" s="24">
        <v>46160.384426226854</v>
      </c>
    </row>
    <row r="80" spans="1:123" x14ac:dyDescent="0.3">
      <c r="A80" t="s">
        <v>341</v>
      </c>
      <c r="D80" t="s">
        <v>223</v>
      </c>
      <c r="E80" s="24">
        <v>46114.335694444446</v>
      </c>
      <c r="G80" t="s">
        <v>89</v>
      </c>
      <c r="H80" t="s">
        <v>89</v>
      </c>
      <c r="I80" s="24"/>
      <c r="J80" s="24"/>
      <c r="K80" s="24"/>
      <c r="L80" s="24"/>
      <c r="N80" s="24"/>
      <c r="O80" s="24"/>
      <c r="P80" s="24"/>
      <c r="Q80" s="24"/>
      <c r="V80" s="24"/>
      <c r="W80" s="24"/>
      <c r="X80" s="24"/>
      <c r="Y80" s="24"/>
      <c r="AA80" s="24">
        <v>46155.642914490738</v>
      </c>
      <c r="AB80" s="24">
        <v>46155.642914490738</v>
      </c>
      <c r="AC80" s="24"/>
      <c r="AD80" s="24"/>
      <c r="AE80">
        <v>1</v>
      </c>
      <c r="AF80" s="24"/>
      <c r="AG80" s="24"/>
      <c r="AH80" s="24"/>
      <c r="AI80" s="24"/>
      <c r="AK80" s="24"/>
      <c r="AL80" s="24"/>
      <c r="AM80" s="24"/>
      <c r="AN80" s="24"/>
      <c r="AP80" s="24"/>
      <c r="AQ80" s="24"/>
      <c r="AR80" s="24">
        <v>46155.469476886574</v>
      </c>
      <c r="AS80" s="24">
        <v>46155.469476886574</v>
      </c>
      <c r="AX80" s="24"/>
      <c r="AY80" s="24"/>
      <c r="AZ80" s="24"/>
      <c r="BA80" s="24"/>
      <c r="BC80" s="24"/>
      <c r="BD80" s="24"/>
      <c r="BE80" s="24"/>
      <c r="BF80" s="24"/>
      <c r="BH80" s="24">
        <v>46155.469476886574</v>
      </c>
      <c r="BI80" s="24">
        <v>46155.469476886574</v>
      </c>
      <c r="BJ80" s="24">
        <v>46155.642914490738</v>
      </c>
      <c r="BK80" s="24">
        <v>46155.642914490738</v>
      </c>
      <c r="BL80">
        <v>1</v>
      </c>
      <c r="BM80" s="24"/>
      <c r="BN80" s="24"/>
      <c r="BO80" s="24"/>
      <c r="BP80" s="24"/>
      <c r="BR80" s="24"/>
      <c r="BS80" s="24"/>
      <c r="BT80" s="24"/>
      <c r="BU80" s="24"/>
      <c r="BW80" s="24"/>
      <c r="BX80" s="24"/>
      <c r="BY80" s="24"/>
      <c r="BZ80" s="24"/>
      <c r="CB80" s="24"/>
      <c r="CC80" s="24"/>
      <c r="CE80" s="24"/>
      <c r="CF80" s="24"/>
      <c r="CH80" s="24"/>
      <c r="CI80" s="24"/>
      <c r="CJ80" s="24"/>
      <c r="CK80" s="24"/>
      <c r="DE80" s="24"/>
      <c r="DF80" s="24"/>
      <c r="DG80" s="24"/>
      <c r="DH80" s="24"/>
      <c r="DJ80" t="s">
        <v>149</v>
      </c>
      <c r="DK80" t="s">
        <v>149</v>
      </c>
      <c r="DO80">
        <v>5</v>
      </c>
      <c r="DP80">
        <v>5</v>
      </c>
      <c r="DQ80" t="s">
        <v>1000</v>
      </c>
      <c r="DR80" t="s">
        <v>149</v>
      </c>
      <c r="DS80" s="24">
        <v>46160.384426226854</v>
      </c>
    </row>
    <row r="81" spans="1:123" x14ac:dyDescent="0.3">
      <c r="A81" t="s">
        <v>342</v>
      </c>
      <c r="D81" t="s">
        <v>223</v>
      </c>
      <c r="E81" s="24">
        <v>46112.559652777774</v>
      </c>
      <c r="G81" t="s">
        <v>90</v>
      </c>
      <c r="H81" t="s">
        <v>155</v>
      </c>
      <c r="I81" s="24"/>
      <c r="J81" s="24"/>
      <c r="K81" s="24"/>
      <c r="L81" s="24"/>
      <c r="N81" s="24"/>
      <c r="O81" s="24"/>
      <c r="P81" s="24"/>
      <c r="Q81" s="24"/>
      <c r="V81" s="24"/>
      <c r="W81" s="24"/>
      <c r="X81" s="24"/>
      <c r="Y81" s="24"/>
      <c r="AA81" s="24">
        <v>46113.411886030095</v>
      </c>
      <c r="AB81" s="24">
        <v>46113.411886030095</v>
      </c>
      <c r="AC81" s="24">
        <v>46135.461823078702</v>
      </c>
      <c r="AD81" s="24">
        <v>46135.461823078702</v>
      </c>
      <c r="AE81">
        <v>1</v>
      </c>
      <c r="AF81" s="24"/>
      <c r="AG81" s="24"/>
      <c r="AH81" s="24"/>
      <c r="AI81" s="24"/>
      <c r="AK81" s="24"/>
      <c r="AL81" s="24"/>
      <c r="AM81" s="24"/>
      <c r="AN81" s="24"/>
      <c r="AP81" s="24"/>
      <c r="AQ81" s="24"/>
      <c r="AR81" s="24">
        <v>46113.326765324076</v>
      </c>
      <c r="AS81" s="24">
        <v>46113.326765324076</v>
      </c>
      <c r="AX81" s="24"/>
      <c r="AY81" s="24"/>
      <c r="AZ81" s="24"/>
      <c r="BA81" s="24"/>
      <c r="BC81" s="24"/>
      <c r="BD81" s="24"/>
      <c r="BE81" s="24"/>
      <c r="BF81" s="24"/>
      <c r="BH81" s="24">
        <v>46113.326765324076</v>
      </c>
      <c r="BI81" s="24">
        <v>46113.326765324076</v>
      </c>
      <c r="BJ81" s="24">
        <v>46113.411886030095</v>
      </c>
      <c r="BK81" s="24">
        <v>46113.411886030095</v>
      </c>
      <c r="BL81">
        <v>1</v>
      </c>
      <c r="BM81" s="24"/>
      <c r="BN81" s="24"/>
      <c r="BO81" s="24"/>
      <c r="BP81" s="24"/>
      <c r="BR81" s="24"/>
      <c r="BS81" s="24"/>
      <c r="BT81" s="24"/>
      <c r="BU81" s="24"/>
      <c r="BW81" s="24"/>
      <c r="BX81" s="24"/>
      <c r="BY81" s="24"/>
      <c r="BZ81" s="24"/>
      <c r="CB81" s="24"/>
      <c r="CC81" s="24"/>
      <c r="CE81" s="24">
        <v>46135.461823078702</v>
      </c>
      <c r="CF81" s="24">
        <v>46135.461823078702</v>
      </c>
      <c r="CG81">
        <v>1</v>
      </c>
      <c r="CH81" s="24"/>
      <c r="CI81" s="24"/>
      <c r="CJ81" s="24"/>
      <c r="CK81" s="24"/>
      <c r="DE81" s="24"/>
      <c r="DF81" s="24"/>
      <c r="DG81" s="24"/>
      <c r="DH81" s="24"/>
      <c r="DJ81" t="s">
        <v>149</v>
      </c>
      <c r="DK81" t="s">
        <v>149</v>
      </c>
      <c r="DM81">
        <v>23</v>
      </c>
      <c r="DN81">
        <v>23</v>
      </c>
      <c r="DQ81" t="s">
        <v>1000</v>
      </c>
      <c r="DR81" t="s">
        <v>149</v>
      </c>
      <c r="DS81" s="24">
        <v>46160.384426226854</v>
      </c>
    </row>
    <row r="82" spans="1:123" x14ac:dyDescent="0.3">
      <c r="A82" t="s">
        <v>343</v>
      </c>
      <c r="D82" t="s">
        <v>225</v>
      </c>
      <c r="E82" s="24">
        <v>46112.444212962961</v>
      </c>
      <c r="G82" t="s">
        <v>102</v>
      </c>
      <c r="H82" t="s">
        <v>154</v>
      </c>
      <c r="I82" s="24"/>
      <c r="J82" s="24"/>
      <c r="K82" s="24"/>
      <c r="L82" s="24"/>
      <c r="N82" s="24"/>
      <c r="O82" s="24"/>
      <c r="P82" s="24"/>
      <c r="Q82" s="24"/>
      <c r="V82" s="24"/>
      <c r="W82" s="24"/>
      <c r="X82" s="24"/>
      <c r="Y82" s="24"/>
      <c r="AA82" s="24"/>
      <c r="AB82" s="24"/>
      <c r="AC82" s="24"/>
      <c r="AD82" s="24"/>
      <c r="AF82" s="24"/>
      <c r="AG82" s="24"/>
      <c r="AH82" s="24"/>
      <c r="AI82" s="24"/>
      <c r="AK82" s="24"/>
      <c r="AL82" s="24"/>
      <c r="AM82" s="24"/>
      <c r="AN82" s="24"/>
      <c r="AP82" s="24">
        <v>46112.444830717592</v>
      </c>
      <c r="AQ82" s="24">
        <v>46112.444830717592</v>
      </c>
      <c r="AR82" s="24"/>
      <c r="AS82" s="24"/>
      <c r="AT82">
        <v>1</v>
      </c>
      <c r="AX82" s="24"/>
      <c r="AY82" s="24"/>
      <c r="AZ82" s="24"/>
      <c r="BA82" s="24"/>
      <c r="BC82" s="24"/>
      <c r="BD82" s="24"/>
      <c r="BE82" s="24"/>
      <c r="BF82" s="24"/>
      <c r="BH82" s="24"/>
      <c r="BI82" s="24"/>
      <c r="BJ82" s="24"/>
      <c r="BK82" s="24"/>
      <c r="BM82" s="24"/>
      <c r="BN82" s="24"/>
      <c r="BO82" s="24"/>
      <c r="BP82" s="24"/>
      <c r="BR82" s="24"/>
      <c r="BS82" s="24"/>
      <c r="BT82" s="24"/>
      <c r="BU82" s="24"/>
      <c r="BW82" s="24"/>
      <c r="BX82" s="24"/>
      <c r="BY82" s="24"/>
      <c r="BZ82" s="24"/>
      <c r="CB82" s="24"/>
      <c r="CC82" s="24"/>
      <c r="CE82" s="24"/>
      <c r="CF82" s="24"/>
      <c r="CH82" s="24"/>
      <c r="CI82" s="24"/>
      <c r="CJ82" s="24"/>
      <c r="CK82" s="24"/>
      <c r="DE82" s="24"/>
      <c r="DF82" s="24"/>
      <c r="DG82" s="24"/>
      <c r="DH82" s="24"/>
      <c r="DJ82" t="s">
        <v>149</v>
      </c>
      <c r="DK82" t="s">
        <v>149</v>
      </c>
      <c r="DP82">
        <v>48</v>
      </c>
      <c r="DQ82" t="s">
        <v>1000</v>
      </c>
      <c r="DR82" t="s">
        <v>149</v>
      </c>
      <c r="DS82" s="24">
        <v>46160.384426226854</v>
      </c>
    </row>
    <row r="83" spans="1:123" x14ac:dyDescent="0.3">
      <c r="A83" t="s">
        <v>344</v>
      </c>
      <c r="D83" t="s">
        <v>223</v>
      </c>
      <c r="E83" s="24">
        <v>46112.44</v>
      </c>
      <c r="G83" t="s">
        <v>90</v>
      </c>
      <c r="H83" t="s">
        <v>155</v>
      </c>
      <c r="I83" s="24"/>
      <c r="J83" s="24"/>
      <c r="K83" s="24"/>
      <c r="L83" s="24"/>
      <c r="N83" s="24"/>
      <c r="O83" s="24"/>
      <c r="P83" s="24"/>
      <c r="Q83" s="24"/>
      <c r="V83" s="24"/>
      <c r="W83" s="24"/>
      <c r="X83" s="24"/>
      <c r="Y83" s="24"/>
      <c r="AA83" s="24">
        <v>46113.411557662039</v>
      </c>
      <c r="AB83" s="24">
        <v>46113.411557662039</v>
      </c>
      <c r="AC83" s="24">
        <v>46127.401887418979</v>
      </c>
      <c r="AD83" s="24">
        <v>46127.401887418979</v>
      </c>
      <c r="AE83">
        <v>1</v>
      </c>
      <c r="AF83" s="24"/>
      <c r="AG83" s="24"/>
      <c r="AH83" s="24"/>
      <c r="AI83" s="24"/>
      <c r="AK83" s="24"/>
      <c r="AL83" s="24"/>
      <c r="AM83" s="24"/>
      <c r="AN83" s="24"/>
      <c r="AP83" s="24"/>
      <c r="AQ83" s="24"/>
      <c r="AR83" s="24">
        <v>46113.32328449074</v>
      </c>
      <c r="AS83" s="24">
        <v>46113.32328449074</v>
      </c>
      <c r="AX83" s="24"/>
      <c r="AY83" s="24"/>
      <c r="AZ83" s="24"/>
      <c r="BA83" s="24"/>
      <c r="BC83" s="24"/>
      <c r="BD83" s="24"/>
      <c r="BE83" s="24"/>
      <c r="BF83" s="24"/>
      <c r="BH83" s="24">
        <v>46113.32328449074</v>
      </c>
      <c r="BI83" s="24">
        <v>46113.32328449074</v>
      </c>
      <c r="BJ83" s="24">
        <v>46113.411557662039</v>
      </c>
      <c r="BK83" s="24">
        <v>46113.411557662039</v>
      </c>
      <c r="BL83">
        <v>1</v>
      </c>
      <c r="BM83" s="24"/>
      <c r="BN83" s="24"/>
      <c r="BO83" s="24"/>
      <c r="BP83" s="24"/>
      <c r="BR83" s="24"/>
      <c r="BS83" s="24"/>
      <c r="BT83" s="24"/>
      <c r="BU83" s="24"/>
      <c r="BW83" s="24"/>
      <c r="BX83" s="24"/>
      <c r="BY83" s="24"/>
      <c r="BZ83" s="24"/>
      <c r="CB83" s="24"/>
      <c r="CC83" s="24"/>
      <c r="CE83" s="24">
        <v>46127.401887418979</v>
      </c>
      <c r="CF83" s="24">
        <v>46127.401887418979</v>
      </c>
      <c r="CG83">
        <v>1</v>
      </c>
      <c r="CH83" s="24"/>
      <c r="CI83" s="24"/>
      <c r="CJ83" s="24"/>
      <c r="CK83" s="24"/>
      <c r="DE83" s="24"/>
      <c r="DF83" s="24"/>
      <c r="DG83" s="24"/>
      <c r="DH83" s="24"/>
      <c r="DJ83" t="s">
        <v>149</v>
      </c>
      <c r="DK83" t="s">
        <v>149</v>
      </c>
      <c r="DM83">
        <v>15</v>
      </c>
      <c r="DN83">
        <v>14</v>
      </c>
      <c r="DQ83" t="s">
        <v>1000</v>
      </c>
      <c r="DR83" t="s">
        <v>149</v>
      </c>
      <c r="DS83" s="24">
        <v>46160.384426226854</v>
      </c>
    </row>
    <row r="84" spans="1:123" x14ac:dyDescent="0.3">
      <c r="A84" t="s">
        <v>345</v>
      </c>
      <c r="D84" t="s">
        <v>223</v>
      </c>
      <c r="E84" s="24">
        <v>46112.427615740744</v>
      </c>
      <c r="G84" t="s">
        <v>90</v>
      </c>
      <c r="H84" t="s">
        <v>155</v>
      </c>
      <c r="I84" s="24"/>
      <c r="J84" s="24"/>
      <c r="K84" s="24"/>
      <c r="L84" s="24"/>
      <c r="N84" s="24"/>
      <c r="O84" s="24"/>
      <c r="P84" s="24"/>
      <c r="Q84" s="24"/>
      <c r="V84" s="24"/>
      <c r="W84" s="24"/>
      <c r="X84" s="24"/>
      <c r="Y84" s="24"/>
      <c r="AA84" s="24">
        <v>46113.380663854165</v>
      </c>
      <c r="AB84" s="24">
        <v>46113.380663854165</v>
      </c>
      <c r="AC84" s="24">
        <v>46125.708204641203</v>
      </c>
      <c r="AD84" s="24">
        <v>46125.708204641203</v>
      </c>
      <c r="AE84">
        <v>1</v>
      </c>
      <c r="AF84" s="24">
        <v>46125.708204641203</v>
      </c>
      <c r="AG84" s="24">
        <v>46125.708204641203</v>
      </c>
      <c r="AH84" s="24">
        <v>46126.411951458336</v>
      </c>
      <c r="AI84" s="24">
        <v>46126.411951458336</v>
      </c>
      <c r="AJ84">
        <v>1</v>
      </c>
      <c r="AK84" s="24"/>
      <c r="AL84" s="24"/>
      <c r="AM84" s="24"/>
      <c r="AN84" s="24"/>
      <c r="AP84" s="24"/>
      <c r="AQ84" s="24"/>
      <c r="AR84" s="24">
        <v>46113.325243611114</v>
      </c>
      <c r="AS84" s="24">
        <v>46113.325243611114</v>
      </c>
      <c r="AX84" s="24"/>
      <c r="AY84" s="24"/>
      <c r="AZ84" s="24"/>
      <c r="BA84" s="24"/>
      <c r="BC84" s="24"/>
      <c r="BD84" s="24"/>
      <c r="BE84" s="24"/>
      <c r="BF84" s="24"/>
      <c r="BH84" s="24">
        <v>46113.325243611114</v>
      </c>
      <c r="BI84" s="24">
        <v>46113.325243611114</v>
      </c>
      <c r="BJ84" s="24">
        <v>46113.380663854165</v>
      </c>
      <c r="BK84" s="24">
        <v>46113.380663854165</v>
      </c>
      <c r="BL84">
        <v>1</v>
      </c>
      <c r="BM84" s="24"/>
      <c r="BN84" s="24"/>
      <c r="BO84" s="24"/>
      <c r="BP84" s="24"/>
      <c r="BR84" s="24"/>
      <c r="BS84" s="24"/>
      <c r="BT84" s="24"/>
      <c r="BU84" s="24"/>
      <c r="BW84" s="24"/>
      <c r="BX84" s="24"/>
      <c r="BY84" s="24"/>
      <c r="BZ84" s="24"/>
      <c r="CB84" s="24"/>
      <c r="CC84" s="24"/>
      <c r="CE84" s="24">
        <v>46126.411951458336</v>
      </c>
      <c r="CF84" s="24">
        <v>46126.411951458336</v>
      </c>
      <c r="CG84">
        <v>1</v>
      </c>
      <c r="CH84" s="24"/>
      <c r="CI84" s="24"/>
      <c r="CJ84" s="24"/>
      <c r="CK84" s="24"/>
      <c r="DE84" s="24"/>
      <c r="DF84" s="24"/>
      <c r="DG84" s="24"/>
      <c r="DH84" s="24"/>
      <c r="DJ84" t="s">
        <v>149</v>
      </c>
      <c r="DK84" t="s">
        <v>149</v>
      </c>
      <c r="DM84">
        <v>14</v>
      </c>
      <c r="DN84">
        <v>14</v>
      </c>
      <c r="DQ84" t="s">
        <v>1000</v>
      </c>
      <c r="DR84" t="s">
        <v>149</v>
      </c>
      <c r="DS84" s="24">
        <v>46160.384426226854</v>
      </c>
    </row>
    <row r="85" spans="1:123" x14ac:dyDescent="0.3">
      <c r="A85" t="s">
        <v>346</v>
      </c>
      <c r="D85" t="s">
        <v>223</v>
      </c>
      <c r="E85" s="24">
        <v>46112.358969907407</v>
      </c>
      <c r="G85" t="s">
        <v>90</v>
      </c>
      <c r="H85" t="s">
        <v>155</v>
      </c>
      <c r="I85" s="24"/>
      <c r="J85" s="24"/>
      <c r="K85" s="24"/>
      <c r="L85" s="24"/>
      <c r="N85" s="24"/>
      <c r="O85" s="24"/>
      <c r="P85" s="24"/>
      <c r="Q85" s="24"/>
      <c r="V85" s="24"/>
      <c r="W85" s="24"/>
      <c r="X85" s="24"/>
      <c r="Y85" s="24"/>
      <c r="AA85" s="24">
        <v>46113.327649074075</v>
      </c>
      <c r="AB85" s="24">
        <v>46113.327649074075</v>
      </c>
      <c r="AC85" s="24">
        <v>46114.414323437501</v>
      </c>
      <c r="AD85" s="24">
        <v>46114.414323437501</v>
      </c>
      <c r="AE85">
        <v>1</v>
      </c>
      <c r="AF85" s="24"/>
      <c r="AG85" s="24"/>
      <c r="AH85" s="24"/>
      <c r="AI85" s="24"/>
      <c r="AK85" s="24"/>
      <c r="AL85" s="24"/>
      <c r="AM85" s="24"/>
      <c r="AN85" s="24"/>
      <c r="AP85" s="24"/>
      <c r="AQ85" s="24"/>
      <c r="AR85" s="24">
        <v>46112.360017280094</v>
      </c>
      <c r="AS85" s="24">
        <v>46112.360017280094</v>
      </c>
      <c r="AX85" s="24"/>
      <c r="AY85" s="24"/>
      <c r="AZ85" s="24"/>
      <c r="BA85" s="24"/>
      <c r="BC85" s="24"/>
      <c r="BD85" s="24"/>
      <c r="BE85" s="24"/>
      <c r="BF85" s="24"/>
      <c r="BH85" s="24">
        <v>46112.360017280094</v>
      </c>
      <c r="BI85" s="24">
        <v>46112.360017280094</v>
      </c>
      <c r="BJ85" s="24">
        <v>46113.327649074075</v>
      </c>
      <c r="BK85" s="24">
        <v>46113.327649074075</v>
      </c>
      <c r="BL85">
        <v>1</v>
      </c>
      <c r="BM85" s="24"/>
      <c r="BN85" s="24"/>
      <c r="BO85" s="24"/>
      <c r="BP85" s="24"/>
      <c r="BR85" s="24">
        <v>46114.414323437501</v>
      </c>
      <c r="BS85" s="24">
        <v>46114.414323437501</v>
      </c>
      <c r="BT85" s="24">
        <v>46114.415661388892</v>
      </c>
      <c r="BU85" s="24">
        <v>46114.415661388892</v>
      </c>
      <c r="BV85">
        <v>1</v>
      </c>
      <c r="BW85" s="24"/>
      <c r="BX85" s="24"/>
      <c r="BY85" s="24"/>
      <c r="BZ85" s="24"/>
      <c r="CB85" s="24"/>
      <c r="CC85" s="24"/>
      <c r="CE85" s="24">
        <v>46114.415661388892</v>
      </c>
      <c r="CF85" s="24">
        <v>46114.415661388892</v>
      </c>
      <c r="CG85">
        <v>1</v>
      </c>
      <c r="CH85" s="24"/>
      <c r="CI85" s="24"/>
      <c r="CJ85" s="24"/>
      <c r="CK85" s="24"/>
      <c r="DE85" s="24"/>
      <c r="DF85" s="24"/>
      <c r="DG85" s="24"/>
      <c r="DH85" s="24"/>
      <c r="DJ85" t="s">
        <v>149</v>
      </c>
      <c r="DK85" t="s">
        <v>149</v>
      </c>
      <c r="DM85">
        <v>3</v>
      </c>
      <c r="DN85">
        <v>2</v>
      </c>
      <c r="DQ85" t="s">
        <v>1000</v>
      </c>
      <c r="DR85" t="s">
        <v>149</v>
      </c>
      <c r="DS85" s="24">
        <v>46160.384426226854</v>
      </c>
    </row>
    <row r="86" spans="1:123" x14ac:dyDescent="0.3">
      <c r="A86" t="s">
        <v>260</v>
      </c>
      <c r="D86" t="s">
        <v>223</v>
      </c>
      <c r="E86" s="24">
        <v>46112.355266203704</v>
      </c>
      <c r="G86" t="s">
        <v>90</v>
      </c>
      <c r="H86" t="s">
        <v>155</v>
      </c>
      <c r="I86" s="24"/>
      <c r="J86" s="24"/>
      <c r="K86" s="24"/>
      <c r="L86" s="24"/>
      <c r="N86" s="24">
        <v>46147.643730347219</v>
      </c>
      <c r="O86" s="24">
        <v>46147.643730347219</v>
      </c>
      <c r="P86" s="24">
        <v>46153.408800381942</v>
      </c>
      <c r="Q86" s="24">
        <v>46153.408800381942</v>
      </c>
      <c r="R86">
        <v>1</v>
      </c>
      <c r="V86" s="24"/>
      <c r="W86" s="24"/>
      <c r="X86" s="24"/>
      <c r="Y86" s="24"/>
      <c r="AA86" s="24">
        <v>46153.408800381942</v>
      </c>
      <c r="AB86" s="24">
        <v>46147.571542812497</v>
      </c>
      <c r="AC86" s="24">
        <v>46147.643730347219</v>
      </c>
      <c r="AD86" s="24">
        <v>46154.339800902781</v>
      </c>
      <c r="AE86">
        <v>2</v>
      </c>
      <c r="AF86" s="24"/>
      <c r="AG86" s="24"/>
      <c r="AH86" s="24"/>
      <c r="AI86" s="24"/>
      <c r="AK86" s="24"/>
      <c r="AL86" s="24"/>
      <c r="AM86" s="24"/>
      <c r="AN86" s="24"/>
      <c r="AP86" s="24"/>
      <c r="AQ86" s="24"/>
      <c r="AR86" s="24">
        <v>46147.57141744213</v>
      </c>
      <c r="AS86" s="24">
        <v>46147.57141744213</v>
      </c>
      <c r="AX86" s="24"/>
      <c r="AY86" s="24"/>
      <c r="AZ86" s="24"/>
      <c r="BA86" s="24"/>
      <c r="BC86" s="24"/>
      <c r="BD86" s="24"/>
      <c r="BE86" s="24"/>
      <c r="BF86" s="24"/>
      <c r="BH86" s="24">
        <v>46147.57141744213</v>
      </c>
      <c r="BI86" s="24">
        <v>46147.57141744213</v>
      </c>
      <c r="BJ86" s="24">
        <v>46147.571542812497</v>
      </c>
      <c r="BK86" s="24">
        <v>46147.571542812497</v>
      </c>
      <c r="BL86">
        <v>1</v>
      </c>
      <c r="BM86" s="24"/>
      <c r="BN86" s="24"/>
      <c r="BO86" s="24"/>
      <c r="BP86" s="24"/>
      <c r="BR86" s="24">
        <v>46154.339800902781</v>
      </c>
      <c r="BS86" s="24">
        <v>46154.339800902781</v>
      </c>
      <c r="BT86" s="24">
        <v>46154.423706967595</v>
      </c>
      <c r="BU86" s="24">
        <v>46154.423706967595</v>
      </c>
      <c r="BV86">
        <v>1</v>
      </c>
      <c r="BW86" s="24"/>
      <c r="BX86" s="24"/>
      <c r="BY86" s="24"/>
      <c r="BZ86" s="24"/>
      <c r="CB86" s="24"/>
      <c r="CC86" s="24"/>
      <c r="CE86" s="24">
        <v>46154.423706967595</v>
      </c>
      <c r="CF86" s="24">
        <v>46154.423706967595</v>
      </c>
      <c r="CG86">
        <v>1</v>
      </c>
      <c r="CH86" s="24"/>
      <c r="CI86" s="24"/>
      <c r="CJ86" s="24"/>
      <c r="CK86" s="24"/>
      <c r="DE86" s="24"/>
      <c r="DF86" s="24"/>
      <c r="DG86" s="24"/>
      <c r="DH86" s="24"/>
      <c r="DJ86" t="s">
        <v>149</v>
      </c>
      <c r="DK86" t="s">
        <v>149</v>
      </c>
      <c r="DL86">
        <v>5.765070023148148</v>
      </c>
      <c r="DM86">
        <v>7</v>
      </c>
      <c r="DN86">
        <v>7</v>
      </c>
      <c r="DQ86" t="s">
        <v>1000</v>
      </c>
      <c r="DR86" t="s">
        <v>149</v>
      </c>
      <c r="DS86" s="24">
        <v>46160.384426226854</v>
      </c>
    </row>
    <row r="87" spans="1:123" x14ac:dyDescent="0.3">
      <c r="A87" t="s">
        <v>347</v>
      </c>
      <c r="D87" t="s">
        <v>223</v>
      </c>
      <c r="E87" s="24">
        <v>46111.566099537034</v>
      </c>
      <c r="G87" t="s">
        <v>150</v>
      </c>
      <c r="H87" t="s">
        <v>155</v>
      </c>
      <c r="I87" s="24"/>
      <c r="J87" s="24"/>
      <c r="K87" s="24"/>
      <c r="L87" s="24"/>
      <c r="N87" s="24"/>
      <c r="O87" s="24"/>
      <c r="P87" s="24"/>
      <c r="Q87" s="24"/>
      <c r="V87" s="24"/>
      <c r="W87" s="24"/>
      <c r="X87" s="24"/>
      <c r="Y87" s="24"/>
      <c r="AA87" s="24"/>
      <c r="AB87" s="24"/>
      <c r="AC87" s="24"/>
      <c r="AD87" s="24"/>
      <c r="AF87" s="24"/>
      <c r="AG87" s="24"/>
      <c r="AH87" s="24"/>
      <c r="AI87" s="24"/>
      <c r="AK87" s="24"/>
      <c r="AL87" s="24"/>
      <c r="AM87" s="24"/>
      <c r="AN87" s="24"/>
      <c r="AP87" s="24">
        <v>46125.62257954861</v>
      </c>
      <c r="AQ87" s="24">
        <v>46125.62257954861</v>
      </c>
      <c r="AR87" s="24">
        <v>46127.403486828705</v>
      </c>
      <c r="AS87" s="24">
        <v>46127.403486828705</v>
      </c>
      <c r="AT87">
        <v>1</v>
      </c>
      <c r="AX87" s="24"/>
      <c r="AY87" s="24"/>
      <c r="AZ87" s="24"/>
      <c r="BA87" s="24"/>
      <c r="BC87" s="24"/>
      <c r="BD87" s="24"/>
      <c r="BE87" s="24"/>
      <c r="BF87" s="24"/>
      <c r="BH87" s="24"/>
      <c r="BI87" s="24"/>
      <c r="BJ87" s="24"/>
      <c r="BK87" s="24"/>
      <c r="BM87" s="24"/>
      <c r="BN87" s="24"/>
      <c r="BO87" s="24"/>
      <c r="BP87" s="24"/>
      <c r="BR87" s="24"/>
      <c r="BS87" s="24"/>
      <c r="BT87" s="24"/>
      <c r="BU87" s="24"/>
      <c r="BW87" s="24"/>
      <c r="BX87" s="24"/>
      <c r="BY87" s="24"/>
      <c r="BZ87" s="24"/>
      <c r="CB87" s="24">
        <v>46127.403486828705</v>
      </c>
      <c r="CC87" s="24">
        <v>46127.403486828705</v>
      </c>
      <c r="CD87">
        <v>1</v>
      </c>
      <c r="CE87" s="24"/>
      <c r="CF87" s="24"/>
      <c r="CH87" s="24"/>
      <c r="CI87" s="24"/>
      <c r="CJ87" s="24"/>
      <c r="CK87" s="24"/>
      <c r="DE87" s="24"/>
      <c r="DF87" s="24"/>
      <c r="DG87" s="24"/>
      <c r="DH87" s="24"/>
      <c r="DJ87" t="s">
        <v>149</v>
      </c>
      <c r="DK87" t="s">
        <v>149</v>
      </c>
      <c r="DQ87" t="s">
        <v>1000</v>
      </c>
      <c r="DR87" t="s">
        <v>149</v>
      </c>
      <c r="DS87" s="24">
        <v>46160.384426226854</v>
      </c>
    </row>
    <row r="88" spans="1:123" x14ac:dyDescent="0.3">
      <c r="A88" t="s">
        <v>348</v>
      </c>
      <c r="D88" t="s">
        <v>223</v>
      </c>
      <c r="E88" s="24">
        <v>46111.543310185189</v>
      </c>
      <c r="G88" t="s">
        <v>102</v>
      </c>
      <c r="H88" t="s">
        <v>154</v>
      </c>
      <c r="I88" s="24"/>
      <c r="J88" s="24"/>
      <c r="K88" s="24"/>
      <c r="L88" s="24"/>
      <c r="N88" s="24"/>
      <c r="O88" s="24"/>
      <c r="P88" s="24"/>
      <c r="Q88" s="24"/>
      <c r="V88" s="24"/>
      <c r="W88" s="24"/>
      <c r="X88" s="24"/>
      <c r="Y88" s="24"/>
      <c r="AA88" s="24"/>
      <c r="AB88" s="24"/>
      <c r="AC88" s="24"/>
      <c r="AD88" s="24"/>
      <c r="AF88" s="24"/>
      <c r="AG88" s="24"/>
      <c r="AH88" s="24"/>
      <c r="AI88" s="24"/>
      <c r="AK88" s="24"/>
      <c r="AL88" s="24"/>
      <c r="AM88" s="24"/>
      <c r="AN88" s="24"/>
      <c r="AP88" s="24">
        <v>46125.646614826386</v>
      </c>
      <c r="AQ88" s="24">
        <v>46125.646614826386</v>
      </c>
      <c r="AR88" s="24"/>
      <c r="AS88" s="24"/>
      <c r="AT88">
        <v>1</v>
      </c>
      <c r="AX88" s="24"/>
      <c r="AY88" s="24"/>
      <c r="AZ88" s="24"/>
      <c r="BA88" s="24"/>
      <c r="BC88" s="24"/>
      <c r="BD88" s="24"/>
      <c r="BE88" s="24"/>
      <c r="BF88" s="24"/>
      <c r="BH88" s="24"/>
      <c r="BI88" s="24"/>
      <c r="BJ88" s="24"/>
      <c r="BK88" s="24"/>
      <c r="BM88" s="24"/>
      <c r="BN88" s="24"/>
      <c r="BO88" s="24"/>
      <c r="BP88" s="24"/>
      <c r="BR88" s="24"/>
      <c r="BS88" s="24"/>
      <c r="BT88" s="24"/>
      <c r="BU88" s="24"/>
      <c r="BW88" s="24"/>
      <c r="BX88" s="24"/>
      <c r="BY88" s="24"/>
      <c r="BZ88" s="24"/>
      <c r="CB88" s="24"/>
      <c r="CC88" s="24"/>
      <c r="CE88" s="24"/>
      <c r="CF88" s="24"/>
      <c r="CH88" s="24"/>
      <c r="CI88" s="24"/>
      <c r="CJ88" s="24"/>
      <c r="CK88" s="24"/>
      <c r="DE88" s="24"/>
      <c r="DF88" s="24"/>
      <c r="DG88" s="24"/>
      <c r="DH88" s="24"/>
      <c r="DJ88" t="s">
        <v>149</v>
      </c>
      <c r="DK88" t="s">
        <v>149</v>
      </c>
      <c r="DP88">
        <v>35</v>
      </c>
      <c r="DQ88" t="s">
        <v>1000</v>
      </c>
      <c r="DR88" t="s">
        <v>149</v>
      </c>
      <c r="DS88" s="24">
        <v>46160.384426226854</v>
      </c>
    </row>
    <row r="89" spans="1:123" x14ac:dyDescent="0.3">
      <c r="A89" t="s">
        <v>349</v>
      </c>
      <c r="D89" t="s">
        <v>223</v>
      </c>
      <c r="E89" s="24">
        <v>46106.49726851852</v>
      </c>
      <c r="G89" t="s">
        <v>102</v>
      </c>
      <c r="H89" t="s">
        <v>154</v>
      </c>
      <c r="I89" s="24"/>
      <c r="J89" s="24"/>
      <c r="K89" s="24"/>
      <c r="L89" s="24"/>
      <c r="N89" s="24"/>
      <c r="O89" s="24"/>
      <c r="P89" s="24"/>
      <c r="Q89" s="24"/>
      <c r="V89" s="24"/>
      <c r="W89" s="24"/>
      <c r="X89" s="24"/>
      <c r="Y89" s="24"/>
      <c r="AA89" s="24"/>
      <c r="AB89" s="24"/>
      <c r="AC89" s="24"/>
      <c r="AD89" s="24"/>
      <c r="AF89" s="24"/>
      <c r="AG89" s="24"/>
      <c r="AH89" s="24"/>
      <c r="AI89" s="24"/>
      <c r="AK89" s="24"/>
      <c r="AL89" s="24"/>
      <c r="AM89" s="24"/>
      <c r="AN89" s="24"/>
      <c r="AP89" s="24">
        <v>46125.633464212966</v>
      </c>
      <c r="AQ89" s="24">
        <v>46125.633464212966</v>
      </c>
      <c r="AR89" s="24"/>
      <c r="AS89" s="24"/>
      <c r="AT89">
        <v>1</v>
      </c>
      <c r="AX89" s="24"/>
      <c r="AY89" s="24"/>
      <c r="AZ89" s="24"/>
      <c r="BA89" s="24"/>
      <c r="BC89" s="24"/>
      <c r="BD89" s="24"/>
      <c r="BE89" s="24"/>
      <c r="BF89" s="24"/>
      <c r="BH89" s="24"/>
      <c r="BI89" s="24"/>
      <c r="BJ89" s="24"/>
      <c r="BK89" s="24"/>
      <c r="BM89" s="24"/>
      <c r="BN89" s="24"/>
      <c r="BO89" s="24"/>
      <c r="BP89" s="24"/>
      <c r="BR89" s="24"/>
      <c r="BS89" s="24"/>
      <c r="BT89" s="24"/>
      <c r="BU89" s="24"/>
      <c r="BW89" s="24"/>
      <c r="BX89" s="24"/>
      <c r="BY89" s="24"/>
      <c r="BZ89" s="24"/>
      <c r="CB89" s="24"/>
      <c r="CC89" s="24"/>
      <c r="CE89" s="24"/>
      <c r="CF89" s="24"/>
      <c r="CH89" s="24"/>
      <c r="CI89" s="24"/>
      <c r="CJ89" s="24"/>
      <c r="CK89" s="24"/>
      <c r="DE89" s="24"/>
      <c r="DF89" s="24"/>
      <c r="DG89" s="24"/>
      <c r="DH89" s="24"/>
      <c r="DJ89" t="s">
        <v>149</v>
      </c>
      <c r="DK89" t="s">
        <v>149</v>
      </c>
      <c r="DP89">
        <v>35</v>
      </c>
      <c r="DQ89" t="s">
        <v>1000</v>
      </c>
      <c r="DR89" t="s">
        <v>149</v>
      </c>
      <c r="DS89" s="24">
        <v>46160.384426226854</v>
      </c>
    </row>
    <row r="90" spans="1:123" x14ac:dyDescent="0.3">
      <c r="A90" t="s">
        <v>350</v>
      </c>
      <c r="D90" t="s">
        <v>225</v>
      </c>
      <c r="E90" s="24">
        <v>46106.431203703702</v>
      </c>
      <c r="G90" t="s">
        <v>90</v>
      </c>
      <c r="H90" t="s">
        <v>155</v>
      </c>
      <c r="I90" s="24"/>
      <c r="J90" s="24"/>
      <c r="K90" s="24"/>
      <c r="L90" s="24"/>
      <c r="N90" s="24"/>
      <c r="O90" s="24"/>
      <c r="P90" s="24"/>
      <c r="Q90" s="24"/>
      <c r="V90" s="24"/>
      <c r="W90" s="24"/>
      <c r="X90" s="24"/>
      <c r="Y90" s="24"/>
      <c r="AA90" s="24">
        <v>46121.53505421296</v>
      </c>
      <c r="AB90" s="24">
        <v>46121.53505421296</v>
      </c>
      <c r="AC90" s="24">
        <v>46122.317988495372</v>
      </c>
      <c r="AD90" s="24">
        <v>46122.317988495372</v>
      </c>
      <c r="AE90">
        <v>1</v>
      </c>
      <c r="AF90" s="24">
        <v>46122.317988495372</v>
      </c>
      <c r="AG90" s="24">
        <v>46122.317988495372</v>
      </c>
      <c r="AH90" s="24">
        <v>46125.413949583337</v>
      </c>
      <c r="AI90" s="24">
        <v>46125.413949583337</v>
      </c>
      <c r="AJ90">
        <v>1</v>
      </c>
      <c r="AK90" s="24">
        <v>46125.413949583337</v>
      </c>
      <c r="AL90" s="24">
        <v>46125.413949583337</v>
      </c>
      <c r="AM90" s="24">
        <v>46125.414013032409</v>
      </c>
      <c r="AN90" s="24">
        <v>46125.414013032409</v>
      </c>
      <c r="AO90">
        <v>1</v>
      </c>
      <c r="AP90" s="24"/>
      <c r="AQ90" s="24"/>
      <c r="AR90" s="24">
        <v>46121.533845729165</v>
      </c>
      <c r="AS90" s="24">
        <v>46121.533845729165</v>
      </c>
      <c r="AX90" s="24"/>
      <c r="AY90" s="24"/>
      <c r="AZ90" s="24"/>
      <c r="BA90" s="24"/>
      <c r="BC90" s="24">
        <v>46126.436309328703</v>
      </c>
      <c r="BD90" s="24">
        <v>46126.436309328703</v>
      </c>
      <c r="BE90" s="24">
        <v>46132.411900624997</v>
      </c>
      <c r="BF90" s="24">
        <v>46132.411900624997</v>
      </c>
      <c r="BG90">
        <v>1</v>
      </c>
      <c r="BH90" s="24">
        <v>46121.533845729165</v>
      </c>
      <c r="BI90" s="24">
        <v>46121.533845729165</v>
      </c>
      <c r="BJ90" s="24">
        <v>46121.53505421296</v>
      </c>
      <c r="BK90" s="24">
        <v>46121.53505421296</v>
      </c>
      <c r="BL90">
        <v>1</v>
      </c>
      <c r="BM90" s="24"/>
      <c r="BN90" s="24"/>
      <c r="BO90" s="24"/>
      <c r="BP90" s="24"/>
      <c r="BR90" s="24">
        <v>46125.414013032409</v>
      </c>
      <c r="BS90" s="24">
        <v>46125.414013032409</v>
      </c>
      <c r="BT90" s="24">
        <v>46126.436309328703</v>
      </c>
      <c r="BU90" s="24">
        <v>46126.436309328703</v>
      </c>
      <c r="BV90">
        <v>1</v>
      </c>
      <c r="BW90" s="24"/>
      <c r="BX90" s="24"/>
      <c r="BY90" s="24"/>
      <c r="BZ90" s="24"/>
      <c r="CB90" s="24"/>
      <c r="CC90" s="24"/>
      <c r="CE90" s="24">
        <v>46132.411900624997</v>
      </c>
      <c r="CF90" s="24">
        <v>46132.411900624997</v>
      </c>
      <c r="CG90">
        <v>1</v>
      </c>
      <c r="CH90" s="24"/>
      <c r="CI90" s="24"/>
      <c r="CJ90" s="24"/>
      <c r="CK90" s="24"/>
      <c r="DE90" s="24"/>
      <c r="DF90" s="24"/>
      <c r="DG90" s="24"/>
      <c r="DH90" s="24"/>
      <c r="DJ90" t="s">
        <v>149</v>
      </c>
      <c r="DK90" t="s">
        <v>149</v>
      </c>
      <c r="DM90">
        <v>11</v>
      </c>
      <c r="DN90">
        <v>11</v>
      </c>
      <c r="DQ90" t="s">
        <v>1000</v>
      </c>
      <c r="DR90" t="s">
        <v>149</v>
      </c>
      <c r="DS90" s="24">
        <v>46160.384426226854</v>
      </c>
    </row>
    <row r="91" spans="1:123" x14ac:dyDescent="0.3">
      <c r="A91" t="s">
        <v>351</v>
      </c>
      <c r="D91" t="s">
        <v>223</v>
      </c>
      <c r="E91" s="24">
        <v>46105.570879629631</v>
      </c>
      <c r="G91" t="s">
        <v>90</v>
      </c>
      <c r="H91" t="s">
        <v>155</v>
      </c>
      <c r="I91" s="24"/>
      <c r="J91" s="24"/>
      <c r="K91" s="24"/>
      <c r="L91" s="24"/>
      <c r="N91" s="24"/>
      <c r="O91" s="24"/>
      <c r="P91" s="24"/>
      <c r="Q91" s="24"/>
      <c r="V91" s="24"/>
      <c r="W91" s="24"/>
      <c r="X91" s="24"/>
      <c r="Y91" s="24"/>
      <c r="AA91" s="24">
        <v>46149.599011736114</v>
      </c>
      <c r="AB91" s="24">
        <v>46149.599011736114</v>
      </c>
      <c r="AC91" s="24">
        <v>46153.587351527778</v>
      </c>
      <c r="AD91" s="24">
        <v>46153.587351527778</v>
      </c>
      <c r="AE91">
        <v>1</v>
      </c>
      <c r="AF91" s="24">
        <v>46153.587351527778</v>
      </c>
      <c r="AG91" s="24">
        <v>46153.587351527778</v>
      </c>
      <c r="AH91" s="24">
        <v>46154.406263900462</v>
      </c>
      <c r="AI91" s="24">
        <v>46154.406263900462</v>
      </c>
      <c r="AJ91">
        <v>1</v>
      </c>
      <c r="AK91" s="24"/>
      <c r="AL91" s="24"/>
      <c r="AM91" s="24"/>
      <c r="AN91" s="24"/>
      <c r="AP91" s="24"/>
      <c r="AQ91" s="24"/>
      <c r="AR91" s="24">
        <v>46147.644426122686</v>
      </c>
      <c r="AS91" s="24">
        <v>46147.644426122686</v>
      </c>
      <c r="AX91" s="24"/>
      <c r="AY91" s="24"/>
      <c r="AZ91" s="24"/>
      <c r="BA91" s="24"/>
      <c r="BC91" s="24"/>
      <c r="BD91" s="24"/>
      <c r="BE91" s="24"/>
      <c r="BF91" s="24"/>
      <c r="BH91" s="24">
        <v>46147.644426122686</v>
      </c>
      <c r="BI91" s="24">
        <v>46147.644426122686</v>
      </c>
      <c r="BJ91" s="24">
        <v>46149.599011736114</v>
      </c>
      <c r="BK91" s="24">
        <v>46149.599011736114</v>
      </c>
      <c r="BL91">
        <v>1</v>
      </c>
      <c r="BM91" s="24"/>
      <c r="BN91" s="24"/>
      <c r="BO91" s="24"/>
      <c r="BP91" s="24"/>
      <c r="BR91" s="24"/>
      <c r="BS91" s="24"/>
      <c r="BT91" s="24"/>
      <c r="BU91" s="24"/>
      <c r="BW91" s="24"/>
      <c r="BX91" s="24"/>
      <c r="BY91" s="24"/>
      <c r="BZ91" s="24"/>
      <c r="CB91" s="24"/>
      <c r="CC91" s="24"/>
      <c r="CE91" s="24">
        <v>46154.406263900462</v>
      </c>
      <c r="CF91" s="24">
        <v>46154.406263900462</v>
      </c>
      <c r="CG91">
        <v>1</v>
      </c>
      <c r="CH91" s="24"/>
      <c r="CI91" s="24"/>
      <c r="CJ91" s="24"/>
      <c r="CK91" s="24"/>
      <c r="DE91" s="24"/>
      <c r="DF91" s="24"/>
      <c r="DG91" s="24"/>
      <c r="DH91" s="24"/>
      <c r="DJ91" t="s">
        <v>149</v>
      </c>
      <c r="DK91" t="s">
        <v>149</v>
      </c>
      <c r="DM91">
        <v>7</v>
      </c>
      <c r="DN91">
        <v>5</v>
      </c>
      <c r="DQ91" t="s">
        <v>1000</v>
      </c>
      <c r="DR91" t="s">
        <v>149</v>
      </c>
      <c r="DS91" s="24">
        <v>46160.384426226854</v>
      </c>
    </row>
    <row r="92" spans="1:123" x14ac:dyDescent="0.3">
      <c r="A92" t="s">
        <v>352</v>
      </c>
      <c r="D92" t="s">
        <v>223</v>
      </c>
      <c r="E92" s="24">
        <v>46105.545706018522</v>
      </c>
      <c r="G92" t="s">
        <v>102</v>
      </c>
      <c r="H92" t="s">
        <v>154</v>
      </c>
      <c r="I92" s="24"/>
      <c r="J92" s="24"/>
      <c r="K92" s="24"/>
      <c r="L92" s="24"/>
      <c r="N92" s="24"/>
      <c r="O92" s="24"/>
      <c r="P92" s="24"/>
      <c r="Q92" s="24"/>
      <c r="V92" s="24"/>
      <c r="W92" s="24"/>
      <c r="X92" s="24"/>
      <c r="Y92" s="24"/>
      <c r="AA92" s="24"/>
      <c r="AB92" s="24"/>
      <c r="AC92" s="24"/>
      <c r="AD92" s="24"/>
      <c r="AF92" s="24"/>
      <c r="AG92" s="24"/>
      <c r="AH92" s="24"/>
      <c r="AI92" s="24"/>
      <c r="AK92" s="24"/>
      <c r="AL92" s="24"/>
      <c r="AM92" s="24"/>
      <c r="AN92" s="24"/>
      <c r="AP92" s="24">
        <v>46125.632289768517</v>
      </c>
      <c r="AQ92" s="24">
        <v>46125.632289768517</v>
      </c>
      <c r="AR92" s="24"/>
      <c r="AS92" s="24"/>
      <c r="AT92">
        <v>1</v>
      </c>
      <c r="AX92" s="24"/>
      <c r="AY92" s="24"/>
      <c r="AZ92" s="24"/>
      <c r="BA92" s="24"/>
      <c r="BC92" s="24"/>
      <c r="BD92" s="24"/>
      <c r="BE92" s="24"/>
      <c r="BF92" s="24"/>
      <c r="BH92" s="24"/>
      <c r="BI92" s="24"/>
      <c r="BJ92" s="24"/>
      <c r="BK92" s="24"/>
      <c r="BM92" s="24"/>
      <c r="BN92" s="24"/>
      <c r="BO92" s="24"/>
      <c r="BP92" s="24"/>
      <c r="BR92" s="24"/>
      <c r="BS92" s="24"/>
      <c r="BT92" s="24"/>
      <c r="BU92" s="24"/>
      <c r="BW92" s="24"/>
      <c r="BX92" s="24"/>
      <c r="BY92" s="24"/>
      <c r="BZ92" s="24"/>
      <c r="CB92" s="24"/>
      <c r="CC92" s="24"/>
      <c r="CE92" s="24"/>
      <c r="CF92" s="24"/>
      <c r="CH92" s="24"/>
      <c r="CI92" s="24"/>
      <c r="CJ92" s="24"/>
      <c r="CK92" s="24"/>
      <c r="DE92" s="24"/>
      <c r="DF92" s="24"/>
      <c r="DG92" s="24"/>
      <c r="DH92" s="24"/>
      <c r="DJ92" t="s">
        <v>149</v>
      </c>
      <c r="DK92" t="s">
        <v>149</v>
      </c>
      <c r="DP92">
        <v>35</v>
      </c>
      <c r="DQ92" t="s">
        <v>1000</v>
      </c>
      <c r="DR92" t="s">
        <v>149</v>
      </c>
      <c r="DS92" s="24">
        <v>46160.384426226854</v>
      </c>
    </row>
    <row r="93" spans="1:123" x14ac:dyDescent="0.3">
      <c r="A93" t="s">
        <v>353</v>
      </c>
      <c r="D93" t="s">
        <v>223</v>
      </c>
      <c r="E93" s="24">
        <v>46105.545451388891</v>
      </c>
      <c r="G93" t="s">
        <v>102</v>
      </c>
      <c r="H93" t="s">
        <v>154</v>
      </c>
      <c r="I93" s="24"/>
      <c r="J93" s="24"/>
      <c r="K93" s="24"/>
      <c r="L93" s="24"/>
      <c r="N93" s="24"/>
      <c r="O93" s="24"/>
      <c r="P93" s="24"/>
      <c r="Q93" s="24"/>
      <c r="V93" s="24"/>
      <c r="W93" s="24"/>
      <c r="X93" s="24"/>
      <c r="Y93" s="24"/>
      <c r="AA93" s="24"/>
      <c r="AB93" s="24"/>
      <c r="AC93" s="24"/>
      <c r="AD93" s="24"/>
      <c r="AF93" s="24"/>
      <c r="AG93" s="24"/>
      <c r="AH93" s="24"/>
      <c r="AI93" s="24"/>
      <c r="AK93" s="24"/>
      <c r="AL93" s="24"/>
      <c r="AM93" s="24"/>
      <c r="AN93" s="24"/>
      <c r="AP93" s="24">
        <v>46125.635072337966</v>
      </c>
      <c r="AQ93" s="24">
        <v>46125.635072337966</v>
      </c>
      <c r="AR93" s="24"/>
      <c r="AS93" s="24"/>
      <c r="AT93">
        <v>1</v>
      </c>
      <c r="AX93" s="24"/>
      <c r="AY93" s="24"/>
      <c r="AZ93" s="24"/>
      <c r="BA93" s="24"/>
      <c r="BC93" s="24"/>
      <c r="BD93" s="24"/>
      <c r="BE93" s="24"/>
      <c r="BF93" s="24"/>
      <c r="BH93" s="24"/>
      <c r="BI93" s="24"/>
      <c r="BJ93" s="24"/>
      <c r="BK93" s="24"/>
      <c r="BM93" s="24"/>
      <c r="BN93" s="24"/>
      <c r="BO93" s="24"/>
      <c r="BP93" s="24"/>
      <c r="BR93" s="24"/>
      <c r="BS93" s="24"/>
      <c r="BT93" s="24"/>
      <c r="BU93" s="24"/>
      <c r="BW93" s="24"/>
      <c r="BX93" s="24"/>
      <c r="BY93" s="24"/>
      <c r="BZ93" s="24"/>
      <c r="CB93" s="24"/>
      <c r="CC93" s="24"/>
      <c r="CE93" s="24"/>
      <c r="CF93" s="24"/>
      <c r="CH93" s="24"/>
      <c r="CI93" s="24"/>
      <c r="CJ93" s="24"/>
      <c r="CK93" s="24"/>
      <c r="DE93" s="24"/>
      <c r="DF93" s="24"/>
      <c r="DG93" s="24"/>
      <c r="DH93" s="24"/>
      <c r="DJ93" t="s">
        <v>149</v>
      </c>
      <c r="DK93" t="s">
        <v>149</v>
      </c>
      <c r="DP93">
        <v>35</v>
      </c>
      <c r="DQ93" t="s">
        <v>1000</v>
      </c>
      <c r="DR93" t="s">
        <v>149</v>
      </c>
      <c r="DS93" s="24">
        <v>46160.384426226854</v>
      </c>
    </row>
    <row r="94" spans="1:123" x14ac:dyDescent="0.3">
      <c r="A94" t="s">
        <v>354</v>
      </c>
      <c r="D94" t="s">
        <v>225</v>
      </c>
      <c r="E94" s="24">
        <v>46104.759745370371</v>
      </c>
      <c r="G94" t="s">
        <v>90</v>
      </c>
      <c r="H94" t="s">
        <v>155</v>
      </c>
      <c r="I94" s="24"/>
      <c r="J94" s="24"/>
      <c r="K94" s="24"/>
      <c r="L94" s="24"/>
      <c r="N94" s="24"/>
      <c r="O94" s="24"/>
      <c r="P94" s="24"/>
      <c r="Q94" s="24"/>
      <c r="V94" s="24"/>
      <c r="W94" s="24"/>
      <c r="X94" s="24"/>
      <c r="Y94" s="24"/>
      <c r="AA94" s="24">
        <v>46106.338300439813</v>
      </c>
      <c r="AB94" s="24">
        <v>46106.338300439813</v>
      </c>
      <c r="AC94" s="24">
        <v>46106.385290682869</v>
      </c>
      <c r="AD94" s="24">
        <v>46106.385290682869</v>
      </c>
      <c r="AE94">
        <v>1</v>
      </c>
      <c r="AF94" s="24">
        <v>46106.385290682869</v>
      </c>
      <c r="AG94" s="24">
        <v>46106.385290682869</v>
      </c>
      <c r="AH94" s="24">
        <v>46106.422767303244</v>
      </c>
      <c r="AI94" s="24">
        <v>46106.422767303244</v>
      </c>
      <c r="AJ94">
        <v>1</v>
      </c>
      <c r="AK94" s="24">
        <v>46106.422767303244</v>
      </c>
      <c r="AL94" s="24">
        <v>46106.422767303244</v>
      </c>
      <c r="AM94" s="24">
        <v>46108.626121493056</v>
      </c>
      <c r="AN94" s="24">
        <v>46108.626121493056</v>
      </c>
      <c r="AO94">
        <v>1</v>
      </c>
      <c r="AP94" s="24"/>
      <c r="AQ94" s="24"/>
      <c r="AR94" s="24">
        <v>46104.762284432873</v>
      </c>
      <c r="AS94" s="24">
        <v>46104.762284432873</v>
      </c>
      <c r="AX94" s="24"/>
      <c r="AY94" s="24"/>
      <c r="AZ94" s="24"/>
      <c r="BA94" s="24"/>
      <c r="BC94" s="24">
        <v>46108.626332905093</v>
      </c>
      <c r="BD94" s="24">
        <v>46108.626332905093</v>
      </c>
      <c r="BE94" s="24">
        <v>46113.575844282408</v>
      </c>
      <c r="BF94" s="24">
        <v>46113.575844282408</v>
      </c>
      <c r="BG94">
        <v>1</v>
      </c>
      <c r="BH94" s="24">
        <v>46104.762284432873</v>
      </c>
      <c r="BI94" s="24">
        <v>46104.762284432873</v>
      </c>
      <c r="BJ94" s="24">
        <v>46106.338300439813</v>
      </c>
      <c r="BK94" s="24">
        <v>46106.338300439813</v>
      </c>
      <c r="BL94">
        <v>1</v>
      </c>
      <c r="BM94" s="24"/>
      <c r="BN94" s="24"/>
      <c r="BO94" s="24"/>
      <c r="BP94" s="24"/>
      <c r="BR94" s="24">
        <v>46108.626121493056</v>
      </c>
      <c r="BS94" s="24">
        <v>46108.626121493056</v>
      </c>
      <c r="BT94" s="24">
        <v>46108.626332905093</v>
      </c>
      <c r="BU94" s="24">
        <v>46108.626332905093</v>
      </c>
      <c r="BV94">
        <v>1</v>
      </c>
      <c r="BW94" s="24"/>
      <c r="BX94" s="24"/>
      <c r="BY94" s="24"/>
      <c r="BZ94" s="24"/>
      <c r="CB94" s="24"/>
      <c r="CC94" s="24"/>
      <c r="CE94" s="24">
        <v>46113.575844282408</v>
      </c>
      <c r="CF94" s="24">
        <v>46113.575844282408</v>
      </c>
      <c r="CG94">
        <v>1</v>
      </c>
      <c r="CH94" s="24"/>
      <c r="CI94" s="24"/>
      <c r="CJ94" s="24"/>
      <c r="CK94" s="24"/>
      <c r="DE94" s="24"/>
      <c r="DF94" s="24"/>
      <c r="DG94" s="24"/>
      <c r="DH94" s="24"/>
      <c r="DJ94" t="s">
        <v>149</v>
      </c>
      <c r="DK94" t="s">
        <v>149</v>
      </c>
      <c r="DM94">
        <v>9</v>
      </c>
      <c r="DN94">
        <v>8</v>
      </c>
      <c r="DQ94" t="s">
        <v>1000</v>
      </c>
      <c r="DR94" t="s">
        <v>149</v>
      </c>
      <c r="DS94" s="24">
        <v>46160.384426226854</v>
      </c>
    </row>
    <row r="95" spans="1:123" x14ac:dyDescent="0.3">
      <c r="A95" t="s">
        <v>355</v>
      </c>
      <c r="D95" t="s">
        <v>223</v>
      </c>
      <c r="E95" s="24">
        <v>46104.705439814818</v>
      </c>
      <c r="G95" t="s">
        <v>150</v>
      </c>
      <c r="H95" t="s">
        <v>155</v>
      </c>
      <c r="I95" s="24"/>
      <c r="J95" s="24"/>
      <c r="K95" s="24"/>
      <c r="L95" s="24"/>
      <c r="N95" s="24"/>
      <c r="O95" s="24"/>
      <c r="P95" s="24"/>
      <c r="Q95" s="24"/>
      <c r="V95" s="24"/>
      <c r="W95" s="24"/>
      <c r="X95" s="24"/>
      <c r="Y95" s="24"/>
      <c r="AA95" s="24"/>
      <c r="AB95" s="24"/>
      <c r="AC95" s="24"/>
      <c r="AD95" s="24"/>
      <c r="AF95" s="24"/>
      <c r="AG95" s="24"/>
      <c r="AH95" s="24"/>
      <c r="AI95" s="24"/>
      <c r="AK95" s="24"/>
      <c r="AL95" s="24"/>
      <c r="AM95" s="24"/>
      <c r="AN95" s="24"/>
      <c r="AP95" s="24"/>
      <c r="AQ95" s="24"/>
      <c r="AR95" s="24">
        <v>46113.326442638892</v>
      </c>
      <c r="AS95" s="24">
        <v>46113.326442638892</v>
      </c>
      <c r="AX95" s="24"/>
      <c r="AY95" s="24"/>
      <c r="AZ95" s="24"/>
      <c r="BA95" s="24"/>
      <c r="BC95" s="24"/>
      <c r="BD95" s="24"/>
      <c r="BE95" s="24"/>
      <c r="BF95" s="24"/>
      <c r="BH95" s="24">
        <v>46113.326442638892</v>
      </c>
      <c r="BI95" s="24">
        <v>46113.326442638892</v>
      </c>
      <c r="BJ95" s="24">
        <v>46132.573087152778</v>
      </c>
      <c r="BK95" s="24">
        <v>46132.573087152778</v>
      </c>
      <c r="BL95">
        <v>1</v>
      </c>
      <c r="BM95" s="24"/>
      <c r="BN95" s="24"/>
      <c r="BO95" s="24"/>
      <c r="BP95" s="24"/>
      <c r="BR95" s="24"/>
      <c r="BS95" s="24"/>
      <c r="BT95" s="24"/>
      <c r="BU95" s="24"/>
      <c r="BW95" s="24"/>
      <c r="BX95" s="24"/>
      <c r="BY95" s="24"/>
      <c r="BZ95" s="24"/>
      <c r="CB95" s="24">
        <v>46132.573087152778</v>
      </c>
      <c r="CC95" s="24">
        <v>46132.573087152778</v>
      </c>
      <c r="CD95">
        <v>1</v>
      </c>
      <c r="CE95" s="24"/>
      <c r="CF95" s="24"/>
      <c r="CH95" s="24"/>
      <c r="CI95" s="24"/>
      <c r="CJ95" s="24"/>
      <c r="CK95" s="24"/>
      <c r="DE95" s="24"/>
      <c r="DF95" s="24"/>
      <c r="DG95" s="24"/>
      <c r="DH95" s="24"/>
      <c r="DJ95" t="s">
        <v>149</v>
      </c>
      <c r="DK95" t="s">
        <v>149</v>
      </c>
      <c r="DQ95" t="s">
        <v>1000</v>
      </c>
      <c r="DR95" t="s">
        <v>149</v>
      </c>
      <c r="DS95" s="24">
        <v>46160.384426226854</v>
      </c>
    </row>
    <row r="96" spans="1:123" x14ac:dyDescent="0.3">
      <c r="A96" t="s">
        <v>356</v>
      </c>
      <c r="D96" t="s">
        <v>223</v>
      </c>
      <c r="E96" s="24">
        <v>46104.679872685185</v>
      </c>
      <c r="G96" t="s">
        <v>102</v>
      </c>
      <c r="H96" t="s">
        <v>154</v>
      </c>
      <c r="I96" s="24"/>
      <c r="J96" s="24"/>
      <c r="K96" s="24"/>
      <c r="L96" s="24"/>
      <c r="N96" s="24"/>
      <c r="O96" s="24"/>
      <c r="P96" s="24"/>
      <c r="Q96" s="24"/>
      <c r="V96" s="24"/>
      <c r="W96" s="24"/>
      <c r="X96" s="24"/>
      <c r="Y96" s="24"/>
      <c r="AA96" s="24"/>
      <c r="AB96" s="24"/>
      <c r="AC96" s="24"/>
      <c r="AD96" s="24"/>
      <c r="AF96" s="24"/>
      <c r="AG96" s="24"/>
      <c r="AH96" s="24"/>
      <c r="AI96" s="24"/>
      <c r="AK96" s="24"/>
      <c r="AL96" s="24"/>
      <c r="AM96" s="24"/>
      <c r="AN96" s="24"/>
      <c r="AP96" s="24"/>
      <c r="AQ96" s="24"/>
      <c r="AR96" s="24"/>
      <c r="AS96" s="24"/>
      <c r="AX96" s="24"/>
      <c r="AY96" s="24"/>
      <c r="AZ96" s="24"/>
      <c r="BA96" s="24"/>
      <c r="BC96" s="24"/>
      <c r="BD96" s="24"/>
      <c r="BE96" s="24"/>
      <c r="BF96" s="24"/>
      <c r="BH96" s="24"/>
      <c r="BI96" s="24"/>
      <c r="BJ96" s="24"/>
      <c r="BK96" s="24"/>
      <c r="BM96" s="24"/>
      <c r="BN96" s="24"/>
      <c r="BO96" s="24"/>
      <c r="BP96" s="24"/>
      <c r="BR96" s="24"/>
      <c r="BS96" s="24"/>
      <c r="BT96" s="24"/>
      <c r="BU96" s="24"/>
      <c r="BW96" s="24"/>
      <c r="BX96" s="24"/>
      <c r="BY96" s="24"/>
      <c r="BZ96" s="24"/>
      <c r="CB96" s="24"/>
      <c r="CC96" s="24"/>
      <c r="CE96" s="24"/>
      <c r="CF96" s="24"/>
      <c r="CH96" s="24"/>
      <c r="CI96" s="24"/>
      <c r="CJ96" s="24"/>
      <c r="CK96" s="24"/>
      <c r="DE96" s="24"/>
      <c r="DF96" s="24"/>
      <c r="DG96" s="24"/>
      <c r="DH96" s="24"/>
      <c r="DJ96" t="s">
        <v>149</v>
      </c>
      <c r="DK96" t="s">
        <v>149</v>
      </c>
      <c r="DQ96" t="s">
        <v>1000</v>
      </c>
      <c r="DR96" t="s">
        <v>149</v>
      </c>
      <c r="DS96" s="24">
        <v>46160.384426226854</v>
      </c>
    </row>
    <row r="97" spans="1:123" x14ac:dyDescent="0.3">
      <c r="A97" t="s">
        <v>357</v>
      </c>
      <c r="D97" t="s">
        <v>223</v>
      </c>
      <c r="E97" s="24">
        <v>46104.615428240744</v>
      </c>
      <c r="G97" t="s">
        <v>90</v>
      </c>
      <c r="H97" t="s">
        <v>155</v>
      </c>
      <c r="I97" s="24"/>
      <c r="J97" s="24"/>
      <c r="K97" s="24"/>
      <c r="L97" s="24"/>
      <c r="N97" s="24"/>
      <c r="O97" s="24"/>
      <c r="P97" s="24"/>
      <c r="Q97" s="24"/>
      <c r="V97" s="24"/>
      <c r="W97" s="24"/>
      <c r="X97" s="24"/>
      <c r="Y97" s="24"/>
      <c r="AA97" s="24">
        <v>46104.621378715281</v>
      </c>
      <c r="AB97" s="24">
        <v>46104.621378715281</v>
      </c>
      <c r="AC97" s="24">
        <v>46104.621441817129</v>
      </c>
      <c r="AD97" s="24">
        <v>46104.621441817129</v>
      </c>
      <c r="AE97">
        <v>1</v>
      </c>
      <c r="AF97" s="24">
        <v>46104.621441817129</v>
      </c>
      <c r="AG97" s="24">
        <v>46104.621441817129</v>
      </c>
      <c r="AH97" s="24">
        <v>46106.328457118056</v>
      </c>
      <c r="AI97" s="24">
        <v>46106.328457118056</v>
      </c>
      <c r="AJ97">
        <v>1</v>
      </c>
      <c r="AK97" s="24"/>
      <c r="AL97" s="24"/>
      <c r="AM97" s="24"/>
      <c r="AN97" s="24"/>
      <c r="AP97" s="24"/>
      <c r="AQ97" s="24"/>
      <c r="AR97" s="24">
        <v>46104.621303460648</v>
      </c>
      <c r="AS97" s="24">
        <v>46104.621303460648</v>
      </c>
      <c r="AX97" s="24"/>
      <c r="AY97" s="24"/>
      <c r="AZ97" s="24"/>
      <c r="BA97" s="24"/>
      <c r="BC97" s="24"/>
      <c r="BD97" s="24"/>
      <c r="BE97" s="24"/>
      <c r="BF97" s="24"/>
      <c r="BH97" s="24">
        <v>46104.621303460648</v>
      </c>
      <c r="BI97" s="24">
        <v>46104.621303460648</v>
      </c>
      <c r="BJ97" s="24">
        <v>46104.621378715281</v>
      </c>
      <c r="BK97" s="24">
        <v>46104.621378715281</v>
      </c>
      <c r="BL97">
        <v>1</v>
      </c>
      <c r="BM97" s="24"/>
      <c r="BN97" s="24"/>
      <c r="BO97" s="24"/>
      <c r="BP97" s="24"/>
      <c r="BR97" s="24">
        <v>46106.328457118056</v>
      </c>
      <c r="BS97" s="24">
        <v>46106.328457118056</v>
      </c>
      <c r="BT97" s="24">
        <v>46106.409501875001</v>
      </c>
      <c r="BU97" s="24">
        <v>46106.409501875001</v>
      </c>
      <c r="BV97">
        <v>1</v>
      </c>
      <c r="BW97" s="24"/>
      <c r="BX97" s="24"/>
      <c r="BY97" s="24"/>
      <c r="BZ97" s="24"/>
      <c r="CB97" s="24"/>
      <c r="CC97" s="24"/>
      <c r="CE97" s="24">
        <v>46106.409501875001</v>
      </c>
      <c r="CF97" s="24">
        <v>46106.409501875001</v>
      </c>
      <c r="CG97">
        <v>1</v>
      </c>
      <c r="CH97" s="24"/>
      <c r="CI97" s="24"/>
      <c r="CJ97" s="24"/>
      <c r="CK97" s="24"/>
      <c r="DE97" s="24"/>
      <c r="DF97" s="24"/>
      <c r="DG97" s="24"/>
      <c r="DH97" s="24"/>
      <c r="DJ97" t="s">
        <v>149</v>
      </c>
      <c r="DK97" t="s">
        <v>149</v>
      </c>
      <c r="DM97">
        <v>2</v>
      </c>
      <c r="DN97">
        <v>2</v>
      </c>
      <c r="DQ97" t="s">
        <v>1000</v>
      </c>
      <c r="DR97" t="s">
        <v>149</v>
      </c>
      <c r="DS97" s="24">
        <v>46160.384426226854</v>
      </c>
    </row>
    <row r="98" spans="1:123" x14ac:dyDescent="0.3">
      <c r="A98" t="s">
        <v>358</v>
      </c>
      <c r="D98" t="s">
        <v>223</v>
      </c>
      <c r="E98" s="24">
        <v>46104.602395833332</v>
      </c>
      <c r="G98" t="s">
        <v>150</v>
      </c>
      <c r="H98" t="s">
        <v>155</v>
      </c>
      <c r="I98" s="24"/>
      <c r="J98" s="24"/>
      <c r="K98" s="24"/>
      <c r="L98" s="24"/>
      <c r="N98" s="24"/>
      <c r="O98" s="24"/>
      <c r="P98" s="24"/>
      <c r="Q98" s="24"/>
      <c r="V98" s="24"/>
      <c r="W98" s="24"/>
      <c r="X98" s="24"/>
      <c r="Y98" s="24"/>
      <c r="AA98" s="24"/>
      <c r="AB98" s="24"/>
      <c r="AC98" s="24"/>
      <c r="AD98" s="24"/>
      <c r="AF98" s="24"/>
      <c r="AG98" s="24"/>
      <c r="AH98" s="24"/>
      <c r="AI98" s="24"/>
      <c r="AK98" s="24"/>
      <c r="AL98" s="24"/>
      <c r="AM98" s="24"/>
      <c r="AN98" s="24"/>
      <c r="AP98" s="24">
        <v>46125.629387199071</v>
      </c>
      <c r="AQ98" s="24">
        <v>46125.629387199071</v>
      </c>
      <c r="AR98" s="24">
        <v>46127.401178125001</v>
      </c>
      <c r="AS98" s="24">
        <v>46127.401178125001</v>
      </c>
      <c r="AT98">
        <v>1</v>
      </c>
      <c r="AX98" s="24"/>
      <c r="AY98" s="24"/>
      <c r="AZ98" s="24"/>
      <c r="BA98" s="24"/>
      <c r="BC98" s="24"/>
      <c r="BD98" s="24"/>
      <c r="BE98" s="24"/>
      <c r="BF98" s="24"/>
      <c r="BH98" s="24"/>
      <c r="BI98" s="24"/>
      <c r="BJ98" s="24"/>
      <c r="BK98" s="24"/>
      <c r="BM98" s="24"/>
      <c r="BN98" s="24"/>
      <c r="BO98" s="24"/>
      <c r="BP98" s="24"/>
      <c r="BR98" s="24"/>
      <c r="BS98" s="24"/>
      <c r="BT98" s="24"/>
      <c r="BU98" s="24"/>
      <c r="BW98" s="24"/>
      <c r="BX98" s="24"/>
      <c r="BY98" s="24"/>
      <c r="BZ98" s="24"/>
      <c r="CB98" s="24">
        <v>46127.401178125001</v>
      </c>
      <c r="CC98" s="24">
        <v>46127.401178125001</v>
      </c>
      <c r="CD98">
        <v>1</v>
      </c>
      <c r="CE98" s="24"/>
      <c r="CF98" s="24"/>
      <c r="CH98" s="24"/>
      <c r="CI98" s="24"/>
      <c r="CJ98" s="24"/>
      <c r="CK98" s="24"/>
      <c r="DE98" s="24"/>
      <c r="DF98" s="24"/>
      <c r="DG98" s="24"/>
      <c r="DH98" s="24"/>
      <c r="DJ98" t="s">
        <v>149</v>
      </c>
      <c r="DK98" t="s">
        <v>149</v>
      </c>
      <c r="DQ98" t="s">
        <v>1000</v>
      </c>
      <c r="DR98" t="s">
        <v>149</v>
      </c>
      <c r="DS98" s="24">
        <v>46160.384426226854</v>
      </c>
    </row>
    <row r="99" spans="1:123" x14ac:dyDescent="0.3">
      <c r="A99" t="s">
        <v>261</v>
      </c>
      <c r="D99" t="s">
        <v>223</v>
      </c>
      <c r="E99" s="24">
        <v>46104.473217592589</v>
      </c>
      <c r="G99" t="s">
        <v>90</v>
      </c>
      <c r="H99" t="s">
        <v>155</v>
      </c>
      <c r="I99" s="24"/>
      <c r="J99" s="24"/>
      <c r="K99" s="24"/>
      <c r="L99" s="24"/>
      <c r="N99" s="24">
        <v>46133.408455173609</v>
      </c>
      <c r="O99" s="24">
        <v>46133.408455173609</v>
      </c>
      <c r="P99" s="24">
        <v>46146.649382905096</v>
      </c>
      <c r="Q99" s="24">
        <v>46146.649382905096</v>
      </c>
      <c r="R99">
        <v>1</v>
      </c>
      <c r="V99" s="24"/>
      <c r="W99" s="24"/>
      <c r="X99" s="24"/>
      <c r="Y99" s="24"/>
      <c r="AA99" s="24">
        <v>46146.649382905096</v>
      </c>
      <c r="AB99" s="24">
        <v>46119.362073414355</v>
      </c>
      <c r="AC99" s="24">
        <v>46133.408455173609</v>
      </c>
      <c r="AD99" s="24">
        <v>46147.405135370369</v>
      </c>
      <c r="AE99">
        <v>2</v>
      </c>
      <c r="AF99" s="24">
        <v>46147.405135370369</v>
      </c>
      <c r="AG99" s="24">
        <v>46147.405135370369</v>
      </c>
      <c r="AH99" s="24">
        <v>46149.415303171299</v>
      </c>
      <c r="AI99" s="24">
        <v>46149.415303171299</v>
      </c>
      <c r="AJ99">
        <v>1</v>
      </c>
      <c r="AK99" s="24"/>
      <c r="AL99" s="24"/>
      <c r="AM99" s="24"/>
      <c r="AN99" s="24"/>
      <c r="AP99" s="24"/>
      <c r="AQ99" s="24"/>
      <c r="AR99" s="24">
        <v>46112.565918310182</v>
      </c>
      <c r="AS99" s="24">
        <v>46112.565918310182</v>
      </c>
      <c r="AX99" s="24"/>
      <c r="AY99" s="24"/>
      <c r="AZ99" s="24"/>
      <c r="BA99" s="24"/>
      <c r="BC99" s="24"/>
      <c r="BD99" s="24"/>
      <c r="BE99" s="24"/>
      <c r="BF99" s="24"/>
      <c r="BH99" s="24">
        <v>46112.565918310182</v>
      </c>
      <c r="BI99" s="24">
        <v>46112.565918310182</v>
      </c>
      <c r="BJ99" s="24">
        <v>46119.362073414355</v>
      </c>
      <c r="BK99" s="24">
        <v>46119.362073414355</v>
      </c>
      <c r="BL99">
        <v>1</v>
      </c>
      <c r="BM99" s="24"/>
      <c r="BN99" s="24"/>
      <c r="BO99" s="24"/>
      <c r="BP99" s="24"/>
      <c r="BR99" s="24"/>
      <c r="BS99" s="24"/>
      <c r="BT99" s="24"/>
      <c r="BU99" s="24"/>
      <c r="BW99" s="24"/>
      <c r="BX99" s="24"/>
      <c r="BY99" s="24"/>
      <c r="BZ99" s="24"/>
      <c r="CB99" s="24"/>
      <c r="CC99" s="24"/>
      <c r="CE99" s="24">
        <v>46149.415303171299</v>
      </c>
      <c r="CF99" s="24">
        <v>46149.415303171299</v>
      </c>
      <c r="CG99">
        <v>1</v>
      </c>
      <c r="CH99" s="24"/>
      <c r="CI99" s="24"/>
      <c r="CJ99" s="24"/>
      <c r="CK99" s="24"/>
      <c r="DE99" s="24"/>
      <c r="DF99" s="24"/>
      <c r="DG99" s="24"/>
      <c r="DH99" s="24"/>
      <c r="DJ99" t="s">
        <v>149</v>
      </c>
      <c r="DK99" t="s">
        <v>149</v>
      </c>
      <c r="DL99">
        <v>13.240927662037038</v>
      </c>
      <c r="DM99">
        <v>37</v>
      </c>
      <c r="DN99">
        <v>31</v>
      </c>
      <c r="DQ99" t="s">
        <v>1000</v>
      </c>
      <c r="DR99" t="s">
        <v>149</v>
      </c>
      <c r="DS99" s="24">
        <v>46160.384426226854</v>
      </c>
    </row>
    <row r="100" spans="1:123" x14ac:dyDescent="0.3">
      <c r="A100" t="s">
        <v>359</v>
      </c>
      <c r="D100" t="s">
        <v>223</v>
      </c>
      <c r="E100" s="24">
        <v>46101.363229166665</v>
      </c>
      <c r="G100" t="s">
        <v>90</v>
      </c>
      <c r="H100" t="s">
        <v>155</v>
      </c>
      <c r="I100" s="24"/>
      <c r="J100" s="24"/>
      <c r="K100" s="24"/>
      <c r="L100" s="24"/>
      <c r="N100" s="24"/>
      <c r="O100" s="24"/>
      <c r="P100" s="24"/>
      <c r="Q100" s="24"/>
      <c r="V100" s="24"/>
      <c r="W100" s="24"/>
      <c r="X100" s="24"/>
      <c r="Y100" s="24"/>
      <c r="AA100" s="24">
        <v>46108.411937407407</v>
      </c>
      <c r="AB100" s="24">
        <v>46108.411937407407</v>
      </c>
      <c r="AC100" s="24">
        <v>46111.406511562498</v>
      </c>
      <c r="AD100" s="24">
        <v>46111.406511562498</v>
      </c>
      <c r="AE100">
        <v>1</v>
      </c>
      <c r="AF100" s="24"/>
      <c r="AG100" s="24"/>
      <c r="AH100" s="24"/>
      <c r="AI100" s="24"/>
      <c r="AK100" s="24"/>
      <c r="AL100" s="24"/>
      <c r="AM100" s="24"/>
      <c r="AN100" s="24"/>
      <c r="AP100" s="24"/>
      <c r="AQ100" s="24"/>
      <c r="AR100" s="24">
        <v>46101.370998877312</v>
      </c>
      <c r="AS100" s="24">
        <v>46101.370998877312</v>
      </c>
      <c r="AX100" s="24"/>
      <c r="AY100" s="24"/>
      <c r="AZ100" s="24"/>
      <c r="BA100" s="24"/>
      <c r="BC100" s="24"/>
      <c r="BD100" s="24"/>
      <c r="BE100" s="24"/>
      <c r="BF100" s="24"/>
      <c r="BH100" s="24">
        <v>46101.370998877312</v>
      </c>
      <c r="BI100" s="24">
        <v>46101.370998877312</v>
      </c>
      <c r="BJ100" s="24">
        <v>46108.411937407407</v>
      </c>
      <c r="BK100" s="24">
        <v>46108.411937407407</v>
      </c>
      <c r="BL100">
        <v>1</v>
      </c>
      <c r="BM100" s="24"/>
      <c r="BN100" s="24"/>
      <c r="BO100" s="24"/>
      <c r="BP100" s="24"/>
      <c r="BR100" s="24"/>
      <c r="BS100" s="24"/>
      <c r="BT100" s="24"/>
      <c r="BU100" s="24"/>
      <c r="BW100" s="24"/>
      <c r="BX100" s="24"/>
      <c r="BY100" s="24"/>
      <c r="BZ100" s="24"/>
      <c r="CB100" s="24"/>
      <c r="CC100" s="24"/>
      <c r="CE100" s="24">
        <v>46111.406511562498</v>
      </c>
      <c r="CF100" s="24">
        <v>46111.406511562498</v>
      </c>
      <c r="CG100">
        <v>1</v>
      </c>
      <c r="CH100" s="24"/>
      <c r="CI100" s="24"/>
      <c r="CJ100" s="24"/>
      <c r="CK100" s="24"/>
      <c r="DE100" s="24"/>
      <c r="DF100" s="24"/>
      <c r="DG100" s="24"/>
      <c r="DH100" s="24"/>
      <c r="DJ100" t="s">
        <v>149</v>
      </c>
      <c r="DK100" t="s">
        <v>149</v>
      </c>
      <c r="DM100">
        <v>11</v>
      </c>
      <c r="DN100">
        <v>3</v>
      </c>
      <c r="DQ100" t="s">
        <v>1000</v>
      </c>
      <c r="DR100" t="s">
        <v>149</v>
      </c>
      <c r="DS100" s="24">
        <v>46160.384426226854</v>
      </c>
    </row>
    <row r="101" spans="1:123" x14ac:dyDescent="0.3">
      <c r="A101" t="s">
        <v>360</v>
      </c>
      <c r="D101" t="s">
        <v>223</v>
      </c>
      <c r="E101" s="24">
        <v>46100.358032407406</v>
      </c>
      <c r="G101" t="s">
        <v>90</v>
      </c>
      <c r="H101" t="s">
        <v>155</v>
      </c>
      <c r="I101" s="24"/>
      <c r="J101" s="24"/>
      <c r="K101" s="24"/>
      <c r="L101" s="24"/>
      <c r="N101" s="24"/>
      <c r="O101" s="24"/>
      <c r="P101" s="24"/>
      <c r="Q101" s="24"/>
      <c r="V101" s="24"/>
      <c r="W101" s="24"/>
      <c r="X101" s="24"/>
      <c r="Y101" s="24"/>
      <c r="AA101" s="24">
        <v>46104.31044400463</v>
      </c>
      <c r="AB101" s="24">
        <v>46104.31044400463</v>
      </c>
      <c r="AC101" s="24">
        <v>46104.449413159724</v>
      </c>
      <c r="AD101" s="24">
        <v>46104.449413159724</v>
      </c>
      <c r="AE101">
        <v>1</v>
      </c>
      <c r="AF101" s="24">
        <v>46104.449413159724</v>
      </c>
      <c r="AG101" s="24">
        <v>46104.449413159724</v>
      </c>
      <c r="AH101" s="24">
        <v>46104.449468101855</v>
      </c>
      <c r="AI101" s="24">
        <v>46104.449468101855</v>
      </c>
      <c r="AJ101">
        <v>1</v>
      </c>
      <c r="AK101" s="24">
        <v>46104.449468101855</v>
      </c>
      <c r="AL101" s="24">
        <v>46104.449468101855</v>
      </c>
      <c r="AM101" s="24">
        <v>46105.403624756946</v>
      </c>
      <c r="AN101" s="24">
        <v>46105.403624756946</v>
      </c>
      <c r="AO101">
        <v>1</v>
      </c>
      <c r="AP101" s="24"/>
      <c r="AQ101" s="24"/>
      <c r="AR101" s="24">
        <v>46100.371118182869</v>
      </c>
      <c r="AS101" s="24">
        <v>46100.371118182869</v>
      </c>
      <c r="AX101" s="24"/>
      <c r="AY101" s="24"/>
      <c r="AZ101" s="24"/>
      <c r="BA101" s="24"/>
      <c r="BC101" s="24"/>
      <c r="BD101" s="24"/>
      <c r="BE101" s="24"/>
      <c r="BF101" s="24"/>
      <c r="BH101" s="24">
        <v>46100.371118182869</v>
      </c>
      <c r="BI101" s="24">
        <v>46100.371118182869</v>
      </c>
      <c r="BJ101" s="24">
        <v>46104.31044400463</v>
      </c>
      <c r="BK101" s="24">
        <v>46104.31044400463</v>
      </c>
      <c r="BL101">
        <v>1</v>
      </c>
      <c r="BM101" s="24"/>
      <c r="BN101" s="24"/>
      <c r="BO101" s="24"/>
      <c r="BP101" s="24"/>
      <c r="BR101" s="24">
        <v>46105.403624756946</v>
      </c>
      <c r="BS101" s="24">
        <v>46105.403624756946</v>
      </c>
      <c r="BT101" s="24">
        <v>46105.404136898149</v>
      </c>
      <c r="BU101" s="24">
        <v>46105.404136898149</v>
      </c>
      <c r="BV101">
        <v>1</v>
      </c>
      <c r="BW101" s="24"/>
      <c r="BX101" s="24"/>
      <c r="BY101" s="24"/>
      <c r="BZ101" s="24"/>
      <c r="CB101" s="24"/>
      <c r="CC101" s="24"/>
      <c r="CE101" s="24">
        <v>46105.404136898149</v>
      </c>
      <c r="CF101" s="24">
        <v>46105.404136898149</v>
      </c>
      <c r="CG101">
        <v>1</v>
      </c>
      <c r="CH101" s="24"/>
      <c r="CI101" s="24"/>
      <c r="CJ101" s="24"/>
      <c r="CK101" s="24"/>
      <c r="DE101" s="24"/>
      <c r="DF101" s="24"/>
      <c r="DG101" s="24"/>
      <c r="DH101" s="24"/>
      <c r="DJ101" t="s">
        <v>149</v>
      </c>
      <c r="DK101" t="s">
        <v>149</v>
      </c>
      <c r="DM101">
        <v>6</v>
      </c>
      <c r="DN101">
        <v>2</v>
      </c>
      <c r="DQ101" t="s">
        <v>1000</v>
      </c>
      <c r="DR101" t="s">
        <v>149</v>
      </c>
      <c r="DS101" s="24">
        <v>46160.384426226854</v>
      </c>
    </row>
    <row r="102" spans="1:123" x14ac:dyDescent="0.3">
      <c r="A102" t="s">
        <v>361</v>
      </c>
      <c r="D102" t="s">
        <v>223</v>
      </c>
      <c r="E102" s="24">
        <v>46099.527303240742</v>
      </c>
      <c r="G102" t="s">
        <v>90</v>
      </c>
      <c r="H102" t="s">
        <v>155</v>
      </c>
      <c r="I102" s="24">
        <v>46112.432628113427</v>
      </c>
      <c r="J102" s="24">
        <v>46112.432628113427</v>
      </c>
      <c r="K102" s="24">
        <v>46112.432855706022</v>
      </c>
      <c r="L102" s="24">
        <v>46112.432855706022</v>
      </c>
      <c r="M102">
        <v>1</v>
      </c>
      <c r="N102" s="24"/>
      <c r="O102" s="24"/>
      <c r="P102" s="24"/>
      <c r="Q102" s="24"/>
      <c r="V102" s="24"/>
      <c r="W102" s="24"/>
      <c r="X102" s="24"/>
      <c r="Y102" s="24"/>
      <c r="AA102" s="24">
        <v>46114.479703888886</v>
      </c>
      <c r="AB102" s="24">
        <v>46105.401273854164</v>
      </c>
      <c r="AC102" s="24">
        <v>46112.432628113427</v>
      </c>
      <c r="AD102" s="24">
        <v>46121.323133761573</v>
      </c>
      <c r="AE102">
        <v>2</v>
      </c>
      <c r="AF102" s="24">
        <v>46121.323133761573</v>
      </c>
      <c r="AG102" s="24">
        <v>46121.323133761573</v>
      </c>
      <c r="AH102" s="24">
        <v>46125.325372094907</v>
      </c>
      <c r="AI102" s="24">
        <v>46125.325372094907</v>
      </c>
      <c r="AJ102">
        <v>1</v>
      </c>
      <c r="AK102" s="24"/>
      <c r="AL102" s="24"/>
      <c r="AM102" s="24"/>
      <c r="AN102" s="24"/>
      <c r="AP102" s="24"/>
      <c r="AQ102" s="24"/>
      <c r="AR102" s="24"/>
      <c r="AS102" s="24"/>
      <c r="AX102" s="24"/>
      <c r="AY102" s="24"/>
      <c r="AZ102" s="24"/>
      <c r="BA102" s="24"/>
      <c r="BC102" s="24"/>
      <c r="BD102" s="24"/>
      <c r="BE102" s="24"/>
      <c r="BF102" s="24"/>
      <c r="BH102" s="24">
        <v>46112.432855706022</v>
      </c>
      <c r="BI102" s="24">
        <v>46112.432855706022</v>
      </c>
      <c r="BJ102" s="24">
        <v>46114.479703888886</v>
      </c>
      <c r="BK102" s="24">
        <v>46114.479703888886</v>
      </c>
      <c r="BL102">
        <v>1</v>
      </c>
      <c r="BM102" s="24"/>
      <c r="BN102" s="24"/>
      <c r="BO102" s="24"/>
      <c r="BP102" s="24"/>
      <c r="BR102" s="24">
        <v>46125.325372094907</v>
      </c>
      <c r="BS102" s="24">
        <v>46125.325372094907</v>
      </c>
      <c r="BT102" s="24">
        <v>46125.400065717593</v>
      </c>
      <c r="BU102" s="24">
        <v>46125.400065717593</v>
      </c>
      <c r="BV102">
        <v>1</v>
      </c>
      <c r="BW102" s="24"/>
      <c r="BX102" s="24"/>
      <c r="BY102" s="24"/>
      <c r="BZ102" s="24"/>
      <c r="CB102" s="24"/>
      <c r="CC102" s="24"/>
      <c r="CE102" s="24">
        <v>46125.400065717593</v>
      </c>
      <c r="CF102" s="24">
        <v>46125.400065717593</v>
      </c>
      <c r="CG102">
        <v>1</v>
      </c>
      <c r="CH102" s="24"/>
      <c r="CI102" s="24"/>
      <c r="CJ102" s="24"/>
      <c r="CK102" s="24"/>
      <c r="DE102" s="24"/>
      <c r="DF102" s="24"/>
      <c r="DG102" s="24"/>
      <c r="DH102" s="24"/>
      <c r="DJ102" t="s">
        <v>149</v>
      </c>
      <c r="DK102" t="s">
        <v>149</v>
      </c>
      <c r="DM102">
        <v>13</v>
      </c>
      <c r="DN102">
        <v>20</v>
      </c>
      <c r="DQ102" t="s">
        <v>1000</v>
      </c>
      <c r="DR102" t="s">
        <v>149</v>
      </c>
      <c r="DS102" s="24">
        <v>46160.384426226854</v>
      </c>
    </row>
    <row r="103" spans="1:123" x14ac:dyDescent="0.3">
      <c r="A103" t="s">
        <v>362</v>
      </c>
      <c r="D103" t="s">
        <v>223</v>
      </c>
      <c r="E103" s="24">
        <v>46098.5859837963</v>
      </c>
      <c r="G103" t="s">
        <v>102</v>
      </c>
      <c r="H103" t="s">
        <v>154</v>
      </c>
      <c r="I103" s="24"/>
      <c r="J103" s="24"/>
      <c r="K103" s="24"/>
      <c r="L103" s="24"/>
      <c r="N103" s="24"/>
      <c r="O103" s="24"/>
      <c r="P103" s="24"/>
      <c r="Q103" s="24"/>
      <c r="V103" s="24"/>
      <c r="W103" s="24"/>
      <c r="X103" s="24"/>
      <c r="Y103" s="24"/>
      <c r="AA103" s="24"/>
      <c r="AB103" s="24"/>
      <c r="AC103" s="24"/>
      <c r="AD103" s="24"/>
      <c r="AF103" s="24"/>
      <c r="AG103" s="24"/>
      <c r="AH103" s="24"/>
      <c r="AI103" s="24"/>
      <c r="AK103" s="24"/>
      <c r="AL103" s="24"/>
      <c r="AM103" s="24"/>
      <c r="AN103" s="24"/>
      <c r="AP103" s="24"/>
      <c r="AQ103" s="24"/>
      <c r="AR103" s="24"/>
      <c r="AS103" s="24"/>
      <c r="AX103" s="24"/>
      <c r="AY103" s="24"/>
      <c r="AZ103" s="24"/>
      <c r="BA103" s="24"/>
      <c r="BC103" s="24"/>
      <c r="BD103" s="24"/>
      <c r="BE103" s="24"/>
      <c r="BF103" s="24"/>
      <c r="BH103" s="24"/>
      <c r="BI103" s="24"/>
      <c r="BJ103" s="24"/>
      <c r="BK103" s="24"/>
      <c r="BM103" s="24"/>
      <c r="BN103" s="24"/>
      <c r="BO103" s="24"/>
      <c r="BP103" s="24"/>
      <c r="BR103" s="24"/>
      <c r="BS103" s="24"/>
      <c r="BT103" s="24"/>
      <c r="BU103" s="24"/>
      <c r="BW103" s="24"/>
      <c r="BX103" s="24"/>
      <c r="BY103" s="24"/>
      <c r="BZ103" s="24"/>
      <c r="CB103" s="24"/>
      <c r="CC103" s="24"/>
      <c r="CE103" s="24"/>
      <c r="CF103" s="24"/>
      <c r="CH103" s="24"/>
      <c r="CI103" s="24"/>
      <c r="CJ103" s="24"/>
      <c r="CK103" s="24"/>
      <c r="DE103" s="24"/>
      <c r="DF103" s="24"/>
      <c r="DG103" s="24"/>
      <c r="DH103" s="24"/>
      <c r="DJ103" t="s">
        <v>149</v>
      </c>
      <c r="DK103" t="s">
        <v>149</v>
      </c>
      <c r="DQ103" t="s">
        <v>1000</v>
      </c>
      <c r="DR103" t="s">
        <v>149</v>
      </c>
      <c r="DS103" s="24">
        <v>46160.384426226854</v>
      </c>
    </row>
    <row r="104" spans="1:123" x14ac:dyDescent="0.3">
      <c r="A104" t="s">
        <v>363</v>
      </c>
      <c r="D104" t="s">
        <v>223</v>
      </c>
      <c r="E104" s="24">
        <v>46098.422118055554</v>
      </c>
      <c r="G104" t="s">
        <v>90</v>
      </c>
      <c r="H104" t="s">
        <v>155</v>
      </c>
      <c r="I104" s="24"/>
      <c r="J104" s="24"/>
      <c r="K104" s="24"/>
      <c r="L104" s="24"/>
      <c r="N104" s="24"/>
      <c r="O104" s="24"/>
      <c r="P104" s="24"/>
      <c r="Q104" s="24"/>
      <c r="V104" s="24"/>
      <c r="W104" s="24"/>
      <c r="X104" s="24"/>
      <c r="Y104" s="24"/>
      <c r="AA104" s="24">
        <v>46104.39871976852</v>
      </c>
      <c r="AB104" s="24">
        <v>46104.39871976852</v>
      </c>
      <c r="AC104" s="24">
        <v>46111.675820150464</v>
      </c>
      <c r="AD104" s="24">
        <v>46111.675820150464</v>
      </c>
      <c r="AE104">
        <v>1</v>
      </c>
      <c r="AF104" s="24"/>
      <c r="AG104" s="24"/>
      <c r="AH104" s="24"/>
      <c r="AI104" s="24"/>
      <c r="AK104" s="24"/>
      <c r="AL104" s="24"/>
      <c r="AM104" s="24"/>
      <c r="AN104" s="24"/>
      <c r="AP104" s="24"/>
      <c r="AQ104" s="24"/>
      <c r="AR104" s="24">
        <v>46098.565238206022</v>
      </c>
      <c r="AS104" s="24">
        <v>46098.565238206022</v>
      </c>
      <c r="AX104" s="24"/>
      <c r="AY104" s="24"/>
      <c r="AZ104" s="24"/>
      <c r="BA104" s="24"/>
      <c r="BC104" s="24"/>
      <c r="BD104" s="24"/>
      <c r="BE104" s="24"/>
      <c r="BF104" s="24"/>
      <c r="BH104" s="24">
        <v>46098.565238206022</v>
      </c>
      <c r="BI104" s="24">
        <v>46098.565238206022</v>
      </c>
      <c r="BJ104" s="24">
        <v>46104.39871976852</v>
      </c>
      <c r="BK104" s="24">
        <v>46104.39871976852</v>
      </c>
      <c r="BL104">
        <v>1</v>
      </c>
      <c r="BM104" s="24"/>
      <c r="BN104" s="24"/>
      <c r="BO104" s="24"/>
      <c r="BP104" s="24"/>
      <c r="BR104" s="24">
        <v>46111.675820150464</v>
      </c>
      <c r="BS104" s="24">
        <v>46111.675820150464</v>
      </c>
      <c r="BT104" s="24">
        <v>46111.675858101851</v>
      </c>
      <c r="BU104" s="24">
        <v>46111.675858101851</v>
      </c>
      <c r="BV104">
        <v>1</v>
      </c>
      <c r="BW104" s="24"/>
      <c r="BX104" s="24"/>
      <c r="BY104" s="24"/>
      <c r="BZ104" s="24"/>
      <c r="CB104" s="24"/>
      <c r="CC104" s="24"/>
      <c r="CE104" s="24">
        <v>46111.675858101851</v>
      </c>
      <c r="CF104" s="24">
        <v>46111.675858101851</v>
      </c>
      <c r="CG104">
        <v>1</v>
      </c>
      <c r="CH104" s="24"/>
      <c r="CI104" s="24"/>
      <c r="CJ104" s="24"/>
      <c r="CK104" s="24"/>
      <c r="DE104" s="24"/>
      <c r="DF104" s="24"/>
      <c r="DG104" s="24"/>
      <c r="DH104" s="24"/>
      <c r="DJ104" t="s">
        <v>149</v>
      </c>
      <c r="DK104" t="s">
        <v>149</v>
      </c>
      <c r="DM104">
        <v>14</v>
      </c>
      <c r="DN104">
        <v>8</v>
      </c>
      <c r="DQ104" t="s">
        <v>1000</v>
      </c>
      <c r="DR104" t="s">
        <v>149</v>
      </c>
      <c r="DS104" s="24">
        <v>46160.384426226854</v>
      </c>
    </row>
    <row r="105" spans="1:123" x14ac:dyDescent="0.3">
      <c r="A105" t="s">
        <v>262</v>
      </c>
      <c r="D105" t="s">
        <v>223</v>
      </c>
      <c r="E105" s="24">
        <v>46097.496550925927</v>
      </c>
      <c r="G105" t="s">
        <v>90</v>
      </c>
      <c r="H105" t="s">
        <v>155</v>
      </c>
      <c r="I105" s="24"/>
      <c r="J105" s="24"/>
      <c r="K105" s="24"/>
      <c r="L105" s="24"/>
      <c r="N105" s="24">
        <v>46104.408872731481</v>
      </c>
      <c r="O105" s="24">
        <v>46104.408872731481</v>
      </c>
      <c r="P105" s="24">
        <v>46120.40899520833</v>
      </c>
      <c r="Q105" s="24">
        <v>46120.40899520833</v>
      </c>
      <c r="R105">
        <v>1</v>
      </c>
      <c r="V105" s="24"/>
      <c r="W105" s="24"/>
      <c r="X105" s="24"/>
      <c r="Y105" s="24"/>
      <c r="AA105" s="24">
        <v>46120.40899520833</v>
      </c>
      <c r="AB105" s="24">
        <v>46098.585756018518</v>
      </c>
      <c r="AC105" s="24">
        <v>46104.408872731481</v>
      </c>
      <c r="AD105" s="24">
        <v>46120.409065347223</v>
      </c>
      <c r="AE105">
        <v>2</v>
      </c>
      <c r="AF105" s="24"/>
      <c r="AG105" s="24"/>
      <c r="AH105" s="24"/>
      <c r="AI105" s="24"/>
      <c r="AK105" s="24"/>
      <c r="AL105" s="24"/>
      <c r="AM105" s="24"/>
      <c r="AN105" s="24"/>
      <c r="AP105" s="24"/>
      <c r="AQ105" s="24"/>
      <c r="AR105" s="24">
        <v>46098.565833148146</v>
      </c>
      <c r="AS105" s="24">
        <v>46098.565833148146</v>
      </c>
      <c r="AX105" s="24"/>
      <c r="AY105" s="24"/>
      <c r="AZ105" s="24"/>
      <c r="BA105" s="24"/>
      <c r="BC105" s="24"/>
      <c r="BD105" s="24"/>
      <c r="BE105" s="24"/>
      <c r="BF105" s="24"/>
      <c r="BH105" s="24">
        <v>46098.565833148146</v>
      </c>
      <c r="BI105" s="24">
        <v>46098.565833148146</v>
      </c>
      <c r="BJ105" s="24">
        <v>46098.585756018518</v>
      </c>
      <c r="BK105" s="24">
        <v>46098.585756018518</v>
      </c>
      <c r="BL105">
        <v>1</v>
      </c>
      <c r="BM105" s="24"/>
      <c r="BN105" s="24"/>
      <c r="BO105" s="24"/>
      <c r="BP105" s="24"/>
      <c r="BR105" s="24"/>
      <c r="BS105" s="24"/>
      <c r="BT105" s="24"/>
      <c r="BU105" s="24"/>
      <c r="BW105" s="24"/>
      <c r="BX105" s="24"/>
      <c r="BY105" s="24"/>
      <c r="BZ105" s="24"/>
      <c r="CB105" s="24"/>
      <c r="CC105" s="24"/>
      <c r="CE105" s="24">
        <v>46120.409065347223</v>
      </c>
      <c r="CF105" s="24">
        <v>46120.409065347223</v>
      </c>
      <c r="CG105">
        <v>1</v>
      </c>
      <c r="CH105" s="24"/>
      <c r="CI105" s="24"/>
      <c r="CJ105" s="24"/>
      <c r="CK105" s="24"/>
      <c r="DE105" s="24"/>
      <c r="DF105" s="24"/>
      <c r="DG105" s="24"/>
      <c r="DH105" s="24"/>
      <c r="DJ105" t="s">
        <v>149</v>
      </c>
      <c r="DK105" t="s">
        <v>149</v>
      </c>
      <c r="DL105">
        <v>15.958455787037037</v>
      </c>
      <c r="DM105">
        <v>22</v>
      </c>
      <c r="DN105">
        <v>22</v>
      </c>
      <c r="DQ105" t="s">
        <v>1000</v>
      </c>
      <c r="DR105" t="s">
        <v>149</v>
      </c>
      <c r="DS105" s="24">
        <v>46160.384426226854</v>
      </c>
    </row>
    <row r="106" spans="1:123" x14ac:dyDescent="0.3">
      <c r="A106" t="s">
        <v>364</v>
      </c>
      <c r="D106" t="s">
        <v>225</v>
      </c>
      <c r="E106" s="24">
        <v>46097.401134259257</v>
      </c>
      <c r="G106" t="s">
        <v>107</v>
      </c>
      <c r="H106" t="s">
        <v>154</v>
      </c>
      <c r="I106" s="24"/>
      <c r="J106" s="24"/>
      <c r="K106" s="24"/>
      <c r="L106" s="24"/>
      <c r="N106" s="24"/>
      <c r="O106" s="24"/>
      <c r="P106" s="24"/>
      <c r="Q106" s="24"/>
      <c r="V106" s="24"/>
      <c r="W106" s="24"/>
      <c r="X106" s="24"/>
      <c r="Y106" s="24"/>
      <c r="AA106" s="24"/>
      <c r="AB106" s="24"/>
      <c r="AC106" s="24"/>
      <c r="AD106" s="24"/>
      <c r="AF106" s="24"/>
      <c r="AG106" s="24"/>
      <c r="AH106" s="24"/>
      <c r="AI106" s="24"/>
      <c r="AK106" s="24"/>
      <c r="AL106" s="24"/>
      <c r="AM106" s="24"/>
      <c r="AN106" s="24"/>
      <c r="AP106" s="24"/>
      <c r="AQ106" s="24"/>
      <c r="AR106" s="24">
        <v>46113.327206504633</v>
      </c>
      <c r="AS106" s="24">
        <v>46113.327206504633</v>
      </c>
      <c r="AX106" s="24"/>
      <c r="AY106" s="24"/>
      <c r="AZ106" s="24"/>
      <c r="BA106" s="24"/>
      <c r="BC106" s="24"/>
      <c r="BD106" s="24"/>
      <c r="BE106" s="24"/>
      <c r="BF106" s="24"/>
      <c r="BH106" s="24">
        <v>46113.327206504633</v>
      </c>
      <c r="BI106" s="24">
        <v>46113.327206504633</v>
      </c>
      <c r="BJ106" s="24"/>
      <c r="BK106" s="24"/>
      <c r="BL106">
        <v>1</v>
      </c>
      <c r="BM106" s="24"/>
      <c r="BN106" s="24"/>
      <c r="BO106" s="24"/>
      <c r="BP106" s="24"/>
      <c r="BR106" s="24"/>
      <c r="BS106" s="24"/>
      <c r="BT106" s="24"/>
      <c r="BU106" s="24"/>
      <c r="BW106" s="24"/>
      <c r="BX106" s="24"/>
      <c r="BY106" s="24"/>
      <c r="BZ106" s="24"/>
      <c r="CB106" s="24"/>
      <c r="CC106" s="24"/>
      <c r="CE106" s="24"/>
      <c r="CF106" s="24"/>
      <c r="CH106" s="24"/>
      <c r="CI106" s="24"/>
      <c r="CJ106" s="24"/>
      <c r="CK106" s="24"/>
      <c r="DE106" s="24"/>
      <c r="DF106" s="24"/>
      <c r="DG106" s="24"/>
      <c r="DH106" s="24"/>
      <c r="DJ106" t="s">
        <v>149</v>
      </c>
      <c r="DK106" t="s">
        <v>149</v>
      </c>
      <c r="DP106">
        <v>48</v>
      </c>
      <c r="DQ106" t="s">
        <v>1000</v>
      </c>
      <c r="DR106" t="s">
        <v>149</v>
      </c>
      <c r="DS106" s="24">
        <v>46160.384426226854</v>
      </c>
    </row>
    <row r="107" spans="1:123" x14ac:dyDescent="0.3">
      <c r="A107" t="s">
        <v>365</v>
      </c>
      <c r="D107" t="s">
        <v>223</v>
      </c>
      <c r="E107" s="24">
        <v>46094.544722222221</v>
      </c>
      <c r="G107" t="s">
        <v>90</v>
      </c>
      <c r="H107" t="s">
        <v>155</v>
      </c>
      <c r="I107" s="24"/>
      <c r="J107" s="24"/>
      <c r="K107" s="24"/>
      <c r="L107" s="24"/>
      <c r="N107" s="24"/>
      <c r="O107" s="24"/>
      <c r="P107" s="24"/>
      <c r="Q107" s="24"/>
      <c r="V107" s="24"/>
      <c r="W107" s="24"/>
      <c r="X107" s="24"/>
      <c r="Y107" s="24"/>
      <c r="AA107" s="24">
        <v>46119.428297777777</v>
      </c>
      <c r="AB107" s="24">
        <v>46119.428297777777</v>
      </c>
      <c r="AC107" s="24">
        <v>46119.428347974535</v>
      </c>
      <c r="AD107" s="24">
        <v>46119.428347974535</v>
      </c>
      <c r="AE107">
        <v>1</v>
      </c>
      <c r="AF107" s="24">
        <v>46119.428347974535</v>
      </c>
      <c r="AG107" s="24">
        <v>46119.428347974535</v>
      </c>
      <c r="AH107" s="24">
        <v>46119.428403506943</v>
      </c>
      <c r="AI107" s="24">
        <v>46119.428403506943</v>
      </c>
      <c r="AJ107">
        <v>1</v>
      </c>
      <c r="AK107" s="24"/>
      <c r="AL107" s="24"/>
      <c r="AM107" s="24"/>
      <c r="AN107" s="24"/>
      <c r="AP107" s="24"/>
      <c r="AQ107" s="24"/>
      <c r="AR107" s="24">
        <v>46113.327411168983</v>
      </c>
      <c r="AS107" s="24">
        <v>46113.327411168983</v>
      </c>
      <c r="AX107" s="24"/>
      <c r="AY107" s="24"/>
      <c r="AZ107" s="24"/>
      <c r="BA107" s="24"/>
      <c r="BC107" s="24"/>
      <c r="BD107" s="24"/>
      <c r="BE107" s="24"/>
      <c r="BF107" s="24"/>
      <c r="BH107" s="24">
        <v>46113.327411168983</v>
      </c>
      <c r="BI107" s="24">
        <v>46113.327411168983</v>
      </c>
      <c r="BJ107" s="24">
        <v>46119.428297777777</v>
      </c>
      <c r="BK107" s="24">
        <v>46119.428297777777</v>
      </c>
      <c r="BL107">
        <v>1</v>
      </c>
      <c r="BM107" s="24"/>
      <c r="BN107" s="24"/>
      <c r="BO107" s="24"/>
      <c r="BP107" s="24"/>
      <c r="BR107" s="24">
        <v>46119.428403506943</v>
      </c>
      <c r="BS107" s="24">
        <v>46119.428403506943</v>
      </c>
      <c r="BT107" s="24">
        <v>46119.428457222224</v>
      </c>
      <c r="BU107" s="24">
        <v>46119.428457222224</v>
      </c>
      <c r="BV107">
        <v>1</v>
      </c>
      <c r="BW107" s="24"/>
      <c r="BX107" s="24"/>
      <c r="BY107" s="24"/>
      <c r="BZ107" s="24"/>
      <c r="CB107" s="24"/>
      <c r="CC107" s="24"/>
      <c r="CE107" s="24">
        <v>46119.428457222224</v>
      </c>
      <c r="CF107" s="24">
        <v>46119.428457222224</v>
      </c>
      <c r="CG107">
        <v>1</v>
      </c>
      <c r="CH107" s="24"/>
      <c r="CI107" s="24"/>
      <c r="CJ107" s="24"/>
      <c r="CK107" s="24"/>
      <c r="DE107" s="24"/>
      <c r="DF107" s="24"/>
      <c r="DG107" s="24"/>
      <c r="DH107" s="24"/>
      <c r="DJ107" t="s">
        <v>149</v>
      </c>
      <c r="DK107" t="s">
        <v>149</v>
      </c>
      <c r="DM107">
        <v>7</v>
      </c>
      <c r="DN107">
        <v>1</v>
      </c>
      <c r="DQ107" t="s">
        <v>1000</v>
      </c>
      <c r="DR107" t="s">
        <v>149</v>
      </c>
      <c r="DS107" s="24">
        <v>46160.384426226854</v>
      </c>
    </row>
    <row r="108" spans="1:123" x14ac:dyDescent="0.3">
      <c r="A108" t="s">
        <v>366</v>
      </c>
      <c r="D108" t="s">
        <v>225</v>
      </c>
      <c r="E108" s="24">
        <v>46094.509085648147</v>
      </c>
      <c r="G108" t="s">
        <v>90</v>
      </c>
      <c r="H108" t="s">
        <v>155</v>
      </c>
      <c r="I108" s="24"/>
      <c r="J108" s="24"/>
      <c r="K108" s="24"/>
      <c r="L108" s="24"/>
      <c r="N108" s="24"/>
      <c r="O108" s="24"/>
      <c r="P108" s="24"/>
      <c r="Q108" s="24"/>
      <c r="V108" s="24"/>
      <c r="W108" s="24"/>
      <c r="X108" s="24"/>
      <c r="Y108" s="24"/>
      <c r="AA108" s="24">
        <v>46094.515569594907</v>
      </c>
      <c r="AB108" s="24">
        <v>46094.515569594907</v>
      </c>
      <c r="AC108" s="24">
        <v>46107.407631770831</v>
      </c>
      <c r="AD108" s="24">
        <v>46107.407631770831</v>
      </c>
      <c r="AE108">
        <v>1</v>
      </c>
      <c r="AF108" s="24">
        <v>46107.407631770831</v>
      </c>
      <c r="AG108" s="24">
        <v>46107.407631770831</v>
      </c>
      <c r="AH108" s="24">
        <v>46108.411074791664</v>
      </c>
      <c r="AI108" s="24">
        <v>46108.411074791664</v>
      </c>
      <c r="AJ108">
        <v>1</v>
      </c>
      <c r="AK108" s="24">
        <v>46108.411074791664</v>
      </c>
      <c r="AL108" s="24">
        <v>46108.411074791664</v>
      </c>
      <c r="AM108" s="24">
        <v>46108.62608869213</v>
      </c>
      <c r="AN108" s="24">
        <v>46108.62608869213</v>
      </c>
      <c r="AO108">
        <v>1</v>
      </c>
      <c r="AP108" s="24"/>
      <c r="AQ108" s="24"/>
      <c r="AR108" s="24">
        <v>46094.515523090275</v>
      </c>
      <c r="AS108" s="24">
        <v>46094.515523090275</v>
      </c>
      <c r="AX108" s="24"/>
      <c r="AY108" s="24"/>
      <c r="AZ108" s="24"/>
      <c r="BA108" s="24"/>
      <c r="BC108" s="24">
        <v>46108.62624769676</v>
      </c>
      <c r="BD108" s="24">
        <v>46108.62624769676</v>
      </c>
      <c r="BE108" s="24">
        <v>46113.575844699073</v>
      </c>
      <c r="BF108" s="24">
        <v>46113.575844699073</v>
      </c>
      <c r="BG108">
        <v>1</v>
      </c>
      <c r="BH108" s="24">
        <v>46094.515523090275</v>
      </c>
      <c r="BI108" s="24">
        <v>46094.515523090275</v>
      </c>
      <c r="BJ108" s="24">
        <v>46094.515569594907</v>
      </c>
      <c r="BK108" s="24">
        <v>46094.515569594907</v>
      </c>
      <c r="BL108">
        <v>1</v>
      </c>
      <c r="BM108" s="24"/>
      <c r="BN108" s="24"/>
      <c r="BO108" s="24"/>
      <c r="BP108" s="24"/>
      <c r="BR108" s="24">
        <v>46108.62608869213</v>
      </c>
      <c r="BS108" s="24">
        <v>46108.62608869213</v>
      </c>
      <c r="BT108" s="24">
        <v>46108.62624769676</v>
      </c>
      <c r="BU108" s="24">
        <v>46108.62624769676</v>
      </c>
      <c r="BV108">
        <v>1</v>
      </c>
      <c r="BW108" s="24"/>
      <c r="BX108" s="24"/>
      <c r="BY108" s="24"/>
      <c r="BZ108" s="24"/>
      <c r="CB108" s="24"/>
      <c r="CC108" s="24"/>
      <c r="CE108" s="24">
        <v>46113.575844699073</v>
      </c>
      <c r="CF108" s="24">
        <v>46113.575844699073</v>
      </c>
      <c r="CG108">
        <v>1</v>
      </c>
      <c r="CH108" s="24"/>
      <c r="CI108" s="24"/>
      <c r="CJ108" s="24"/>
      <c r="CK108" s="24"/>
      <c r="DE108" s="24"/>
      <c r="DF108" s="24"/>
      <c r="DG108" s="24"/>
      <c r="DH108" s="24"/>
      <c r="DJ108" t="s">
        <v>149</v>
      </c>
      <c r="DK108" t="s">
        <v>149</v>
      </c>
      <c r="DM108">
        <v>20</v>
      </c>
      <c r="DN108">
        <v>20</v>
      </c>
      <c r="DQ108" t="s">
        <v>1000</v>
      </c>
      <c r="DR108" t="s">
        <v>149</v>
      </c>
      <c r="DS108" s="24">
        <v>46160.384426226854</v>
      </c>
    </row>
    <row r="109" spans="1:123" x14ac:dyDescent="0.3">
      <c r="A109" t="s">
        <v>367</v>
      </c>
      <c r="D109" t="s">
        <v>223</v>
      </c>
      <c r="E109" s="24">
        <v>46094.318888888891</v>
      </c>
      <c r="G109" t="s">
        <v>90</v>
      </c>
      <c r="H109" t="s">
        <v>155</v>
      </c>
      <c r="I109" s="24"/>
      <c r="J109" s="24"/>
      <c r="K109" s="24"/>
      <c r="L109" s="24"/>
      <c r="N109" s="24"/>
      <c r="O109" s="24"/>
      <c r="P109" s="24"/>
      <c r="Q109" s="24"/>
      <c r="V109" s="24"/>
      <c r="W109" s="24"/>
      <c r="X109" s="24"/>
      <c r="Y109" s="24"/>
      <c r="AA109" s="24">
        <v>46098.589145555554</v>
      </c>
      <c r="AB109" s="24">
        <v>46098.589145555554</v>
      </c>
      <c r="AC109" s="24">
        <v>46111.40059355324</v>
      </c>
      <c r="AD109" s="24">
        <v>46111.40059355324</v>
      </c>
      <c r="AE109">
        <v>1</v>
      </c>
      <c r="AF109" s="24"/>
      <c r="AG109" s="24"/>
      <c r="AH109" s="24"/>
      <c r="AI109" s="24"/>
      <c r="AK109" s="24"/>
      <c r="AL109" s="24"/>
      <c r="AM109" s="24"/>
      <c r="AN109" s="24"/>
      <c r="AP109" s="24"/>
      <c r="AQ109" s="24"/>
      <c r="AR109" s="24">
        <v>46098.565081111112</v>
      </c>
      <c r="AS109" s="24">
        <v>46098.565081111112</v>
      </c>
      <c r="AX109" s="24"/>
      <c r="AY109" s="24"/>
      <c r="AZ109" s="24"/>
      <c r="BA109" s="24"/>
      <c r="BC109" s="24"/>
      <c r="BD109" s="24"/>
      <c r="BE109" s="24"/>
      <c r="BF109" s="24"/>
      <c r="BH109" s="24">
        <v>46098.565081111112</v>
      </c>
      <c r="BI109" s="24">
        <v>46098.565081111112</v>
      </c>
      <c r="BJ109" s="24">
        <v>46098.589145555554</v>
      </c>
      <c r="BK109" s="24">
        <v>46098.589145555554</v>
      </c>
      <c r="BL109">
        <v>1</v>
      </c>
      <c r="BM109" s="24"/>
      <c r="BN109" s="24"/>
      <c r="BO109" s="24"/>
      <c r="BP109" s="24"/>
      <c r="BR109" s="24"/>
      <c r="BS109" s="24"/>
      <c r="BT109" s="24"/>
      <c r="BU109" s="24"/>
      <c r="BW109" s="24"/>
      <c r="BX109" s="24"/>
      <c r="BY109" s="24"/>
      <c r="BZ109" s="24"/>
      <c r="CB109" s="24"/>
      <c r="CC109" s="24"/>
      <c r="CE109" s="24">
        <v>46111.40059355324</v>
      </c>
      <c r="CF109" s="24">
        <v>46111.40059355324</v>
      </c>
      <c r="CG109">
        <v>1</v>
      </c>
      <c r="CH109" s="24"/>
      <c r="CI109" s="24"/>
      <c r="CJ109" s="24"/>
      <c r="CK109" s="24"/>
      <c r="DE109" s="24"/>
      <c r="DF109" s="24"/>
      <c r="DG109" s="24"/>
      <c r="DH109" s="24"/>
      <c r="DJ109" t="s">
        <v>149</v>
      </c>
      <c r="DK109" t="s">
        <v>149</v>
      </c>
      <c r="DM109">
        <v>13</v>
      </c>
      <c r="DN109">
        <v>13</v>
      </c>
      <c r="DQ109" t="s">
        <v>1000</v>
      </c>
      <c r="DR109" t="s">
        <v>149</v>
      </c>
      <c r="DS109" s="24">
        <v>46160.384426226854</v>
      </c>
    </row>
    <row r="110" spans="1:123" x14ac:dyDescent="0.3">
      <c r="A110" t="s">
        <v>368</v>
      </c>
      <c r="D110" t="s">
        <v>225</v>
      </c>
      <c r="E110" s="24">
        <v>46093.448923611111</v>
      </c>
      <c r="G110" t="s">
        <v>90</v>
      </c>
      <c r="H110" t="s">
        <v>155</v>
      </c>
      <c r="I110" s="24"/>
      <c r="J110" s="24"/>
      <c r="K110" s="24"/>
      <c r="L110" s="24"/>
      <c r="N110" s="24"/>
      <c r="O110" s="24"/>
      <c r="P110" s="24"/>
      <c r="Q110" s="24"/>
      <c r="V110" s="24"/>
      <c r="W110" s="24"/>
      <c r="X110" s="24"/>
      <c r="Y110" s="24"/>
      <c r="AA110" s="24">
        <v>46099.575910659725</v>
      </c>
      <c r="AB110" s="24">
        <v>46099.575910659725</v>
      </c>
      <c r="AC110" s="24">
        <v>46106.385244155092</v>
      </c>
      <c r="AD110" s="24">
        <v>46106.385244155092</v>
      </c>
      <c r="AE110">
        <v>1</v>
      </c>
      <c r="AF110" s="24">
        <v>46106.385244155092</v>
      </c>
      <c r="AG110" s="24">
        <v>46106.385244155092</v>
      </c>
      <c r="AH110" s="24">
        <v>46106.422725601849</v>
      </c>
      <c r="AI110" s="24">
        <v>46106.422725601849</v>
      </c>
      <c r="AJ110">
        <v>1</v>
      </c>
      <c r="AK110" s="24">
        <v>46106.422725601849</v>
      </c>
      <c r="AL110" s="24">
        <v>46106.422725601849</v>
      </c>
      <c r="AM110" s="24">
        <v>46108.409395983799</v>
      </c>
      <c r="AN110" s="24">
        <v>46108.409395983799</v>
      </c>
      <c r="AO110">
        <v>1</v>
      </c>
      <c r="AP110" s="24"/>
      <c r="AQ110" s="24"/>
      <c r="AR110" s="24">
        <v>46098.555878391206</v>
      </c>
      <c r="AS110" s="24">
        <v>46098.555878391206</v>
      </c>
      <c r="AX110" s="24"/>
      <c r="AY110" s="24"/>
      <c r="AZ110" s="24"/>
      <c r="BA110" s="24"/>
      <c r="BC110" s="24">
        <v>46108.410284571757</v>
      </c>
      <c r="BD110" s="24">
        <v>46108.410284571757</v>
      </c>
      <c r="BE110" s="24">
        <v>46113.575844085652</v>
      </c>
      <c r="BF110" s="24">
        <v>46113.575844085652</v>
      </c>
      <c r="BG110">
        <v>1</v>
      </c>
      <c r="BH110" s="24">
        <v>46098.555878391206</v>
      </c>
      <c r="BI110" s="24">
        <v>46098.555878391206</v>
      </c>
      <c r="BJ110" s="24">
        <v>46099.575910659725</v>
      </c>
      <c r="BK110" s="24">
        <v>46099.575910659725</v>
      </c>
      <c r="BL110">
        <v>1</v>
      </c>
      <c r="BM110" s="24"/>
      <c r="BN110" s="24"/>
      <c r="BO110" s="24"/>
      <c r="BP110" s="24"/>
      <c r="BR110" s="24">
        <v>46108.409395983799</v>
      </c>
      <c r="BS110" s="24">
        <v>46108.409395983799</v>
      </c>
      <c r="BT110" s="24">
        <v>46108.410284571757</v>
      </c>
      <c r="BU110" s="24">
        <v>46108.410284571757</v>
      </c>
      <c r="BV110">
        <v>1</v>
      </c>
      <c r="BW110" s="24"/>
      <c r="BX110" s="24"/>
      <c r="BY110" s="24"/>
      <c r="BZ110" s="24"/>
      <c r="CB110" s="24"/>
      <c r="CC110" s="24"/>
      <c r="CE110" s="24">
        <v>46113.575844085652</v>
      </c>
      <c r="CF110" s="24">
        <v>46113.575844085652</v>
      </c>
      <c r="CG110">
        <v>1</v>
      </c>
      <c r="CH110" s="24"/>
      <c r="CI110" s="24"/>
      <c r="CJ110" s="24"/>
      <c r="CK110" s="24"/>
      <c r="DE110" s="24"/>
      <c r="DF110" s="24"/>
      <c r="DG110" s="24"/>
      <c r="DH110" s="24"/>
      <c r="DJ110" t="s">
        <v>149</v>
      </c>
      <c r="DK110" t="s">
        <v>149</v>
      </c>
      <c r="DM110">
        <v>16</v>
      </c>
      <c r="DN110">
        <v>14</v>
      </c>
      <c r="DQ110" t="s">
        <v>1000</v>
      </c>
      <c r="DR110" t="s">
        <v>149</v>
      </c>
      <c r="DS110" s="24">
        <v>46160.384426226854</v>
      </c>
    </row>
    <row r="111" spans="1:123" x14ac:dyDescent="0.3">
      <c r="A111" t="s">
        <v>369</v>
      </c>
      <c r="D111" t="s">
        <v>223</v>
      </c>
      <c r="E111" s="24">
        <v>46093.378275462965</v>
      </c>
      <c r="G111" t="s">
        <v>90</v>
      </c>
      <c r="H111" t="s">
        <v>155</v>
      </c>
      <c r="I111" s="24"/>
      <c r="J111" s="24"/>
      <c r="K111" s="24"/>
      <c r="L111" s="24"/>
      <c r="N111" s="24"/>
      <c r="O111" s="24"/>
      <c r="P111" s="24"/>
      <c r="Q111" s="24"/>
      <c r="V111" s="24"/>
      <c r="W111" s="24"/>
      <c r="X111" s="24"/>
      <c r="Y111" s="24"/>
      <c r="AA111" s="24">
        <v>46106.391092893522</v>
      </c>
      <c r="AB111" s="24">
        <v>46106.391092893522</v>
      </c>
      <c r="AC111" s="24">
        <v>46107.428435798611</v>
      </c>
      <c r="AD111" s="24">
        <v>46107.428435798611</v>
      </c>
      <c r="AE111">
        <v>1</v>
      </c>
      <c r="AF111" s="24">
        <v>46107.428435798611</v>
      </c>
      <c r="AG111" s="24">
        <v>46107.428435798611</v>
      </c>
      <c r="AH111" s="24">
        <v>46107.7024828125</v>
      </c>
      <c r="AI111" s="24">
        <v>46107.7024828125</v>
      </c>
      <c r="AJ111">
        <v>1</v>
      </c>
      <c r="AK111" s="24"/>
      <c r="AL111" s="24"/>
      <c r="AM111" s="24"/>
      <c r="AN111" s="24"/>
      <c r="AP111" s="24"/>
      <c r="AQ111" s="24"/>
      <c r="AR111" s="24">
        <v>46098.550379664353</v>
      </c>
      <c r="AS111" s="24">
        <v>46098.550379664353</v>
      </c>
      <c r="AX111" s="24"/>
      <c r="AY111" s="24"/>
      <c r="AZ111" s="24"/>
      <c r="BA111" s="24"/>
      <c r="BC111" s="24"/>
      <c r="BD111" s="24"/>
      <c r="BE111" s="24"/>
      <c r="BF111" s="24"/>
      <c r="BH111" s="24">
        <v>46098.550379664353</v>
      </c>
      <c r="BI111" s="24">
        <v>46098.550379664353</v>
      </c>
      <c r="BJ111" s="24">
        <v>46106.391092893522</v>
      </c>
      <c r="BK111" s="24">
        <v>46106.391092893522</v>
      </c>
      <c r="BL111">
        <v>1</v>
      </c>
      <c r="BM111" s="24"/>
      <c r="BN111" s="24"/>
      <c r="BO111" s="24"/>
      <c r="BP111" s="24"/>
      <c r="BR111" s="24">
        <v>46107.7024828125</v>
      </c>
      <c r="BS111" s="24">
        <v>46107.7024828125</v>
      </c>
      <c r="BT111" s="24">
        <v>46108.408102638889</v>
      </c>
      <c r="BU111" s="24">
        <v>46108.408102638889</v>
      </c>
      <c r="BV111">
        <v>1</v>
      </c>
      <c r="BW111" s="24"/>
      <c r="BX111" s="24"/>
      <c r="BY111" s="24"/>
      <c r="BZ111" s="24"/>
      <c r="CB111" s="24"/>
      <c r="CC111" s="24"/>
      <c r="CE111" s="24">
        <v>46108.408102638889</v>
      </c>
      <c r="CF111" s="24">
        <v>46108.408102638889</v>
      </c>
      <c r="CG111">
        <v>1</v>
      </c>
      <c r="CH111" s="24"/>
      <c r="CI111" s="24"/>
      <c r="CJ111" s="24"/>
      <c r="CK111" s="24"/>
      <c r="DE111" s="24"/>
      <c r="DF111" s="24"/>
      <c r="DG111" s="24"/>
      <c r="DH111" s="24"/>
      <c r="DJ111" t="s">
        <v>149</v>
      </c>
      <c r="DK111" t="s">
        <v>149</v>
      </c>
      <c r="DM111">
        <v>10</v>
      </c>
      <c r="DN111">
        <v>3</v>
      </c>
      <c r="DQ111" t="s">
        <v>1000</v>
      </c>
      <c r="DR111" t="s">
        <v>149</v>
      </c>
      <c r="DS111" s="24">
        <v>46160.384426226854</v>
      </c>
    </row>
    <row r="112" spans="1:123" x14ac:dyDescent="0.3">
      <c r="A112" t="s">
        <v>370</v>
      </c>
      <c r="D112" t="s">
        <v>223</v>
      </c>
      <c r="E112" s="24">
        <v>46093.349768518521</v>
      </c>
      <c r="G112" t="s">
        <v>90</v>
      </c>
      <c r="H112" t="s">
        <v>155</v>
      </c>
      <c r="I112" s="24"/>
      <c r="J112" s="24"/>
      <c r="K112" s="24"/>
      <c r="L112" s="24"/>
      <c r="N112" s="24"/>
      <c r="O112" s="24"/>
      <c r="P112" s="24"/>
      <c r="Q112" s="24"/>
      <c r="V112" s="24"/>
      <c r="W112" s="24"/>
      <c r="X112" s="24"/>
      <c r="Y112" s="24"/>
      <c r="AA112" s="24">
        <v>46093.3502509838</v>
      </c>
      <c r="AB112" s="24">
        <v>46093.3502509838</v>
      </c>
      <c r="AC112" s="24">
        <v>46093.350512280093</v>
      </c>
      <c r="AD112" s="24">
        <v>46093.350512280093</v>
      </c>
      <c r="AE112">
        <v>1</v>
      </c>
      <c r="AF112" s="24"/>
      <c r="AG112" s="24"/>
      <c r="AH112" s="24"/>
      <c r="AI112" s="24"/>
      <c r="AK112" s="24"/>
      <c r="AL112" s="24"/>
      <c r="AM112" s="24"/>
      <c r="AN112" s="24"/>
      <c r="AP112" s="24"/>
      <c r="AQ112" s="24"/>
      <c r="AR112" s="24">
        <v>46093.350196435182</v>
      </c>
      <c r="AS112" s="24">
        <v>46093.350196435182</v>
      </c>
      <c r="AX112" s="24"/>
      <c r="AY112" s="24"/>
      <c r="AZ112" s="24"/>
      <c r="BA112" s="24"/>
      <c r="BC112" s="24"/>
      <c r="BD112" s="24"/>
      <c r="BE112" s="24"/>
      <c r="BF112" s="24"/>
      <c r="BH112" s="24">
        <v>46093.350196435182</v>
      </c>
      <c r="BI112" s="24">
        <v>46093.350196435182</v>
      </c>
      <c r="BJ112" s="24">
        <v>46093.3502509838</v>
      </c>
      <c r="BK112" s="24">
        <v>46093.3502509838</v>
      </c>
      <c r="BL112">
        <v>1</v>
      </c>
      <c r="BM112" s="24"/>
      <c r="BN112" s="24"/>
      <c r="BO112" s="24"/>
      <c r="BP112" s="24"/>
      <c r="BR112" s="24">
        <v>46093.350512280093</v>
      </c>
      <c r="BS112" s="24">
        <v>46093.350512280093</v>
      </c>
      <c r="BT112" s="24">
        <v>46093.350569710645</v>
      </c>
      <c r="BU112" s="24">
        <v>46093.350569710645</v>
      </c>
      <c r="BV112">
        <v>1</v>
      </c>
      <c r="BW112" s="24"/>
      <c r="BX112" s="24"/>
      <c r="BY112" s="24"/>
      <c r="BZ112" s="24"/>
      <c r="CB112" s="24"/>
      <c r="CC112" s="24"/>
      <c r="CE112" s="24">
        <v>46093.350569710645</v>
      </c>
      <c r="CF112" s="24">
        <v>46093.350569710645</v>
      </c>
      <c r="CG112">
        <v>1</v>
      </c>
      <c r="CH112" s="24"/>
      <c r="CI112" s="24"/>
      <c r="CJ112" s="24"/>
      <c r="CK112" s="24"/>
      <c r="DE112" s="24"/>
      <c r="DF112" s="24"/>
      <c r="DG112" s="24"/>
      <c r="DH112" s="24"/>
      <c r="DJ112" t="s">
        <v>149</v>
      </c>
      <c r="DK112" t="s">
        <v>149</v>
      </c>
      <c r="DM112">
        <v>1</v>
      </c>
      <c r="DN112">
        <v>1</v>
      </c>
      <c r="DQ112" t="s">
        <v>1000</v>
      </c>
      <c r="DR112" t="s">
        <v>149</v>
      </c>
      <c r="DS112" s="24">
        <v>46160.384426226854</v>
      </c>
    </row>
    <row r="113" spans="1:123" x14ac:dyDescent="0.3">
      <c r="A113" t="s">
        <v>371</v>
      </c>
      <c r="D113" t="s">
        <v>223</v>
      </c>
      <c r="E113" s="24">
        <v>46090.605752314812</v>
      </c>
      <c r="G113" t="s">
        <v>90</v>
      </c>
      <c r="H113" t="s">
        <v>155</v>
      </c>
      <c r="I113" s="24"/>
      <c r="J113" s="24"/>
      <c r="K113" s="24"/>
      <c r="L113" s="24"/>
      <c r="N113" s="24"/>
      <c r="O113" s="24"/>
      <c r="P113" s="24"/>
      <c r="Q113" s="24"/>
      <c r="V113" s="24"/>
      <c r="W113" s="24"/>
      <c r="X113" s="24"/>
      <c r="Y113" s="24"/>
      <c r="AA113" s="24">
        <v>46105.402277175926</v>
      </c>
      <c r="AB113" s="24">
        <v>46105.402277175926</v>
      </c>
      <c r="AC113" s="24">
        <v>46112.432889664349</v>
      </c>
      <c r="AD113" s="24">
        <v>46112.432889664349</v>
      </c>
      <c r="AE113">
        <v>1</v>
      </c>
      <c r="AF113" s="24">
        <v>46112.432889664349</v>
      </c>
      <c r="AG113" s="24">
        <v>46112.432889664349</v>
      </c>
      <c r="AH113" s="24">
        <v>46114.625008553237</v>
      </c>
      <c r="AI113" s="24">
        <v>46114.625008553237</v>
      </c>
      <c r="AJ113">
        <v>1</v>
      </c>
      <c r="AK113" s="24"/>
      <c r="AL113" s="24"/>
      <c r="AM113" s="24"/>
      <c r="AN113" s="24"/>
      <c r="AP113" s="24"/>
      <c r="AQ113" s="24"/>
      <c r="AR113" s="24">
        <v>46098.565662303241</v>
      </c>
      <c r="AS113" s="24">
        <v>46098.565662303241</v>
      </c>
      <c r="AX113" s="24"/>
      <c r="AY113" s="24"/>
      <c r="AZ113" s="24"/>
      <c r="BA113" s="24"/>
      <c r="BC113" s="24"/>
      <c r="BD113" s="24"/>
      <c r="BE113" s="24"/>
      <c r="BF113" s="24"/>
      <c r="BH113" s="24">
        <v>46098.565662303241</v>
      </c>
      <c r="BI113" s="24">
        <v>46098.565662303241</v>
      </c>
      <c r="BJ113" s="24">
        <v>46105.402277175926</v>
      </c>
      <c r="BK113" s="24">
        <v>46105.402277175926</v>
      </c>
      <c r="BL113">
        <v>1</v>
      </c>
      <c r="BM113" s="24"/>
      <c r="BN113" s="24"/>
      <c r="BO113" s="24"/>
      <c r="BP113" s="24"/>
      <c r="BR113" s="24">
        <v>46114.625008553237</v>
      </c>
      <c r="BS113" s="24">
        <v>46114.625008553237</v>
      </c>
      <c r="BT113" s="24">
        <v>46114.625200254632</v>
      </c>
      <c r="BU113" s="24">
        <v>46114.625200254632</v>
      </c>
      <c r="BV113">
        <v>1</v>
      </c>
      <c r="BW113" s="24"/>
      <c r="BX113" s="24"/>
      <c r="BY113" s="24"/>
      <c r="BZ113" s="24"/>
      <c r="CB113" s="24"/>
      <c r="CC113" s="24"/>
      <c r="CE113" s="24">
        <v>46114.625200254632</v>
      </c>
      <c r="CF113" s="24">
        <v>46114.625200254632</v>
      </c>
      <c r="CG113">
        <v>1</v>
      </c>
      <c r="CH113" s="24"/>
      <c r="CI113" s="24"/>
      <c r="CJ113" s="24"/>
      <c r="CK113" s="24"/>
      <c r="DE113" s="24"/>
      <c r="DF113" s="24"/>
      <c r="DG113" s="24"/>
      <c r="DH113" s="24"/>
      <c r="DJ113" t="s">
        <v>149</v>
      </c>
      <c r="DK113" t="s">
        <v>149</v>
      </c>
      <c r="DM113">
        <v>17</v>
      </c>
      <c r="DN113">
        <v>10</v>
      </c>
      <c r="DQ113" t="s">
        <v>1000</v>
      </c>
      <c r="DR113" t="s">
        <v>149</v>
      </c>
      <c r="DS113" s="24">
        <v>46160.384426226854</v>
      </c>
    </row>
    <row r="114" spans="1:123" x14ac:dyDescent="0.3">
      <c r="A114" t="s">
        <v>372</v>
      </c>
      <c r="D114" t="s">
        <v>223</v>
      </c>
      <c r="E114" s="24">
        <v>46090.484131944446</v>
      </c>
      <c r="G114" t="s">
        <v>150</v>
      </c>
      <c r="H114" t="s">
        <v>155</v>
      </c>
      <c r="I114" s="24"/>
      <c r="J114" s="24"/>
      <c r="K114" s="24"/>
      <c r="L114" s="24"/>
      <c r="N114" s="24"/>
      <c r="O114" s="24"/>
      <c r="P114" s="24"/>
      <c r="Q114" s="24"/>
      <c r="V114" s="24"/>
      <c r="W114" s="24"/>
      <c r="X114" s="24"/>
      <c r="Y114" s="24"/>
      <c r="AA114" s="24"/>
      <c r="AB114" s="24"/>
      <c r="AC114" s="24"/>
      <c r="AD114" s="24"/>
      <c r="AF114" s="24"/>
      <c r="AG114" s="24"/>
      <c r="AH114" s="24"/>
      <c r="AI114" s="24"/>
      <c r="AK114" s="24"/>
      <c r="AL114" s="24"/>
      <c r="AM114" s="24"/>
      <c r="AN114" s="24"/>
      <c r="AP114" s="24"/>
      <c r="AQ114" s="24"/>
      <c r="AR114" s="24">
        <v>46097.359722083333</v>
      </c>
      <c r="AS114" s="24">
        <v>46097.359722083333</v>
      </c>
      <c r="AX114" s="24"/>
      <c r="AY114" s="24"/>
      <c r="AZ114" s="24"/>
      <c r="BA114" s="24"/>
      <c r="BC114" s="24"/>
      <c r="BD114" s="24"/>
      <c r="BE114" s="24"/>
      <c r="BF114" s="24"/>
      <c r="BH114" s="24"/>
      <c r="BI114" s="24"/>
      <c r="BJ114" s="24"/>
      <c r="BK114" s="24"/>
      <c r="BM114" s="24"/>
      <c r="BN114" s="24"/>
      <c r="BO114" s="24"/>
      <c r="BP114" s="24"/>
      <c r="BR114" s="24"/>
      <c r="BS114" s="24"/>
      <c r="BT114" s="24"/>
      <c r="BU114" s="24"/>
      <c r="BW114" s="24"/>
      <c r="BX114" s="24"/>
      <c r="BY114" s="24"/>
      <c r="BZ114" s="24"/>
      <c r="CB114" s="24">
        <v>46097.359722083333</v>
      </c>
      <c r="CC114" s="24">
        <v>46097.359722083333</v>
      </c>
      <c r="CD114">
        <v>1</v>
      </c>
      <c r="CE114" s="24"/>
      <c r="CF114" s="24"/>
      <c r="CH114" s="24"/>
      <c r="CI114" s="24"/>
      <c r="CJ114" s="24"/>
      <c r="CK114" s="24"/>
      <c r="DE114" s="24"/>
      <c r="DF114" s="24"/>
      <c r="DG114" s="24"/>
      <c r="DH114" s="24"/>
      <c r="DJ114" t="s">
        <v>149</v>
      </c>
      <c r="DK114" t="s">
        <v>149</v>
      </c>
      <c r="DQ114" t="s">
        <v>1000</v>
      </c>
      <c r="DR114" t="s">
        <v>149</v>
      </c>
      <c r="DS114" s="24">
        <v>46160.384426226854</v>
      </c>
    </row>
    <row r="115" spans="1:123" x14ac:dyDescent="0.3">
      <c r="A115" t="s">
        <v>373</v>
      </c>
      <c r="D115" t="s">
        <v>223</v>
      </c>
      <c r="E115" s="24">
        <v>46090.465104166666</v>
      </c>
      <c r="G115" t="s">
        <v>90</v>
      </c>
      <c r="H115" t="s">
        <v>155</v>
      </c>
      <c r="I115" s="24"/>
      <c r="J115" s="24"/>
      <c r="K115" s="24"/>
      <c r="L115" s="24"/>
      <c r="N115" s="24"/>
      <c r="O115" s="24"/>
      <c r="P115" s="24"/>
      <c r="Q115" s="24"/>
      <c r="V115" s="24"/>
      <c r="W115" s="24"/>
      <c r="X115" s="24"/>
      <c r="Y115" s="24"/>
      <c r="AA115" s="24">
        <v>46099.370797557873</v>
      </c>
      <c r="AB115" s="24">
        <v>46099.370797557873</v>
      </c>
      <c r="AC115" s="24">
        <v>46112.433482638888</v>
      </c>
      <c r="AD115" s="24">
        <v>46112.433482638888</v>
      </c>
      <c r="AE115">
        <v>1</v>
      </c>
      <c r="AF115" s="24">
        <v>46112.433482638888</v>
      </c>
      <c r="AG115" s="24">
        <v>46112.433482638888</v>
      </c>
      <c r="AH115" s="24">
        <v>46114.401210856478</v>
      </c>
      <c r="AI115" s="24">
        <v>46114.401210856478</v>
      </c>
      <c r="AJ115">
        <v>1</v>
      </c>
      <c r="AK115" s="24"/>
      <c r="AL115" s="24"/>
      <c r="AM115" s="24"/>
      <c r="AN115" s="24"/>
      <c r="AP115" s="24"/>
      <c r="AQ115" s="24"/>
      <c r="AR115" s="24">
        <v>46098.565526087965</v>
      </c>
      <c r="AS115" s="24">
        <v>46098.565526087965</v>
      </c>
      <c r="AX115" s="24"/>
      <c r="AY115" s="24"/>
      <c r="AZ115" s="24"/>
      <c r="BA115" s="24"/>
      <c r="BC115" s="24"/>
      <c r="BD115" s="24"/>
      <c r="BE115" s="24"/>
      <c r="BF115" s="24"/>
      <c r="BH115" s="24">
        <v>46098.565526087965</v>
      </c>
      <c r="BI115" s="24">
        <v>46098.565526087965</v>
      </c>
      <c r="BJ115" s="24">
        <v>46099.370797557873</v>
      </c>
      <c r="BK115" s="24">
        <v>46099.370797557873</v>
      </c>
      <c r="BL115">
        <v>1</v>
      </c>
      <c r="BM115" s="24"/>
      <c r="BN115" s="24"/>
      <c r="BO115" s="24"/>
      <c r="BP115" s="24"/>
      <c r="BR115" s="24"/>
      <c r="BS115" s="24"/>
      <c r="BT115" s="24"/>
      <c r="BU115" s="24"/>
      <c r="BW115" s="24"/>
      <c r="BX115" s="24"/>
      <c r="BY115" s="24"/>
      <c r="BZ115" s="24"/>
      <c r="CB115" s="24"/>
      <c r="CC115" s="24"/>
      <c r="CE115" s="24">
        <v>46114.401210856478</v>
      </c>
      <c r="CF115" s="24">
        <v>46114.401210856478</v>
      </c>
      <c r="CG115">
        <v>1</v>
      </c>
      <c r="CH115" s="24"/>
      <c r="CI115" s="24"/>
      <c r="CJ115" s="24"/>
      <c r="CK115" s="24"/>
      <c r="DE115" s="24"/>
      <c r="DF115" s="24"/>
      <c r="DG115" s="24"/>
      <c r="DH115" s="24"/>
      <c r="DJ115" t="s">
        <v>149</v>
      </c>
      <c r="DK115" t="s">
        <v>149</v>
      </c>
      <c r="DM115">
        <v>16</v>
      </c>
      <c r="DN115">
        <v>16</v>
      </c>
      <c r="DQ115" t="s">
        <v>1000</v>
      </c>
      <c r="DR115" t="s">
        <v>149</v>
      </c>
      <c r="DS115" s="24">
        <v>46160.384426226854</v>
      </c>
    </row>
    <row r="116" spans="1:123" x14ac:dyDescent="0.3">
      <c r="A116" t="s">
        <v>374</v>
      </c>
      <c r="D116" t="s">
        <v>223</v>
      </c>
      <c r="E116" s="24">
        <v>46090.452118055553</v>
      </c>
      <c r="G116" t="s">
        <v>90</v>
      </c>
      <c r="H116" t="s">
        <v>155</v>
      </c>
      <c r="I116" s="24"/>
      <c r="J116" s="24"/>
      <c r="K116" s="24"/>
      <c r="L116" s="24"/>
      <c r="N116" s="24"/>
      <c r="O116" s="24"/>
      <c r="P116" s="24"/>
      <c r="Q116" s="24"/>
      <c r="V116" s="24"/>
      <c r="W116" s="24"/>
      <c r="X116" s="24"/>
      <c r="Y116" s="24"/>
      <c r="AA116" s="24">
        <v>46099.557883032408</v>
      </c>
      <c r="AB116" s="24">
        <v>46099.557883032408</v>
      </c>
      <c r="AC116" s="24">
        <v>46112.442499699071</v>
      </c>
      <c r="AD116" s="24">
        <v>46112.442499699071</v>
      </c>
      <c r="AE116">
        <v>1</v>
      </c>
      <c r="AF116" s="24"/>
      <c r="AG116" s="24"/>
      <c r="AH116" s="24"/>
      <c r="AI116" s="24"/>
      <c r="AK116" s="24"/>
      <c r="AL116" s="24"/>
      <c r="AM116" s="24"/>
      <c r="AN116" s="24"/>
      <c r="AP116" s="24"/>
      <c r="AQ116" s="24"/>
      <c r="AR116" s="24">
        <v>46098.565383344911</v>
      </c>
      <c r="AS116" s="24">
        <v>46098.565383344911</v>
      </c>
      <c r="AX116" s="24"/>
      <c r="AY116" s="24"/>
      <c r="AZ116" s="24"/>
      <c r="BA116" s="24"/>
      <c r="BC116" s="24"/>
      <c r="BD116" s="24"/>
      <c r="BE116" s="24"/>
      <c r="BF116" s="24"/>
      <c r="BH116" s="24">
        <v>46098.565383344911</v>
      </c>
      <c r="BI116" s="24">
        <v>46098.565383344911</v>
      </c>
      <c r="BJ116" s="24">
        <v>46099.557883032408</v>
      </c>
      <c r="BK116" s="24">
        <v>46099.557883032408</v>
      </c>
      <c r="BL116">
        <v>1</v>
      </c>
      <c r="BM116" s="24"/>
      <c r="BN116" s="24"/>
      <c r="BO116" s="24"/>
      <c r="BP116" s="24"/>
      <c r="BR116" s="24"/>
      <c r="BS116" s="24"/>
      <c r="BT116" s="24"/>
      <c r="BU116" s="24"/>
      <c r="BW116" s="24"/>
      <c r="BX116" s="24"/>
      <c r="BY116" s="24"/>
      <c r="BZ116" s="24"/>
      <c r="CB116" s="24"/>
      <c r="CC116" s="24"/>
      <c r="CE116" s="24">
        <v>46112.442499699071</v>
      </c>
      <c r="CF116" s="24">
        <v>46112.442499699071</v>
      </c>
      <c r="CG116">
        <v>1</v>
      </c>
      <c r="CH116" s="24"/>
      <c r="CI116" s="24"/>
      <c r="CJ116" s="24"/>
      <c r="CK116" s="24"/>
      <c r="DE116" s="24"/>
      <c r="DF116" s="24"/>
      <c r="DG116" s="24"/>
      <c r="DH116" s="24"/>
      <c r="DJ116" t="s">
        <v>149</v>
      </c>
      <c r="DK116" t="s">
        <v>149</v>
      </c>
      <c r="DM116">
        <v>14</v>
      </c>
      <c r="DN116">
        <v>13</v>
      </c>
      <c r="DQ116" t="s">
        <v>1000</v>
      </c>
      <c r="DR116" t="s">
        <v>149</v>
      </c>
      <c r="DS116" s="24">
        <v>46160.384426226854</v>
      </c>
    </row>
    <row r="117" spans="1:123" x14ac:dyDescent="0.3">
      <c r="A117" t="s">
        <v>375</v>
      </c>
      <c r="D117" t="s">
        <v>225</v>
      </c>
      <c r="E117" s="24">
        <v>46087.587488425925</v>
      </c>
      <c r="G117" t="s">
        <v>90</v>
      </c>
      <c r="H117" t="s">
        <v>155</v>
      </c>
      <c r="I117" s="24"/>
      <c r="J117" s="24"/>
      <c r="K117" s="24"/>
      <c r="L117" s="24"/>
      <c r="N117" s="24"/>
      <c r="O117" s="24"/>
      <c r="P117" s="24"/>
      <c r="Q117" s="24"/>
      <c r="V117" s="24"/>
      <c r="W117" s="24"/>
      <c r="X117" s="24"/>
      <c r="Y117" s="24"/>
      <c r="AA117" s="24">
        <v>46087.590729699077</v>
      </c>
      <c r="AB117" s="24">
        <v>46087.590729699077</v>
      </c>
      <c r="AC117" s="24">
        <v>46087.662974108796</v>
      </c>
      <c r="AD117" s="24">
        <v>46087.662974108796</v>
      </c>
      <c r="AE117">
        <v>1</v>
      </c>
      <c r="AF117" s="24">
        <v>46087.662974108796</v>
      </c>
      <c r="AG117" s="24">
        <v>46087.662974108796</v>
      </c>
      <c r="AH117" s="24">
        <v>46093.697145925929</v>
      </c>
      <c r="AI117" s="24">
        <v>46093.697145925929</v>
      </c>
      <c r="AJ117">
        <v>1</v>
      </c>
      <c r="AK117" s="24">
        <v>46093.697145925929</v>
      </c>
      <c r="AL117" s="24">
        <v>46093.697145925929</v>
      </c>
      <c r="AM117" s="24">
        <v>46094.316840636573</v>
      </c>
      <c r="AN117" s="24">
        <v>46094.316840636573</v>
      </c>
      <c r="AO117">
        <v>1</v>
      </c>
      <c r="AP117" s="24"/>
      <c r="AQ117" s="24"/>
      <c r="AR117" s="24">
        <v>46087.590676851854</v>
      </c>
      <c r="AS117" s="24">
        <v>46087.590676851854</v>
      </c>
      <c r="AX117" s="24"/>
      <c r="AY117" s="24"/>
      <c r="AZ117" s="24"/>
      <c r="BA117" s="24"/>
      <c r="BC117" s="24">
        <v>46094.408077858796</v>
      </c>
      <c r="BD117" s="24">
        <v>46094.408077858796</v>
      </c>
      <c r="BE117" s="24">
        <v>46099.564617233795</v>
      </c>
      <c r="BF117" s="24">
        <v>46099.564617233795</v>
      </c>
      <c r="BG117">
        <v>1</v>
      </c>
      <c r="BH117" s="24">
        <v>46087.590676851854</v>
      </c>
      <c r="BI117" s="24">
        <v>46087.590676851854</v>
      </c>
      <c r="BJ117" s="24">
        <v>46087.590729699077</v>
      </c>
      <c r="BK117" s="24">
        <v>46087.590729699077</v>
      </c>
      <c r="BL117">
        <v>1</v>
      </c>
      <c r="BM117" s="24"/>
      <c r="BN117" s="24"/>
      <c r="BO117" s="24"/>
      <c r="BP117" s="24"/>
      <c r="BR117" s="24">
        <v>46094.316840636573</v>
      </c>
      <c r="BS117" s="24">
        <v>46094.316840636573</v>
      </c>
      <c r="BT117" s="24">
        <v>46094.408077858796</v>
      </c>
      <c r="BU117" s="24">
        <v>46094.408077858796</v>
      </c>
      <c r="BV117">
        <v>1</v>
      </c>
      <c r="BW117" s="24"/>
      <c r="BX117" s="24"/>
      <c r="BY117" s="24"/>
      <c r="BZ117" s="24"/>
      <c r="CB117" s="24"/>
      <c r="CC117" s="24"/>
      <c r="CE117" s="24">
        <v>46099.564617233795</v>
      </c>
      <c r="CF117" s="24">
        <v>46099.564617233795</v>
      </c>
      <c r="CG117">
        <v>1</v>
      </c>
      <c r="CH117" s="24"/>
      <c r="CI117" s="24"/>
      <c r="CJ117" s="24"/>
      <c r="CK117" s="24"/>
      <c r="DE117" s="24"/>
      <c r="DF117" s="24"/>
      <c r="DG117" s="24"/>
      <c r="DH117" s="24"/>
      <c r="DJ117" t="s">
        <v>149</v>
      </c>
      <c r="DK117" t="s">
        <v>149</v>
      </c>
      <c r="DM117">
        <v>12</v>
      </c>
      <c r="DN117">
        <v>12</v>
      </c>
      <c r="DQ117" t="s">
        <v>1000</v>
      </c>
      <c r="DR117" t="s">
        <v>149</v>
      </c>
      <c r="DS117" s="24">
        <v>46160.384426226854</v>
      </c>
    </row>
    <row r="118" spans="1:123" x14ac:dyDescent="0.3">
      <c r="A118" t="s">
        <v>376</v>
      </c>
      <c r="D118" t="s">
        <v>223</v>
      </c>
      <c r="E118" s="24">
        <v>46087.445254629631</v>
      </c>
      <c r="G118" t="s">
        <v>90</v>
      </c>
      <c r="H118" t="s">
        <v>155</v>
      </c>
      <c r="I118" s="24"/>
      <c r="J118" s="24"/>
      <c r="K118" s="24"/>
      <c r="L118" s="24"/>
      <c r="N118" s="24"/>
      <c r="O118" s="24"/>
      <c r="P118" s="24"/>
      <c r="Q118" s="24"/>
      <c r="V118" s="24"/>
      <c r="W118" s="24"/>
      <c r="X118" s="24"/>
      <c r="Y118" s="24"/>
      <c r="AA118" s="24">
        <v>46091.673605370372</v>
      </c>
      <c r="AB118" s="24">
        <v>46091.673605370372</v>
      </c>
      <c r="AC118" s="24">
        <v>46093.387313888888</v>
      </c>
      <c r="AD118" s="24">
        <v>46093.387313888888</v>
      </c>
      <c r="AE118">
        <v>1</v>
      </c>
      <c r="AF118" s="24"/>
      <c r="AG118" s="24"/>
      <c r="AH118" s="24"/>
      <c r="AI118" s="24"/>
      <c r="AK118" s="24"/>
      <c r="AL118" s="24"/>
      <c r="AM118" s="24"/>
      <c r="AN118" s="24"/>
      <c r="AP118" s="24"/>
      <c r="AQ118" s="24"/>
      <c r="AR118" s="24">
        <v>46091.545153680556</v>
      </c>
      <c r="AS118" s="24">
        <v>46091.545153680556</v>
      </c>
      <c r="AX118" s="24"/>
      <c r="AY118" s="24"/>
      <c r="AZ118" s="24"/>
      <c r="BA118" s="24"/>
      <c r="BC118" s="24"/>
      <c r="BD118" s="24"/>
      <c r="BE118" s="24"/>
      <c r="BF118" s="24"/>
      <c r="BH118" s="24">
        <v>46091.545153680556</v>
      </c>
      <c r="BI118" s="24">
        <v>46091.545153680556</v>
      </c>
      <c r="BJ118" s="24">
        <v>46091.673605370372</v>
      </c>
      <c r="BK118" s="24">
        <v>46091.673605370372</v>
      </c>
      <c r="BL118">
        <v>1</v>
      </c>
      <c r="BM118" s="24"/>
      <c r="BN118" s="24"/>
      <c r="BO118" s="24"/>
      <c r="BP118" s="24"/>
      <c r="BR118" s="24">
        <v>46093.387313888888</v>
      </c>
      <c r="BS118" s="24">
        <v>46093.387313888888</v>
      </c>
      <c r="BT118" s="24">
        <v>46093.408527569445</v>
      </c>
      <c r="BU118" s="24">
        <v>46093.408527569445</v>
      </c>
      <c r="BV118">
        <v>1</v>
      </c>
      <c r="BW118" s="24"/>
      <c r="BX118" s="24"/>
      <c r="BY118" s="24"/>
      <c r="BZ118" s="24"/>
      <c r="CB118" s="24"/>
      <c r="CC118" s="24"/>
      <c r="CE118" s="24">
        <v>46093.408527569445</v>
      </c>
      <c r="CF118" s="24">
        <v>46093.408527569445</v>
      </c>
      <c r="CG118">
        <v>1</v>
      </c>
      <c r="CH118" s="24"/>
      <c r="CI118" s="24"/>
      <c r="CJ118" s="24"/>
      <c r="CK118" s="24"/>
      <c r="DE118" s="24"/>
      <c r="DF118" s="24"/>
      <c r="DG118" s="24"/>
      <c r="DH118" s="24"/>
      <c r="DJ118" t="s">
        <v>149</v>
      </c>
      <c r="DK118" t="s">
        <v>149</v>
      </c>
      <c r="DM118">
        <v>2</v>
      </c>
      <c r="DN118">
        <v>2</v>
      </c>
      <c r="DQ118" t="s">
        <v>1000</v>
      </c>
      <c r="DR118" t="s">
        <v>149</v>
      </c>
      <c r="DS118" s="24">
        <v>46160.384426226854</v>
      </c>
    </row>
    <row r="119" spans="1:123" x14ac:dyDescent="0.3">
      <c r="A119" t="s">
        <v>377</v>
      </c>
      <c r="D119" t="s">
        <v>223</v>
      </c>
      <c r="E119" s="24">
        <v>46086.461053240739</v>
      </c>
      <c r="G119" t="s">
        <v>89</v>
      </c>
      <c r="H119" t="s">
        <v>89</v>
      </c>
      <c r="I119" s="24"/>
      <c r="J119" s="24"/>
      <c r="K119" s="24"/>
      <c r="L119" s="24"/>
      <c r="N119" s="24"/>
      <c r="O119" s="24"/>
      <c r="P119" s="24"/>
      <c r="Q119" s="24"/>
      <c r="V119" s="24"/>
      <c r="W119" s="24"/>
      <c r="X119" s="24"/>
      <c r="Y119" s="24"/>
      <c r="AA119" s="24">
        <v>46135.378187361108</v>
      </c>
      <c r="AB119" s="24">
        <v>46135.378187361108</v>
      </c>
      <c r="AC119" s="24"/>
      <c r="AD119" s="24"/>
      <c r="AE119">
        <v>1</v>
      </c>
      <c r="AF119" s="24"/>
      <c r="AG119" s="24"/>
      <c r="AH119" s="24"/>
      <c r="AI119" s="24"/>
      <c r="AK119" s="24"/>
      <c r="AL119" s="24"/>
      <c r="AM119" s="24"/>
      <c r="AN119" s="24"/>
      <c r="AP119" s="24"/>
      <c r="AQ119" s="24"/>
      <c r="AR119" s="24">
        <v>46126.668532638891</v>
      </c>
      <c r="AS119" s="24">
        <v>46126.668532638891</v>
      </c>
      <c r="AX119" s="24"/>
      <c r="AY119" s="24"/>
      <c r="AZ119" s="24"/>
      <c r="BA119" s="24"/>
      <c r="BC119" s="24"/>
      <c r="BD119" s="24"/>
      <c r="BE119" s="24"/>
      <c r="BF119" s="24"/>
      <c r="BH119" s="24">
        <v>46126.668532638891</v>
      </c>
      <c r="BI119" s="24">
        <v>46126.668532638891</v>
      </c>
      <c r="BJ119" s="24">
        <v>46135.378187361108</v>
      </c>
      <c r="BK119" s="24">
        <v>46135.378187361108</v>
      </c>
      <c r="BL119">
        <v>1</v>
      </c>
      <c r="BM119" s="24"/>
      <c r="BN119" s="24"/>
      <c r="BO119" s="24"/>
      <c r="BP119" s="24"/>
      <c r="BR119" s="24"/>
      <c r="BS119" s="24"/>
      <c r="BT119" s="24"/>
      <c r="BU119" s="24"/>
      <c r="BW119" s="24"/>
      <c r="BX119" s="24"/>
      <c r="BY119" s="24"/>
      <c r="BZ119" s="24"/>
      <c r="CB119" s="24"/>
      <c r="CC119" s="24"/>
      <c r="CE119" s="24"/>
      <c r="CF119" s="24"/>
      <c r="CH119" s="24"/>
      <c r="CI119" s="24"/>
      <c r="CJ119" s="24"/>
      <c r="CK119" s="24"/>
      <c r="DE119" s="24"/>
      <c r="DF119" s="24"/>
      <c r="DG119" s="24"/>
      <c r="DH119" s="24"/>
      <c r="DJ119" t="s">
        <v>149</v>
      </c>
      <c r="DK119" t="s">
        <v>149</v>
      </c>
      <c r="DO119">
        <v>26</v>
      </c>
      <c r="DP119">
        <v>26</v>
      </c>
      <c r="DQ119" t="s">
        <v>1000</v>
      </c>
      <c r="DR119" t="s">
        <v>149</v>
      </c>
      <c r="DS119" s="24">
        <v>46160.384426226854</v>
      </c>
    </row>
    <row r="120" spans="1:123" x14ac:dyDescent="0.3">
      <c r="A120" t="s">
        <v>378</v>
      </c>
      <c r="D120" t="s">
        <v>223</v>
      </c>
      <c r="E120" s="24">
        <v>46085.701157407406</v>
      </c>
      <c r="G120" t="s">
        <v>102</v>
      </c>
      <c r="H120" t="s">
        <v>154</v>
      </c>
      <c r="I120" s="24"/>
      <c r="J120" s="24"/>
      <c r="K120" s="24"/>
      <c r="L120" s="24"/>
      <c r="N120" s="24"/>
      <c r="O120" s="24"/>
      <c r="P120" s="24"/>
      <c r="Q120" s="24"/>
      <c r="V120" s="24"/>
      <c r="W120" s="24"/>
      <c r="X120" s="24"/>
      <c r="Y120" s="24"/>
      <c r="AA120" s="24"/>
      <c r="AB120" s="24"/>
      <c r="AC120" s="24"/>
      <c r="AD120" s="24"/>
      <c r="AF120" s="24"/>
      <c r="AG120" s="24"/>
      <c r="AH120" s="24"/>
      <c r="AI120" s="24"/>
      <c r="AK120" s="24"/>
      <c r="AL120" s="24"/>
      <c r="AM120" s="24"/>
      <c r="AN120" s="24"/>
      <c r="AP120" s="24"/>
      <c r="AQ120" s="24"/>
      <c r="AR120" s="24"/>
      <c r="AS120" s="24"/>
      <c r="AX120" s="24"/>
      <c r="AY120" s="24"/>
      <c r="AZ120" s="24"/>
      <c r="BA120" s="24"/>
      <c r="BC120" s="24"/>
      <c r="BD120" s="24"/>
      <c r="BE120" s="24"/>
      <c r="BF120" s="24"/>
      <c r="BH120" s="24"/>
      <c r="BI120" s="24"/>
      <c r="BJ120" s="24"/>
      <c r="BK120" s="24"/>
      <c r="BM120" s="24"/>
      <c r="BN120" s="24"/>
      <c r="BO120" s="24"/>
      <c r="BP120" s="24"/>
      <c r="BR120" s="24"/>
      <c r="BS120" s="24"/>
      <c r="BT120" s="24"/>
      <c r="BU120" s="24"/>
      <c r="BW120" s="24"/>
      <c r="BX120" s="24"/>
      <c r="BY120" s="24"/>
      <c r="BZ120" s="24"/>
      <c r="CB120" s="24"/>
      <c r="CC120" s="24"/>
      <c r="CE120" s="24"/>
      <c r="CF120" s="24"/>
      <c r="CH120" s="24"/>
      <c r="CI120" s="24"/>
      <c r="CJ120" s="24"/>
      <c r="CK120" s="24"/>
      <c r="DE120" s="24"/>
      <c r="DF120" s="24"/>
      <c r="DG120" s="24"/>
      <c r="DH120" s="24"/>
      <c r="DJ120" t="s">
        <v>149</v>
      </c>
      <c r="DK120" t="s">
        <v>149</v>
      </c>
      <c r="DQ120" t="s">
        <v>1000</v>
      </c>
      <c r="DR120" t="s">
        <v>149</v>
      </c>
      <c r="DS120" s="24">
        <v>46160.384426226854</v>
      </c>
    </row>
    <row r="121" spans="1:123" x14ac:dyDescent="0.3">
      <c r="A121" t="s">
        <v>379</v>
      </c>
      <c r="D121" t="s">
        <v>225</v>
      </c>
      <c r="E121" s="24">
        <v>46085.426608796297</v>
      </c>
      <c r="G121" t="s">
        <v>90</v>
      </c>
      <c r="H121" t="s">
        <v>155</v>
      </c>
      <c r="I121" s="24"/>
      <c r="J121" s="24"/>
      <c r="K121" s="24"/>
      <c r="L121" s="24"/>
      <c r="N121" s="24"/>
      <c r="O121" s="24"/>
      <c r="P121" s="24"/>
      <c r="Q121" s="24"/>
      <c r="V121" s="24"/>
      <c r="W121" s="24"/>
      <c r="X121" s="24"/>
      <c r="Y121" s="24"/>
      <c r="AA121" s="24">
        <v>46086.578713981478</v>
      </c>
      <c r="AB121" s="24">
        <v>46086.578713981478</v>
      </c>
      <c r="AC121" s="24">
        <v>46090.320894456017</v>
      </c>
      <c r="AD121" s="24">
        <v>46090.320894456017</v>
      </c>
      <c r="AE121">
        <v>1</v>
      </c>
      <c r="AF121" s="24">
        <v>46090.320894456017</v>
      </c>
      <c r="AG121" s="24">
        <v>46090.320894456017</v>
      </c>
      <c r="AH121" s="24">
        <v>46092.499875590278</v>
      </c>
      <c r="AI121" s="24">
        <v>46092.499875590278</v>
      </c>
      <c r="AJ121">
        <v>1</v>
      </c>
      <c r="AK121" s="24">
        <v>46092.499875590278</v>
      </c>
      <c r="AL121" s="24">
        <v>46092.499875590278</v>
      </c>
      <c r="AM121" s="24">
        <v>46093.337266203707</v>
      </c>
      <c r="AN121" s="24">
        <v>46093.337266203707</v>
      </c>
      <c r="AO121">
        <v>1</v>
      </c>
      <c r="AP121" s="24"/>
      <c r="AQ121" s="24"/>
      <c r="AR121" s="24">
        <v>46085.535623645832</v>
      </c>
      <c r="AS121" s="24">
        <v>46085.535623645832</v>
      </c>
      <c r="AX121" s="24"/>
      <c r="AY121" s="24"/>
      <c r="AZ121" s="24"/>
      <c r="BA121" s="24"/>
      <c r="BC121" s="24">
        <v>46093.408447939815</v>
      </c>
      <c r="BD121" s="24">
        <v>46093.408447939815</v>
      </c>
      <c r="BE121" s="24">
        <v>46099.564617418982</v>
      </c>
      <c r="BF121" s="24">
        <v>46099.564617418982</v>
      </c>
      <c r="BG121">
        <v>1</v>
      </c>
      <c r="BH121" s="24">
        <v>46085.535623645832</v>
      </c>
      <c r="BI121" s="24">
        <v>46085.535623645832</v>
      </c>
      <c r="BJ121" s="24">
        <v>46086.578713981478</v>
      </c>
      <c r="BK121" s="24">
        <v>46086.578713981478</v>
      </c>
      <c r="BL121">
        <v>1</v>
      </c>
      <c r="BM121" s="24"/>
      <c r="BN121" s="24"/>
      <c r="BO121" s="24"/>
      <c r="BP121" s="24"/>
      <c r="BR121" s="24">
        <v>46093.337266203707</v>
      </c>
      <c r="BS121" s="24">
        <v>46093.337266203707</v>
      </c>
      <c r="BT121" s="24">
        <v>46093.408447939815</v>
      </c>
      <c r="BU121" s="24">
        <v>46093.408447939815</v>
      </c>
      <c r="BV121">
        <v>1</v>
      </c>
      <c r="BW121" s="24"/>
      <c r="BX121" s="24"/>
      <c r="BY121" s="24"/>
      <c r="BZ121" s="24"/>
      <c r="CB121" s="24"/>
      <c r="CC121" s="24"/>
      <c r="CE121" s="24">
        <v>46099.564617418982</v>
      </c>
      <c r="CF121" s="24">
        <v>46099.564617418982</v>
      </c>
      <c r="CG121">
        <v>1</v>
      </c>
      <c r="CH121" s="24"/>
      <c r="CI121" s="24"/>
      <c r="CJ121" s="24"/>
      <c r="CK121" s="24"/>
      <c r="DE121" s="24"/>
      <c r="DF121" s="24"/>
      <c r="DG121" s="24"/>
      <c r="DH121" s="24"/>
      <c r="DJ121" t="s">
        <v>149</v>
      </c>
      <c r="DK121" t="s">
        <v>149</v>
      </c>
      <c r="DM121">
        <v>15</v>
      </c>
      <c r="DN121">
        <v>13</v>
      </c>
      <c r="DQ121" t="s">
        <v>1000</v>
      </c>
      <c r="DR121" t="s">
        <v>149</v>
      </c>
      <c r="DS121" s="24">
        <v>46160.384426226854</v>
      </c>
    </row>
    <row r="122" spans="1:123" x14ac:dyDescent="0.3">
      <c r="A122" t="s">
        <v>380</v>
      </c>
      <c r="D122" t="s">
        <v>223</v>
      </c>
      <c r="E122" s="24">
        <v>46084.40079861111</v>
      </c>
      <c r="G122" t="s">
        <v>90</v>
      </c>
      <c r="H122" t="s">
        <v>155</v>
      </c>
      <c r="I122" s="24"/>
      <c r="J122" s="24"/>
      <c r="K122" s="24"/>
      <c r="L122" s="24"/>
      <c r="N122" s="24"/>
      <c r="O122" s="24"/>
      <c r="P122" s="24"/>
      <c r="Q122" s="24"/>
      <c r="V122" s="24"/>
      <c r="W122" s="24"/>
      <c r="X122" s="24"/>
      <c r="Y122" s="24"/>
      <c r="AA122" s="24">
        <v>46087.411370578702</v>
      </c>
      <c r="AB122" s="24">
        <v>46087.411370578702</v>
      </c>
      <c r="AC122" s="24">
        <v>46091.412289386572</v>
      </c>
      <c r="AD122" s="24">
        <v>46091.412289386572</v>
      </c>
      <c r="AE122">
        <v>1</v>
      </c>
      <c r="AF122" s="24">
        <v>46091.412289386572</v>
      </c>
      <c r="AG122" s="24">
        <v>46091.412289386572</v>
      </c>
      <c r="AH122" s="24">
        <v>46091.412326574071</v>
      </c>
      <c r="AI122" s="24">
        <v>46091.412326574071</v>
      </c>
      <c r="AJ122">
        <v>1</v>
      </c>
      <c r="AK122" s="24"/>
      <c r="AL122" s="24"/>
      <c r="AM122" s="24"/>
      <c r="AN122" s="24"/>
      <c r="AP122" s="24"/>
      <c r="AQ122" s="24"/>
      <c r="AR122" s="24">
        <v>46085.322997395837</v>
      </c>
      <c r="AS122" s="24">
        <v>46085.322997395837</v>
      </c>
      <c r="AX122" s="24"/>
      <c r="AY122" s="24"/>
      <c r="AZ122" s="24"/>
      <c r="BA122" s="24"/>
      <c r="BC122" s="24"/>
      <c r="BD122" s="24"/>
      <c r="BE122" s="24"/>
      <c r="BF122" s="24"/>
      <c r="BH122" s="24">
        <v>46085.322997395837</v>
      </c>
      <c r="BI122" s="24">
        <v>46085.322997395837</v>
      </c>
      <c r="BJ122" s="24">
        <v>46087.411370578702</v>
      </c>
      <c r="BK122" s="24">
        <v>46087.411370578702</v>
      </c>
      <c r="BL122">
        <v>1</v>
      </c>
      <c r="BM122" s="24"/>
      <c r="BN122" s="24"/>
      <c r="BO122" s="24"/>
      <c r="BP122" s="24"/>
      <c r="BR122" s="24">
        <v>46091.412326574071</v>
      </c>
      <c r="BS122" s="24">
        <v>46091.412326574071</v>
      </c>
      <c r="BT122" s="24">
        <v>46091.412377546294</v>
      </c>
      <c r="BU122" s="24">
        <v>46091.412377546294</v>
      </c>
      <c r="BV122">
        <v>1</v>
      </c>
      <c r="BW122" s="24"/>
      <c r="BX122" s="24"/>
      <c r="BY122" s="24"/>
      <c r="BZ122" s="24"/>
      <c r="CB122" s="24"/>
      <c r="CC122" s="24"/>
      <c r="CE122" s="24">
        <v>46091.412377546294</v>
      </c>
      <c r="CF122" s="24">
        <v>46091.412377546294</v>
      </c>
      <c r="CG122">
        <v>1</v>
      </c>
      <c r="CH122" s="24"/>
      <c r="CI122" s="24"/>
      <c r="CJ122" s="24"/>
      <c r="CK122" s="24"/>
      <c r="DE122" s="24"/>
      <c r="DF122" s="24"/>
      <c r="DG122" s="24"/>
      <c r="DH122" s="24"/>
      <c r="DJ122" t="s">
        <v>149</v>
      </c>
      <c r="DK122" t="s">
        <v>149</v>
      </c>
      <c r="DM122">
        <v>7</v>
      </c>
      <c r="DN122">
        <v>5</v>
      </c>
      <c r="DQ122" t="s">
        <v>1000</v>
      </c>
      <c r="DR122" t="s">
        <v>149</v>
      </c>
      <c r="DS122" s="24">
        <v>46160.384426226854</v>
      </c>
    </row>
    <row r="123" spans="1:123" x14ac:dyDescent="0.3">
      <c r="A123" t="s">
        <v>381</v>
      </c>
      <c r="D123" t="s">
        <v>223</v>
      </c>
      <c r="E123" s="24">
        <v>46084.390289351853</v>
      </c>
      <c r="G123" t="s">
        <v>90</v>
      </c>
      <c r="H123" t="s">
        <v>155</v>
      </c>
      <c r="I123" s="24"/>
      <c r="J123" s="24"/>
      <c r="K123" s="24"/>
      <c r="L123" s="24"/>
      <c r="N123" s="24"/>
      <c r="O123" s="24"/>
      <c r="P123" s="24"/>
      <c r="Q123" s="24"/>
      <c r="V123" s="24"/>
      <c r="W123" s="24"/>
      <c r="X123" s="24"/>
      <c r="Y123" s="24"/>
      <c r="AA123" s="24">
        <v>46099.403671574073</v>
      </c>
      <c r="AB123" s="24">
        <v>46099.403671574073</v>
      </c>
      <c r="AC123" s="24">
        <v>46111.355118194442</v>
      </c>
      <c r="AD123" s="24">
        <v>46111.355118194442</v>
      </c>
      <c r="AE123">
        <v>1</v>
      </c>
      <c r="AF123" s="24"/>
      <c r="AG123" s="24"/>
      <c r="AH123" s="24"/>
      <c r="AI123" s="24"/>
      <c r="AK123" s="24"/>
      <c r="AL123" s="24"/>
      <c r="AM123" s="24"/>
      <c r="AN123" s="24"/>
      <c r="AP123" s="24"/>
      <c r="AQ123" s="24"/>
      <c r="AR123" s="24">
        <v>46098.568055509262</v>
      </c>
      <c r="AS123" s="24">
        <v>46098.568055509262</v>
      </c>
      <c r="AX123" s="24"/>
      <c r="AY123" s="24"/>
      <c r="AZ123" s="24"/>
      <c r="BA123" s="24"/>
      <c r="BC123" s="24"/>
      <c r="BD123" s="24"/>
      <c r="BE123" s="24"/>
      <c r="BF123" s="24"/>
      <c r="BH123" s="24">
        <v>46098.568055509262</v>
      </c>
      <c r="BI123" s="24">
        <v>46098.568055509262</v>
      </c>
      <c r="BJ123" s="24">
        <v>46099.403671574073</v>
      </c>
      <c r="BK123" s="24">
        <v>46099.403671574073</v>
      </c>
      <c r="BL123">
        <v>1</v>
      </c>
      <c r="BM123" s="24"/>
      <c r="BN123" s="24"/>
      <c r="BO123" s="24"/>
      <c r="BP123" s="24"/>
      <c r="BR123" s="24"/>
      <c r="BS123" s="24"/>
      <c r="BT123" s="24"/>
      <c r="BU123" s="24"/>
      <c r="BW123" s="24"/>
      <c r="BX123" s="24"/>
      <c r="BY123" s="24"/>
      <c r="BZ123" s="24"/>
      <c r="CB123" s="24"/>
      <c r="CC123" s="24"/>
      <c r="CE123" s="24">
        <v>46111.355118194442</v>
      </c>
      <c r="CF123" s="24">
        <v>46111.355118194442</v>
      </c>
      <c r="CG123">
        <v>1</v>
      </c>
      <c r="CH123" s="24"/>
      <c r="CI123" s="24"/>
      <c r="CJ123" s="24"/>
      <c r="CK123" s="24"/>
      <c r="DE123" s="24"/>
      <c r="DF123" s="24"/>
      <c r="DG123" s="24"/>
      <c r="DH123" s="24"/>
      <c r="DJ123" t="s">
        <v>149</v>
      </c>
      <c r="DK123" t="s">
        <v>149</v>
      </c>
      <c r="DM123">
        <v>13</v>
      </c>
      <c r="DN123">
        <v>12</v>
      </c>
      <c r="DQ123" t="s">
        <v>1000</v>
      </c>
      <c r="DR123" t="s">
        <v>149</v>
      </c>
      <c r="DS123" s="24">
        <v>46160.384426226854</v>
      </c>
    </row>
    <row r="124" spans="1:123" x14ac:dyDescent="0.3">
      <c r="A124" t="s">
        <v>382</v>
      </c>
      <c r="D124" t="s">
        <v>223</v>
      </c>
      <c r="E124" s="24">
        <v>46083.651087962964</v>
      </c>
      <c r="G124" t="s">
        <v>90</v>
      </c>
      <c r="H124" t="s">
        <v>155</v>
      </c>
      <c r="I124" s="24"/>
      <c r="J124" s="24"/>
      <c r="K124" s="24"/>
      <c r="L124" s="24"/>
      <c r="N124" s="24"/>
      <c r="O124" s="24"/>
      <c r="P124" s="24"/>
      <c r="Q124" s="24"/>
      <c r="V124" s="24"/>
      <c r="W124" s="24"/>
      <c r="X124" s="24"/>
      <c r="Y124" s="24"/>
      <c r="AA124" s="24">
        <v>46086.715173182871</v>
      </c>
      <c r="AB124" s="24">
        <v>46086.715173182871</v>
      </c>
      <c r="AC124" s="24">
        <v>46090.417204965277</v>
      </c>
      <c r="AD124" s="24">
        <v>46090.417204965277</v>
      </c>
      <c r="AE124">
        <v>1</v>
      </c>
      <c r="AF124" s="24"/>
      <c r="AG124" s="24"/>
      <c r="AH124" s="24"/>
      <c r="AI124" s="24"/>
      <c r="AK124" s="24"/>
      <c r="AL124" s="24"/>
      <c r="AM124" s="24"/>
      <c r="AN124" s="24"/>
      <c r="AP124" s="24"/>
      <c r="AQ124" s="24"/>
      <c r="AR124" s="24">
        <v>46085.322696493058</v>
      </c>
      <c r="AS124" s="24">
        <v>46085.322696493058</v>
      </c>
      <c r="AX124" s="24"/>
      <c r="AY124" s="24"/>
      <c r="AZ124" s="24"/>
      <c r="BA124" s="24"/>
      <c r="BC124" s="24"/>
      <c r="BD124" s="24"/>
      <c r="BE124" s="24"/>
      <c r="BF124" s="24"/>
      <c r="BH124" s="24">
        <v>46085.322696493058</v>
      </c>
      <c r="BI124" s="24">
        <v>46085.322696493058</v>
      </c>
      <c r="BJ124" s="24">
        <v>46086.715173182871</v>
      </c>
      <c r="BK124" s="24">
        <v>46086.715173182871</v>
      </c>
      <c r="BL124">
        <v>1</v>
      </c>
      <c r="BM124" s="24"/>
      <c r="BN124" s="24"/>
      <c r="BO124" s="24"/>
      <c r="BP124" s="24"/>
      <c r="BR124" s="24">
        <v>46090.417204965277</v>
      </c>
      <c r="BS124" s="24">
        <v>46090.417204965277</v>
      </c>
      <c r="BT124" s="24">
        <v>46090.417265046293</v>
      </c>
      <c r="BU124" s="24">
        <v>46090.417265046293</v>
      </c>
      <c r="BV124">
        <v>1</v>
      </c>
      <c r="BW124" s="24"/>
      <c r="BX124" s="24"/>
      <c r="BY124" s="24"/>
      <c r="BZ124" s="24"/>
      <c r="CB124" s="24"/>
      <c r="CC124" s="24"/>
      <c r="CE124" s="24">
        <v>46090.417265046293</v>
      </c>
      <c r="CF124" s="24">
        <v>46090.417265046293</v>
      </c>
      <c r="CG124">
        <v>1</v>
      </c>
      <c r="CH124" s="24"/>
      <c r="CI124" s="24"/>
      <c r="CJ124" s="24"/>
      <c r="CK124" s="24"/>
      <c r="DE124" s="24"/>
      <c r="DF124" s="24"/>
      <c r="DG124" s="24"/>
      <c r="DH124" s="24"/>
      <c r="DJ124" t="s">
        <v>149</v>
      </c>
      <c r="DK124" t="s">
        <v>149</v>
      </c>
      <c r="DM124">
        <v>6</v>
      </c>
      <c r="DN124">
        <v>4</v>
      </c>
      <c r="DQ124" t="s">
        <v>1000</v>
      </c>
      <c r="DR124" t="s">
        <v>149</v>
      </c>
      <c r="DS124" s="24">
        <v>46160.384426226854</v>
      </c>
    </row>
    <row r="125" spans="1:123" x14ac:dyDescent="0.3">
      <c r="A125" t="s">
        <v>383</v>
      </c>
      <c r="D125" t="s">
        <v>223</v>
      </c>
      <c r="E125" s="24">
        <v>46083.587048611109</v>
      </c>
      <c r="G125" t="s">
        <v>90</v>
      </c>
      <c r="H125" t="s">
        <v>155</v>
      </c>
      <c r="I125" s="24"/>
      <c r="J125" s="24"/>
      <c r="K125" s="24"/>
      <c r="L125" s="24"/>
      <c r="N125" s="24"/>
      <c r="O125" s="24"/>
      <c r="P125" s="24"/>
      <c r="Q125" s="24"/>
      <c r="V125" s="24"/>
      <c r="W125" s="24"/>
      <c r="X125" s="24"/>
      <c r="Y125" s="24"/>
      <c r="AA125" s="24">
        <v>46099.404176157404</v>
      </c>
      <c r="AB125" s="24">
        <v>46099.404176157404</v>
      </c>
      <c r="AC125" s="24">
        <v>46105.40571431713</v>
      </c>
      <c r="AD125" s="24">
        <v>46105.40571431713</v>
      </c>
      <c r="AE125">
        <v>1</v>
      </c>
      <c r="AF125" s="24"/>
      <c r="AG125" s="24"/>
      <c r="AH125" s="24"/>
      <c r="AI125" s="24"/>
      <c r="AK125" s="24"/>
      <c r="AL125" s="24"/>
      <c r="AM125" s="24"/>
      <c r="AN125" s="24"/>
      <c r="AP125" s="24"/>
      <c r="AQ125" s="24"/>
      <c r="AR125" s="24">
        <v>46098.566200393521</v>
      </c>
      <c r="AS125" s="24">
        <v>46098.566200393521</v>
      </c>
      <c r="AX125" s="24"/>
      <c r="AY125" s="24"/>
      <c r="AZ125" s="24"/>
      <c r="BA125" s="24"/>
      <c r="BC125" s="24"/>
      <c r="BD125" s="24"/>
      <c r="BE125" s="24"/>
      <c r="BF125" s="24"/>
      <c r="BH125" s="24">
        <v>46098.566200393521</v>
      </c>
      <c r="BI125" s="24">
        <v>46098.566200393521</v>
      </c>
      <c r="BJ125" s="24">
        <v>46099.404176157404</v>
      </c>
      <c r="BK125" s="24">
        <v>46099.404176157404</v>
      </c>
      <c r="BL125">
        <v>1</v>
      </c>
      <c r="BM125" s="24"/>
      <c r="BN125" s="24"/>
      <c r="BO125" s="24"/>
      <c r="BP125" s="24"/>
      <c r="BR125" s="24"/>
      <c r="BS125" s="24"/>
      <c r="BT125" s="24"/>
      <c r="BU125" s="24"/>
      <c r="BW125" s="24"/>
      <c r="BX125" s="24"/>
      <c r="BY125" s="24"/>
      <c r="BZ125" s="24"/>
      <c r="CB125" s="24"/>
      <c r="CC125" s="24"/>
      <c r="CE125" s="24">
        <v>46105.40571431713</v>
      </c>
      <c r="CF125" s="24">
        <v>46105.40571431713</v>
      </c>
      <c r="CG125">
        <v>1</v>
      </c>
      <c r="CH125" s="24"/>
      <c r="CI125" s="24"/>
      <c r="CJ125" s="24"/>
      <c r="CK125" s="24"/>
      <c r="DE125" s="24"/>
      <c r="DF125" s="24"/>
      <c r="DG125" s="24"/>
      <c r="DH125" s="24"/>
      <c r="DJ125" t="s">
        <v>149</v>
      </c>
      <c r="DK125" t="s">
        <v>149</v>
      </c>
      <c r="DM125">
        <v>7</v>
      </c>
      <c r="DN125">
        <v>7</v>
      </c>
      <c r="DQ125" t="s">
        <v>1000</v>
      </c>
      <c r="DR125" t="s">
        <v>149</v>
      </c>
      <c r="DS125" s="24">
        <v>46160.384426226854</v>
      </c>
    </row>
    <row r="126" spans="1:123" x14ac:dyDescent="0.3">
      <c r="A126" t="s">
        <v>384</v>
      </c>
      <c r="D126" t="s">
        <v>225</v>
      </c>
      <c r="E126" s="24">
        <v>46083.454710648148</v>
      </c>
      <c r="G126" t="s">
        <v>102</v>
      </c>
      <c r="H126" t="s">
        <v>154</v>
      </c>
      <c r="I126" s="24"/>
      <c r="J126" s="24"/>
      <c r="K126" s="24"/>
      <c r="L126" s="24"/>
      <c r="N126" s="24"/>
      <c r="O126" s="24"/>
      <c r="P126" s="24"/>
      <c r="Q126" s="24"/>
      <c r="V126" s="24"/>
      <c r="W126" s="24"/>
      <c r="X126" s="24"/>
      <c r="Y126" s="24"/>
      <c r="AA126" s="24"/>
      <c r="AB126" s="24"/>
      <c r="AC126" s="24"/>
      <c r="AD126" s="24"/>
      <c r="AF126" s="24"/>
      <c r="AG126" s="24"/>
      <c r="AH126" s="24"/>
      <c r="AI126" s="24"/>
      <c r="AK126" s="24"/>
      <c r="AL126" s="24"/>
      <c r="AM126" s="24"/>
      <c r="AN126" s="24"/>
      <c r="AP126" s="24"/>
      <c r="AQ126" s="24"/>
      <c r="AR126" s="24"/>
      <c r="AS126" s="24"/>
      <c r="AX126" s="24"/>
      <c r="AY126" s="24"/>
      <c r="AZ126" s="24"/>
      <c r="BA126" s="24"/>
      <c r="BC126" s="24"/>
      <c r="BD126" s="24"/>
      <c r="BE126" s="24"/>
      <c r="BF126" s="24"/>
      <c r="BH126" s="24"/>
      <c r="BI126" s="24"/>
      <c r="BJ126" s="24"/>
      <c r="BK126" s="24"/>
      <c r="BM126" s="24"/>
      <c r="BN126" s="24"/>
      <c r="BO126" s="24"/>
      <c r="BP126" s="24"/>
      <c r="BR126" s="24"/>
      <c r="BS126" s="24"/>
      <c r="BT126" s="24"/>
      <c r="BU126" s="24"/>
      <c r="BW126" s="24"/>
      <c r="BX126" s="24"/>
      <c r="BY126" s="24"/>
      <c r="BZ126" s="24"/>
      <c r="CB126" s="24"/>
      <c r="CC126" s="24"/>
      <c r="CE126" s="24"/>
      <c r="CF126" s="24"/>
      <c r="CH126" s="24"/>
      <c r="CI126" s="24"/>
      <c r="CJ126" s="24"/>
      <c r="CK126" s="24"/>
      <c r="DE126" s="24"/>
      <c r="DF126" s="24"/>
      <c r="DG126" s="24"/>
      <c r="DH126" s="24"/>
      <c r="DJ126" t="s">
        <v>149</v>
      </c>
      <c r="DK126" t="s">
        <v>149</v>
      </c>
      <c r="DQ126" t="s">
        <v>1000</v>
      </c>
      <c r="DR126" t="s">
        <v>149</v>
      </c>
      <c r="DS126" s="24">
        <v>46160.384426226854</v>
      </c>
    </row>
    <row r="127" spans="1:123" x14ac:dyDescent="0.3">
      <c r="A127" t="s">
        <v>385</v>
      </c>
      <c r="D127" t="s">
        <v>223</v>
      </c>
      <c r="E127" s="24">
        <v>46083.454398148147</v>
      </c>
      <c r="G127" t="s">
        <v>107</v>
      </c>
      <c r="H127" t="s">
        <v>154</v>
      </c>
      <c r="I127" s="24"/>
      <c r="J127" s="24"/>
      <c r="K127" s="24"/>
      <c r="L127" s="24"/>
      <c r="N127" s="24"/>
      <c r="O127" s="24"/>
      <c r="P127" s="24"/>
      <c r="Q127" s="24"/>
      <c r="V127" s="24"/>
      <c r="W127" s="24"/>
      <c r="X127" s="24"/>
      <c r="Y127" s="24"/>
      <c r="AA127" s="24"/>
      <c r="AB127" s="24"/>
      <c r="AC127" s="24"/>
      <c r="AD127" s="24"/>
      <c r="AF127" s="24"/>
      <c r="AG127" s="24"/>
      <c r="AH127" s="24"/>
      <c r="AI127" s="24"/>
      <c r="AK127" s="24"/>
      <c r="AL127" s="24"/>
      <c r="AM127" s="24"/>
      <c r="AN127" s="24"/>
      <c r="AP127" s="24"/>
      <c r="AQ127" s="24"/>
      <c r="AR127" s="24">
        <v>46098.566043865743</v>
      </c>
      <c r="AS127" s="24">
        <v>46098.566043865743</v>
      </c>
      <c r="AX127" s="24"/>
      <c r="AY127" s="24"/>
      <c r="AZ127" s="24"/>
      <c r="BA127" s="24"/>
      <c r="BC127" s="24"/>
      <c r="BD127" s="24"/>
      <c r="BE127" s="24"/>
      <c r="BF127" s="24"/>
      <c r="BH127" s="24">
        <v>46098.566043865743</v>
      </c>
      <c r="BI127" s="24">
        <v>46098.566043865743</v>
      </c>
      <c r="BJ127" s="24"/>
      <c r="BK127" s="24"/>
      <c r="BL127">
        <v>1</v>
      </c>
      <c r="BM127" s="24"/>
      <c r="BN127" s="24"/>
      <c r="BO127" s="24"/>
      <c r="BP127" s="24"/>
      <c r="BR127" s="24"/>
      <c r="BS127" s="24"/>
      <c r="BT127" s="24"/>
      <c r="BU127" s="24"/>
      <c r="BW127" s="24"/>
      <c r="BX127" s="24"/>
      <c r="BY127" s="24"/>
      <c r="BZ127" s="24"/>
      <c r="CB127" s="24"/>
      <c r="CC127" s="24"/>
      <c r="CE127" s="24"/>
      <c r="CF127" s="24"/>
      <c r="CH127" s="24"/>
      <c r="CI127" s="24"/>
      <c r="CJ127" s="24"/>
      <c r="CK127" s="24"/>
      <c r="DE127" s="24"/>
      <c r="DF127" s="24"/>
      <c r="DG127" s="24"/>
      <c r="DH127" s="24"/>
      <c r="DJ127" t="s">
        <v>149</v>
      </c>
      <c r="DK127" t="s">
        <v>149</v>
      </c>
      <c r="DP127">
        <v>62</v>
      </c>
      <c r="DQ127" t="s">
        <v>1000</v>
      </c>
      <c r="DR127" t="s">
        <v>149</v>
      </c>
      <c r="DS127" s="24">
        <v>46160.384426226854</v>
      </c>
    </row>
    <row r="128" spans="1:123" x14ac:dyDescent="0.3">
      <c r="A128" t="s">
        <v>263</v>
      </c>
      <c r="D128" t="s">
        <v>225</v>
      </c>
      <c r="E128" s="24">
        <v>46083.443391203706</v>
      </c>
      <c r="G128" t="s">
        <v>90</v>
      </c>
      <c r="H128" t="s">
        <v>155</v>
      </c>
      <c r="I128" s="24"/>
      <c r="J128" s="24"/>
      <c r="K128" s="24"/>
      <c r="L128" s="24"/>
      <c r="N128" s="24">
        <v>46094.409353263887</v>
      </c>
      <c r="O128" s="24">
        <v>46094.409353263887</v>
      </c>
      <c r="P128" s="24">
        <v>46100.60796494213</v>
      </c>
      <c r="Q128" s="24">
        <v>46100.60796494213</v>
      </c>
      <c r="R128">
        <v>1</v>
      </c>
      <c r="V128" s="24"/>
      <c r="W128" s="24"/>
      <c r="X128" s="24"/>
      <c r="Y128" s="24"/>
      <c r="AA128" s="24">
        <v>46100.60796494213</v>
      </c>
      <c r="AB128" s="24">
        <v>46090.644603622684</v>
      </c>
      <c r="AC128" s="24">
        <v>46094.409353263887</v>
      </c>
      <c r="AD128" s="24">
        <v>46100.608021041669</v>
      </c>
      <c r="AE128">
        <v>2</v>
      </c>
      <c r="AF128" s="24">
        <v>46100.608021041669</v>
      </c>
      <c r="AG128" s="24">
        <v>46100.608021041669</v>
      </c>
      <c r="AH128" s="24">
        <v>46101.490958645831</v>
      </c>
      <c r="AI128" s="24">
        <v>46101.490958645831</v>
      </c>
      <c r="AJ128">
        <v>1</v>
      </c>
      <c r="AK128" s="24">
        <v>46101.490958645831</v>
      </c>
      <c r="AL128" s="24">
        <v>46101.490958645831</v>
      </c>
      <c r="AM128" s="24">
        <v>46104.407534247686</v>
      </c>
      <c r="AN128" s="24">
        <v>46104.407534247686</v>
      </c>
      <c r="AO128">
        <v>1</v>
      </c>
      <c r="AP128" s="24"/>
      <c r="AQ128" s="24"/>
      <c r="AR128" s="24">
        <v>46085.321883958335</v>
      </c>
      <c r="AS128" s="24">
        <v>46085.321883958335</v>
      </c>
      <c r="AX128" s="24"/>
      <c r="AY128" s="24"/>
      <c r="AZ128" s="24"/>
      <c r="BA128" s="24"/>
      <c r="BC128" s="24">
        <v>46104.407633958333</v>
      </c>
      <c r="BD128" s="24">
        <v>46104.407633958333</v>
      </c>
      <c r="BE128" s="24">
        <v>46113.575844085652</v>
      </c>
      <c r="BF128" s="24">
        <v>46113.575844085652</v>
      </c>
      <c r="BG128">
        <v>1</v>
      </c>
      <c r="BH128" s="24">
        <v>46085.321883958335</v>
      </c>
      <c r="BI128" s="24">
        <v>46085.321883958335</v>
      </c>
      <c r="BJ128" s="24">
        <v>46090.644603622684</v>
      </c>
      <c r="BK128" s="24">
        <v>46090.644603622684</v>
      </c>
      <c r="BL128">
        <v>1</v>
      </c>
      <c r="BM128" s="24"/>
      <c r="BN128" s="24"/>
      <c r="BO128" s="24"/>
      <c r="BP128" s="24"/>
      <c r="BR128" s="24">
        <v>46104.407534247686</v>
      </c>
      <c r="BS128" s="24">
        <v>46104.407534247686</v>
      </c>
      <c r="BT128" s="24">
        <v>46104.407633958333</v>
      </c>
      <c r="BU128" s="24">
        <v>46104.407633958333</v>
      </c>
      <c r="BV128">
        <v>1</v>
      </c>
      <c r="BW128" s="24"/>
      <c r="BX128" s="24"/>
      <c r="BY128" s="24"/>
      <c r="BZ128" s="24"/>
      <c r="CB128" s="24"/>
      <c r="CC128" s="24"/>
      <c r="CE128" s="24">
        <v>46113.575844085652</v>
      </c>
      <c r="CF128" s="24">
        <v>46113.575844085652</v>
      </c>
      <c r="CG128">
        <v>1</v>
      </c>
      <c r="CH128" s="24"/>
      <c r="CI128" s="24"/>
      <c r="CJ128" s="24"/>
      <c r="CK128" s="24"/>
      <c r="DE128" s="24"/>
      <c r="DF128" s="24"/>
      <c r="DG128" s="24"/>
      <c r="DH128" s="24"/>
      <c r="DJ128" t="s">
        <v>149</v>
      </c>
      <c r="DK128" t="s">
        <v>149</v>
      </c>
      <c r="DL128">
        <v>6.1986115740740741</v>
      </c>
      <c r="DM128">
        <v>29</v>
      </c>
      <c r="DN128">
        <v>23</v>
      </c>
      <c r="DQ128" t="s">
        <v>1000</v>
      </c>
      <c r="DR128" t="s">
        <v>149</v>
      </c>
      <c r="DS128" s="24">
        <v>46160.384426226854</v>
      </c>
    </row>
    <row r="129" spans="1:123" x14ac:dyDescent="0.3">
      <c r="A129" t="s">
        <v>386</v>
      </c>
      <c r="D129" t="s">
        <v>223</v>
      </c>
      <c r="E129" s="24">
        <v>46083.437789351854</v>
      </c>
      <c r="G129" t="s">
        <v>90</v>
      </c>
      <c r="H129" t="s">
        <v>155</v>
      </c>
      <c r="I129" s="24">
        <v>46086.408695393518</v>
      </c>
      <c r="J129" s="24">
        <v>46086.408695393518</v>
      </c>
      <c r="K129" s="24">
        <v>46086.408778807869</v>
      </c>
      <c r="L129" s="24">
        <v>46086.408778807869</v>
      </c>
      <c r="M129">
        <v>1</v>
      </c>
      <c r="N129" s="24"/>
      <c r="O129" s="24"/>
      <c r="P129" s="24"/>
      <c r="Q129" s="24"/>
      <c r="V129" s="24"/>
      <c r="W129" s="24"/>
      <c r="X129" s="24"/>
      <c r="Y129" s="24"/>
      <c r="AA129" s="24">
        <v>46093.54110638889</v>
      </c>
      <c r="AB129" s="24">
        <v>46085.613175034719</v>
      </c>
      <c r="AC129" s="24">
        <v>46086.408695393518</v>
      </c>
      <c r="AD129" s="24">
        <v>46097.752048310183</v>
      </c>
      <c r="AE129">
        <v>2</v>
      </c>
      <c r="AF129" s="24"/>
      <c r="AG129" s="24"/>
      <c r="AH129" s="24"/>
      <c r="AI129" s="24"/>
      <c r="AK129" s="24"/>
      <c r="AL129" s="24"/>
      <c r="AM129" s="24"/>
      <c r="AN129" s="24"/>
      <c r="AP129" s="24"/>
      <c r="AQ129" s="24"/>
      <c r="AR129" s="24">
        <v>46085.322118912038</v>
      </c>
      <c r="AS129" s="24">
        <v>46085.322118912038</v>
      </c>
      <c r="AX129" s="24"/>
      <c r="AY129" s="24"/>
      <c r="AZ129" s="24"/>
      <c r="BA129" s="24"/>
      <c r="BC129" s="24"/>
      <c r="BD129" s="24"/>
      <c r="BE129" s="24"/>
      <c r="BF129" s="24"/>
      <c r="BH129" s="24">
        <v>46086.408778807869</v>
      </c>
      <c r="BI129" s="24">
        <v>46085.322118912038</v>
      </c>
      <c r="BJ129" s="24">
        <v>46085.613175034719</v>
      </c>
      <c r="BK129" s="24">
        <v>46093.54110638889</v>
      </c>
      <c r="BL129">
        <v>2</v>
      </c>
      <c r="BM129" s="24"/>
      <c r="BN129" s="24"/>
      <c r="BO129" s="24"/>
      <c r="BP129" s="24"/>
      <c r="BR129" s="24">
        <v>46097.752048310183</v>
      </c>
      <c r="BS129" s="24">
        <v>46097.752048310183</v>
      </c>
      <c r="BT129" s="24">
        <v>46097.752084479165</v>
      </c>
      <c r="BU129" s="24">
        <v>46097.752084479165</v>
      </c>
      <c r="BV129">
        <v>1</v>
      </c>
      <c r="BW129" s="24"/>
      <c r="BX129" s="24"/>
      <c r="BY129" s="24"/>
      <c r="BZ129" s="24"/>
      <c r="CB129" s="24"/>
      <c r="CC129" s="24"/>
      <c r="CE129" s="24">
        <v>46097.752084479165</v>
      </c>
      <c r="CF129" s="24">
        <v>46097.752084479165</v>
      </c>
      <c r="CG129">
        <v>1</v>
      </c>
      <c r="CH129" s="24"/>
      <c r="CI129" s="24"/>
      <c r="CJ129" s="24"/>
      <c r="CK129" s="24"/>
      <c r="DE129" s="24"/>
      <c r="DF129" s="24"/>
      <c r="DG129" s="24"/>
      <c r="DH129" s="24"/>
      <c r="DJ129" t="s">
        <v>149</v>
      </c>
      <c r="DK129" t="s">
        <v>149</v>
      </c>
      <c r="DM129">
        <v>13</v>
      </c>
      <c r="DN129">
        <v>13</v>
      </c>
      <c r="DQ129" t="s">
        <v>1000</v>
      </c>
      <c r="DR129" t="s">
        <v>149</v>
      </c>
      <c r="DS129" s="24">
        <v>46160.384426226854</v>
      </c>
    </row>
    <row r="130" spans="1:123" x14ac:dyDescent="0.3">
      <c r="A130" t="s">
        <v>387</v>
      </c>
      <c r="D130" t="s">
        <v>223</v>
      </c>
      <c r="E130" s="24">
        <v>46083.415671296294</v>
      </c>
      <c r="G130" t="s">
        <v>90</v>
      </c>
      <c r="H130" t="s">
        <v>155</v>
      </c>
      <c r="I130" s="24"/>
      <c r="J130" s="24"/>
      <c r="K130" s="24"/>
      <c r="L130" s="24"/>
      <c r="N130" s="24"/>
      <c r="O130" s="24"/>
      <c r="P130" s="24"/>
      <c r="Q130" s="24"/>
      <c r="V130" s="24"/>
      <c r="W130" s="24"/>
      <c r="X130" s="24"/>
      <c r="Y130" s="24"/>
      <c r="AA130" s="24">
        <v>46090.444803055558</v>
      </c>
      <c r="AB130" s="24">
        <v>46090.444803055558</v>
      </c>
      <c r="AC130" s="24">
        <v>46098.366439745369</v>
      </c>
      <c r="AD130" s="24">
        <v>46098.366439745369</v>
      </c>
      <c r="AE130">
        <v>1</v>
      </c>
      <c r="AF130" s="24"/>
      <c r="AG130" s="24"/>
      <c r="AH130" s="24"/>
      <c r="AI130" s="24"/>
      <c r="AK130" s="24"/>
      <c r="AL130" s="24"/>
      <c r="AM130" s="24"/>
      <c r="AN130" s="24"/>
      <c r="AP130" s="24"/>
      <c r="AQ130" s="24"/>
      <c r="AR130" s="24">
        <v>46083.663865046299</v>
      </c>
      <c r="AS130" s="24">
        <v>46083.663865046299</v>
      </c>
      <c r="AX130" s="24"/>
      <c r="AY130" s="24"/>
      <c r="AZ130" s="24"/>
      <c r="BA130" s="24"/>
      <c r="BC130" s="24"/>
      <c r="BD130" s="24"/>
      <c r="BE130" s="24"/>
      <c r="BF130" s="24"/>
      <c r="BH130" s="24">
        <v>46083.663865046299</v>
      </c>
      <c r="BI130" s="24">
        <v>46083.663865046299</v>
      </c>
      <c r="BJ130" s="24">
        <v>46090.444803055558</v>
      </c>
      <c r="BK130" s="24">
        <v>46090.444803055558</v>
      </c>
      <c r="BL130">
        <v>1</v>
      </c>
      <c r="BM130" s="24"/>
      <c r="BN130" s="24"/>
      <c r="BO130" s="24"/>
      <c r="BP130" s="24"/>
      <c r="BR130" s="24">
        <v>46098.366439745369</v>
      </c>
      <c r="BS130" s="24">
        <v>46098.366439745369</v>
      </c>
      <c r="BT130" s="24">
        <v>46098.4205515625</v>
      </c>
      <c r="BU130" s="24">
        <v>46098.4205515625</v>
      </c>
      <c r="BV130">
        <v>1</v>
      </c>
      <c r="BW130" s="24"/>
      <c r="BX130" s="24"/>
      <c r="BY130" s="24"/>
      <c r="BZ130" s="24"/>
      <c r="CB130" s="24"/>
      <c r="CC130" s="24"/>
      <c r="CE130" s="24">
        <v>46098.4205515625</v>
      </c>
      <c r="CF130" s="24">
        <v>46098.4205515625</v>
      </c>
      <c r="CG130">
        <v>1</v>
      </c>
      <c r="CH130" s="24"/>
      <c r="CI130" s="24"/>
      <c r="CJ130" s="24"/>
      <c r="CK130" s="24"/>
      <c r="DE130" s="24"/>
      <c r="DF130" s="24"/>
      <c r="DG130" s="24"/>
      <c r="DH130" s="24"/>
      <c r="DJ130" t="s">
        <v>149</v>
      </c>
      <c r="DK130" t="s">
        <v>149</v>
      </c>
      <c r="DM130">
        <v>15</v>
      </c>
      <c r="DN130">
        <v>8</v>
      </c>
      <c r="DQ130" t="s">
        <v>1000</v>
      </c>
      <c r="DR130" t="s">
        <v>149</v>
      </c>
      <c r="DS130" s="24">
        <v>46160.384426226854</v>
      </c>
    </row>
    <row r="131" spans="1:123" x14ac:dyDescent="0.3">
      <c r="A131" t="s">
        <v>388</v>
      </c>
      <c r="D131" t="s">
        <v>223</v>
      </c>
      <c r="E131" s="24">
        <v>46083.391469907408</v>
      </c>
      <c r="G131" t="s">
        <v>90</v>
      </c>
      <c r="H131" t="s">
        <v>155</v>
      </c>
      <c r="I131" s="24"/>
      <c r="J131" s="24"/>
      <c r="K131" s="24"/>
      <c r="L131" s="24"/>
      <c r="N131" s="24"/>
      <c r="O131" s="24"/>
      <c r="P131" s="24"/>
      <c r="Q131" s="24"/>
      <c r="V131" s="24"/>
      <c r="W131" s="24"/>
      <c r="X131" s="24"/>
      <c r="Y131" s="24"/>
      <c r="AA131" s="24">
        <v>46086.40090104167</v>
      </c>
      <c r="AB131" s="24">
        <v>46086.40090104167</v>
      </c>
      <c r="AC131" s="24">
        <v>46098.421499050928</v>
      </c>
      <c r="AD131" s="24">
        <v>46098.421499050928</v>
      </c>
      <c r="AE131">
        <v>1</v>
      </c>
      <c r="AF131" s="24"/>
      <c r="AG131" s="24"/>
      <c r="AH131" s="24"/>
      <c r="AI131" s="24"/>
      <c r="AK131" s="24"/>
      <c r="AL131" s="24"/>
      <c r="AM131" s="24"/>
      <c r="AN131" s="24"/>
      <c r="AP131" s="24"/>
      <c r="AQ131" s="24"/>
      <c r="AR131" s="24">
        <v>46084.540841851849</v>
      </c>
      <c r="AS131" s="24">
        <v>46084.540841851849</v>
      </c>
      <c r="AX131" s="24"/>
      <c r="AY131" s="24"/>
      <c r="AZ131" s="24"/>
      <c r="BA131" s="24"/>
      <c r="BC131" s="24"/>
      <c r="BD131" s="24"/>
      <c r="BE131" s="24"/>
      <c r="BF131" s="24"/>
      <c r="BH131" s="24">
        <v>46084.540841851849</v>
      </c>
      <c r="BI131" s="24">
        <v>46084.540841851849</v>
      </c>
      <c r="BJ131" s="24">
        <v>46086.40090104167</v>
      </c>
      <c r="BK131" s="24">
        <v>46086.40090104167</v>
      </c>
      <c r="BL131">
        <v>1</v>
      </c>
      <c r="BM131" s="24"/>
      <c r="BN131" s="24"/>
      <c r="BO131" s="24"/>
      <c r="BP131" s="24"/>
      <c r="BR131" s="24">
        <v>46098.421499050928</v>
      </c>
      <c r="BS131" s="24">
        <v>46098.421499050928</v>
      </c>
      <c r="BT131" s="24">
        <v>46098.421549282408</v>
      </c>
      <c r="BU131" s="24">
        <v>46098.421549282408</v>
      </c>
      <c r="BV131">
        <v>1</v>
      </c>
      <c r="BW131" s="24"/>
      <c r="BX131" s="24"/>
      <c r="BY131" s="24"/>
      <c r="BZ131" s="24"/>
      <c r="CB131" s="24"/>
      <c r="CC131" s="24"/>
      <c r="CE131" s="24">
        <v>46098.421549282408</v>
      </c>
      <c r="CF131" s="24">
        <v>46098.421549282408</v>
      </c>
      <c r="CG131">
        <v>1</v>
      </c>
      <c r="CH131" s="24"/>
      <c r="CI131" s="24"/>
      <c r="CJ131" s="24"/>
      <c r="CK131" s="24"/>
      <c r="DE131" s="24"/>
      <c r="DF131" s="24"/>
      <c r="DG131" s="24"/>
      <c r="DH131" s="24"/>
      <c r="DJ131" t="s">
        <v>149</v>
      </c>
      <c r="DK131" t="s">
        <v>149</v>
      </c>
      <c r="DM131">
        <v>14</v>
      </c>
      <c r="DN131">
        <v>13</v>
      </c>
      <c r="DQ131" t="s">
        <v>1000</v>
      </c>
      <c r="DR131" t="s">
        <v>149</v>
      </c>
      <c r="DS131" s="24">
        <v>46160.384426226854</v>
      </c>
    </row>
    <row r="132" spans="1:123" x14ac:dyDescent="0.3">
      <c r="A132" t="s">
        <v>389</v>
      </c>
      <c r="D132" t="s">
        <v>223</v>
      </c>
      <c r="E132" s="24">
        <v>46080.362407407411</v>
      </c>
      <c r="G132" t="s">
        <v>150</v>
      </c>
      <c r="H132" t="s">
        <v>155</v>
      </c>
      <c r="I132" s="24"/>
      <c r="J132" s="24"/>
      <c r="K132" s="24"/>
      <c r="L132" s="24"/>
      <c r="N132" s="24"/>
      <c r="O132" s="24"/>
      <c r="P132" s="24"/>
      <c r="Q132" s="24"/>
      <c r="V132" s="24"/>
      <c r="W132" s="24"/>
      <c r="X132" s="24"/>
      <c r="Y132" s="24"/>
      <c r="AA132" s="24"/>
      <c r="AB132" s="24"/>
      <c r="AC132" s="24"/>
      <c r="AD132" s="24"/>
      <c r="AF132" s="24"/>
      <c r="AG132" s="24"/>
      <c r="AH132" s="24"/>
      <c r="AI132" s="24"/>
      <c r="AK132" s="24"/>
      <c r="AL132" s="24"/>
      <c r="AM132" s="24"/>
      <c r="AN132" s="24"/>
      <c r="AP132" s="24"/>
      <c r="AQ132" s="24"/>
      <c r="AR132" s="24">
        <v>46119.466152442132</v>
      </c>
      <c r="AS132" s="24">
        <v>46119.466152442132</v>
      </c>
      <c r="AX132" s="24"/>
      <c r="AY132" s="24"/>
      <c r="AZ132" s="24"/>
      <c r="BA132" s="24"/>
      <c r="BC132" s="24"/>
      <c r="BD132" s="24"/>
      <c r="BE132" s="24"/>
      <c r="BF132" s="24"/>
      <c r="BH132" s="24"/>
      <c r="BI132" s="24"/>
      <c r="BJ132" s="24"/>
      <c r="BK132" s="24"/>
      <c r="BM132" s="24"/>
      <c r="BN132" s="24"/>
      <c r="BO132" s="24"/>
      <c r="BP132" s="24"/>
      <c r="BR132" s="24"/>
      <c r="BS132" s="24"/>
      <c r="BT132" s="24"/>
      <c r="BU132" s="24"/>
      <c r="BW132" s="24"/>
      <c r="BX132" s="24"/>
      <c r="BY132" s="24"/>
      <c r="BZ132" s="24"/>
      <c r="CB132" s="24">
        <v>46119.466152442132</v>
      </c>
      <c r="CC132" s="24">
        <v>46119.466152442132</v>
      </c>
      <c r="CD132">
        <v>1</v>
      </c>
      <c r="CE132" s="24"/>
      <c r="CF132" s="24"/>
      <c r="CH132" s="24"/>
      <c r="CI132" s="24"/>
      <c r="CJ132" s="24"/>
      <c r="CK132" s="24"/>
      <c r="DE132" s="24"/>
      <c r="DF132" s="24"/>
      <c r="DG132" s="24"/>
      <c r="DH132" s="24"/>
      <c r="DJ132" t="s">
        <v>149</v>
      </c>
      <c r="DK132" t="s">
        <v>149</v>
      </c>
      <c r="DQ132" t="s">
        <v>1000</v>
      </c>
      <c r="DR132" t="s">
        <v>149</v>
      </c>
      <c r="DS132" s="24">
        <v>46160.384426226854</v>
      </c>
    </row>
    <row r="133" spans="1:123" x14ac:dyDescent="0.3">
      <c r="A133" t="s">
        <v>390</v>
      </c>
      <c r="D133" t="s">
        <v>223</v>
      </c>
      <c r="E133" s="24">
        <v>46080.359259259261</v>
      </c>
      <c r="G133" t="s">
        <v>102</v>
      </c>
      <c r="H133" t="s">
        <v>154</v>
      </c>
      <c r="I133" s="24"/>
      <c r="J133" s="24"/>
      <c r="K133" s="24"/>
      <c r="L133" s="24"/>
      <c r="N133" s="24"/>
      <c r="O133" s="24"/>
      <c r="P133" s="24"/>
      <c r="Q133" s="24"/>
      <c r="V133" s="24"/>
      <c r="W133" s="24"/>
      <c r="X133" s="24"/>
      <c r="Y133" s="24"/>
      <c r="AA133" s="24"/>
      <c r="AB133" s="24"/>
      <c r="AC133" s="24"/>
      <c r="AD133" s="24"/>
      <c r="AF133" s="24"/>
      <c r="AG133" s="24"/>
      <c r="AH133" s="24"/>
      <c r="AI133" s="24"/>
      <c r="AK133" s="24"/>
      <c r="AL133" s="24"/>
      <c r="AM133" s="24"/>
      <c r="AN133" s="24"/>
      <c r="AP133" s="24"/>
      <c r="AQ133" s="24"/>
      <c r="AR133" s="24"/>
      <c r="AS133" s="24"/>
      <c r="AX133" s="24"/>
      <c r="AY133" s="24"/>
      <c r="AZ133" s="24"/>
      <c r="BA133" s="24"/>
      <c r="BC133" s="24"/>
      <c r="BD133" s="24"/>
      <c r="BE133" s="24"/>
      <c r="BF133" s="24"/>
      <c r="BH133" s="24"/>
      <c r="BI133" s="24"/>
      <c r="BJ133" s="24"/>
      <c r="BK133" s="24"/>
      <c r="BM133" s="24"/>
      <c r="BN133" s="24"/>
      <c r="BO133" s="24"/>
      <c r="BP133" s="24"/>
      <c r="BR133" s="24"/>
      <c r="BS133" s="24"/>
      <c r="BT133" s="24"/>
      <c r="BU133" s="24"/>
      <c r="BW133" s="24"/>
      <c r="BX133" s="24"/>
      <c r="BY133" s="24"/>
      <c r="BZ133" s="24"/>
      <c r="CB133" s="24"/>
      <c r="CC133" s="24"/>
      <c r="CE133" s="24"/>
      <c r="CF133" s="24"/>
      <c r="CH133" s="24"/>
      <c r="CI133" s="24"/>
      <c r="CJ133" s="24"/>
      <c r="CK133" s="24"/>
      <c r="DE133" s="24"/>
      <c r="DF133" s="24"/>
      <c r="DG133" s="24"/>
      <c r="DH133" s="24"/>
      <c r="DJ133" t="s">
        <v>149</v>
      </c>
      <c r="DK133" t="s">
        <v>149</v>
      </c>
      <c r="DQ133" t="s">
        <v>1000</v>
      </c>
      <c r="DR133" t="s">
        <v>149</v>
      </c>
      <c r="DS133" s="24">
        <v>46160.384426226854</v>
      </c>
    </row>
    <row r="134" spans="1:123" x14ac:dyDescent="0.3">
      <c r="A134" t="s">
        <v>391</v>
      </c>
      <c r="D134" t="s">
        <v>223</v>
      </c>
      <c r="E134" s="24">
        <v>46079.374895833331</v>
      </c>
      <c r="G134" t="s">
        <v>90</v>
      </c>
      <c r="H134" t="s">
        <v>155</v>
      </c>
      <c r="I134" s="24"/>
      <c r="J134" s="24"/>
      <c r="K134" s="24"/>
      <c r="L134" s="24"/>
      <c r="N134" s="24"/>
      <c r="O134" s="24"/>
      <c r="P134" s="24"/>
      <c r="Q134" s="24"/>
      <c r="V134" s="24"/>
      <c r="W134" s="24"/>
      <c r="X134" s="24"/>
      <c r="Y134" s="24"/>
      <c r="AA134" s="24">
        <v>46079.508836550929</v>
      </c>
      <c r="AB134" s="24">
        <v>46079.508836550929</v>
      </c>
      <c r="AC134" s="24">
        <v>46079.509947719911</v>
      </c>
      <c r="AD134" s="24">
        <v>46079.509947719911</v>
      </c>
      <c r="AE134">
        <v>1</v>
      </c>
      <c r="AF134" s="24">
        <v>46079.509947719911</v>
      </c>
      <c r="AG134" s="24">
        <v>46079.509947719911</v>
      </c>
      <c r="AH134" s="24">
        <v>46079.509994479165</v>
      </c>
      <c r="AI134" s="24">
        <v>46079.509994479165</v>
      </c>
      <c r="AJ134">
        <v>1</v>
      </c>
      <c r="AK134" s="24"/>
      <c r="AL134" s="24"/>
      <c r="AM134" s="24"/>
      <c r="AN134" s="24"/>
      <c r="AP134" s="24"/>
      <c r="AQ134" s="24"/>
      <c r="AR134" s="24">
        <v>46079.501142013891</v>
      </c>
      <c r="AS134" s="24">
        <v>46079.501142013891</v>
      </c>
      <c r="AX134" s="24"/>
      <c r="AY134" s="24"/>
      <c r="AZ134" s="24"/>
      <c r="BA134" s="24"/>
      <c r="BC134" s="24"/>
      <c r="BD134" s="24"/>
      <c r="BE134" s="24"/>
      <c r="BF134" s="24"/>
      <c r="BH134" s="24">
        <v>46079.501142013891</v>
      </c>
      <c r="BI134" s="24">
        <v>46079.501142013891</v>
      </c>
      <c r="BJ134" s="24">
        <v>46079.508836550929</v>
      </c>
      <c r="BK134" s="24">
        <v>46079.508836550929</v>
      </c>
      <c r="BL134">
        <v>1</v>
      </c>
      <c r="BM134" s="24"/>
      <c r="BN134" s="24"/>
      <c r="BO134" s="24"/>
      <c r="BP134" s="24"/>
      <c r="BR134" s="24">
        <v>46079.509994479165</v>
      </c>
      <c r="BS134" s="24">
        <v>46079.509994479165</v>
      </c>
      <c r="BT134" s="24">
        <v>46080.405814247686</v>
      </c>
      <c r="BU134" s="24">
        <v>46080.405814247686</v>
      </c>
      <c r="BV134">
        <v>1</v>
      </c>
      <c r="BW134" s="24"/>
      <c r="BX134" s="24"/>
      <c r="BY134" s="24"/>
      <c r="BZ134" s="24"/>
      <c r="CB134" s="24"/>
      <c r="CC134" s="24"/>
      <c r="CE134" s="24">
        <v>46080.405814247686</v>
      </c>
      <c r="CF134" s="24">
        <v>46080.405814247686</v>
      </c>
      <c r="CG134">
        <v>1</v>
      </c>
      <c r="CH134" s="24"/>
      <c r="CI134" s="24"/>
      <c r="CJ134" s="24"/>
      <c r="CK134" s="24"/>
      <c r="DE134" s="24"/>
      <c r="DF134" s="24"/>
      <c r="DG134" s="24"/>
      <c r="DH134" s="24"/>
      <c r="DJ134" t="s">
        <v>149</v>
      </c>
      <c r="DK134" t="s">
        <v>149</v>
      </c>
      <c r="DM134">
        <v>1</v>
      </c>
      <c r="DN134">
        <v>1</v>
      </c>
      <c r="DQ134" t="s">
        <v>1000</v>
      </c>
      <c r="DR134" t="s">
        <v>149</v>
      </c>
      <c r="DS134" s="24">
        <v>46160.384426226854</v>
      </c>
    </row>
    <row r="135" spans="1:123" x14ac:dyDescent="0.3">
      <c r="A135" t="s">
        <v>392</v>
      </c>
      <c r="D135" t="s">
        <v>223</v>
      </c>
      <c r="E135" s="24">
        <v>46078.741562499999</v>
      </c>
      <c r="G135" t="s">
        <v>90</v>
      </c>
      <c r="H135" t="s">
        <v>155</v>
      </c>
      <c r="I135" s="24"/>
      <c r="J135" s="24"/>
      <c r="K135" s="24"/>
      <c r="L135" s="24"/>
      <c r="N135" s="24"/>
      <c r="O135" s="24"/>
      <c r="P135" s="24"/>
      <c r="Q135" s="24"/>
      <c r="V135" s="24"/>
      <c r="W135" s="24"/>
      <c r="X135" s="24"/>
      <c r="Y135" s="24"/>
      <c r="AA135" s="24">
        <v>46094.35013111111</v>
      </c>
      <c r="AB135" s="24">
        <v>46094.35013111111</v>
      </c>
      <c r="AC135" s="24">
        <v>46094.478580011571</v>
      </c>
      <c r="AD135" s="24">
        <v>46094.478580011571</v>
      </c>
      <c r="AE135">
        <v>1</v>
      </c>
      <c r="AF135" s="24">
        <v>46094.478580011571</v>
      </c>
      <c r="AG135" s="24">
        <v>46094.478580011571</v>
      </c>
      <c r="AH135" s="24">
        <v>46094.49986822917</v>
      </c>
      <c r="AI135" s="24">
        <v>46094.49986822917</v>
      </c>
      <c r="AJ135">
        <v>1</v>
      </c>
      <c r="AK135" s="24"/>
      <c r="AL135" s="24"/>
      <c r="AM135" s="24"/>
      <c r="AN135" s="24"/>
      <c r="AP135" s="24"/>
      <c r="AQ135" s="24"/>
      <c r="AR135" s="24">
        <v>46085.322451122687</v>
      </c>
      <c r="AS135" s="24">
        <v>46085.322451122687</v>
      </c>
      <c r="AX135" s="24"/>
      <c r="AY135" s="24"/>
      <c r="AZ135" s="24"/>
      <c r="BA135" s="24"/>
      <c r="BC135" s="24"/>
      <c r="BD135" s="24"/>
      <c r="BE135" s="24"/>
      <c r="BF135" s="24"/>
      <c r="BH135" s="24">
        <v>46085.322451122687</v>
      </c>
      <c r="BI135" s="24">
        <v>46085.322451122687</v>
      </c>
      <c r="BJ135" s="24">
        <v>46094.35013111111</v>
      </c>
      <c r="BK135" s="24">
        <v>46094.35013111111</v>
      </c>
      <c r="BL135">
        <v>1</v>
      </c>
      <c r="BM135" s="24"/>
      <c r="BN135" s="24"/>
      <c r="BO135" s="24"/>
      <c r="BP135" s="24"/>
      <c r="BR135" s="24">
        <v>46094.49986822917</v>
      </c>
      <c r="BS135" s="24">
        <v>46094.49986822917</v>
      </c>
      <c r="BT135" s="24">
        <v>46097.405409895837</v>
      </c>
      <c r="BU135" s="24">
        <v>46097.405409895837</v>
      </c>
      <c r="BV135">
        <v>1</v>
      </c>
      <c r="BW135" s="24"/>
      <c r="BX135" s="24"/>
      <c r="BY135" s="24"/>
      <c r="BZ135" s="24"/>
      <c r="CB135" s="24"/>
      <c r="CC135" s="24"/>
      <c r="CE135" s="24">
        <v>46097.405409895837</v>
      </c>
      <c r="CF135" s="24">
        <v>46097.405409895837</v>
      </c>
      <c r="CG135">
        <v>1</v>
      </c>
      <c r="CH135" s="24"/>
      <c r="CI135" s="24"/>
      <c r="CJ135" s="24"/>
      <c r="CK135" s="24"/>
      <c r="DE135" s="24"/>
      <c r="DF135" s="24"/>
      <c r="DG135" s="24"/>
      <c r="DH135" s="24"/>
      <c r="DJ135" t="s">
        <v>149</v>
      </c>
      <c r="DK135" t="s">
        <v>149</v>
      </c>
      <c r="DM135">
        <v>13</v>
      </c>
      <c r="DN135">
        <v>4</v>
      </c>
      <c r="DQ135" t="s">
        <v>1000</v>
      </c>
      <c r="DR135" t="s">
        <v>149</v>
      </c>
      <c r="DS135" s="24">
        <v>46160.384426226854</v>
      </c>
    </row>
    <row r="136" spans="1:123" x14ac:dyDescent="0.3">
      <c r="A136" t="s">
        <v>393</v>
      </c>
      <c r="D136" t="s">
        <v>223</v>
      </c>
      <c r="E136" s="24">
        <v>46078.698055555556</v>
      </c>
      <c r="G136" t="s">
        <v>90</v>
      </c>
      <c r="H136" t="s">
        <v>155</v>
      </c>
      <c r="I136" s="24"/>
      <c r="J136" s="24"/>
      <c r="K136" s="24"/>
      <c r="L136" s="24"/>
      <c r="N136" s="24"/>
      <c r="O136" s="24"/>
      <c r="P136" s="24"/>
      <c r="Q136" s="24"/>
      <c r="V136" s="24"/>
      <c r="W136" s="24"/>
      <c r="X136" s="24"/>
      <c r="Y136" s="24"/>
      <c r="AA136" s="24">
        <v>46078.716323483794</v>
      </c>
      <c r="AB136" s="24">
        <v>46078.716323483794</v>
      </c>
      <c r="AC136" s="24">
        <v>46079.740960925927</v>
      </c>
      <c r="AD136" s="24">
        <v>46079.740960925927</v>
      </c>
      <c r="AE136">
        <v>1</v>
      </c>
      <c r="AF136" s="24">
        <v>46079.740960925927</v>
      </c>
      <c r="AG136" s="24">
        <v>46079.740960925927</v>
      </c>
      <c r="AH136" s="24">
        <v>46080.381241365743</v>
      </c>
      <c r="AI136" s="24">
        <v>46080.381241365743</v>
      </c>
      <c r="AJ136">
        <v>1</v>
      </c>
      <c r="AK136" s="24"/>
      <c r="AL136" s="24"/>
      <c r="AM136" s="24"/>
      <c r="AN136" s="24"/>
      <c r="AP136" s="24"/>
      <c r="AQ136" s="24"/>
      <c r="AR136" s="24">
        <v>46078.716271446756</v>
      </c>
      <c r="AS136" s="24">
        <v>46078.716271446756</v>
      </c>
      <c r="AX136" s="24"/>
      <c r="AY136" s="24"/>
      <c r="AZ136" s="24"/>
      <c r="BA136" s="24"/>
      <c r="BC136" s="24"/>
      <c r="BD136" s="24"/>
      <c r="BE136" s="24"/>
      <c r="BF136" s="24"/>
      <c r="BH136" s="24">
        <v>46078.716271446756</v>
      </c>
      <c r="BI136" s="24">
        <v>46078.716271446756</v>
      </c>
      <c r="BJ136" s="24">
        <v>46078.716323483794</v>
      </c>
      <c r="BK136" s="24">
        <v>46078.716323483794</v>
      </c>
      <c r="BL136">
        <v>1</v>
      </c>
      <c r="BM136" s="24"/>
      <c r="BN136" s="24"/>
      <c r="BO136" s="24"/>
      <c r="BP136" s="24"/>
      <c r="BR136" s="24">
        <v>46080.381241365743</v>
      </c>
      <c r="BS136" s="24">
        <v>46080.381241365743</v>
      </c>
      <c r="BT136" s="24">
        <v>46080.406230000001</v>
      </c>
      <c r="BU136" s="24">
        <v>46080.406230000001</v>
      </c>
      <c r="BV136">
        <v>1</v>
      </c>
      <c r="BW136" s="24"/>
      <c r="BX136" s="24"/>
      <c r="BY136" s="24"/>
      <c r="BZ136" s="24"/>
      <c r="CB136" s="24"/>
      <c r="CC136" s="24"/>
      <c r="CE136" s="24">
        <v>46080.406230000001</v>
      </c>
      <c r="CF136" s="24">
        <v>46080.406230000001</v>
      </c>
      <c r="CG136">
        <v>1</v>
      </c>
      <c r="CH136" s="24"/>
      <c r="CI136" s="24"/>
      <c r="CJ136" s="24"/>
      <c r="CK136" s="24"/>
      <c r="DE136" s="24"/>
      <c r="DF136" s="24"/>
      <c r="DG136" s="24"/>
      <c r="DH136" s="24"/>
      <c r="DJ136" t="s">
        <v>149</v>
      </c>
      <c r="DK136" t="s">
        <v>149</v>
      </c>
      <c r="DM136">
        <v>2</v>
      </c>
      <c r="DN136">
        <v>2</v>
      </c>
      <c r="DQ136" t="s">
        <v>1000</v>
      </c>
      <c r="DR136" t="s">
        <v>149</v>
      </c>
      <c r="DS136" s="24">
        <v>46160.384426226854</v>
      </c>
    </row>
    <row r="137" spans="1:123" x14ac:dyDescent="0.3">
      <c r="A137" t="s">
        <v>394</v>
      </c>
      <c r="D137" t="s">
        <v>223</v>
      </c>
      <c r="E137" s="24">
        <v>46078.340219907404</v>
      </c>
      <c r="G137" t="s">
        <v>90</v>
      </c>
      <c r="H137" t="s">
        <v>155</v>
      </c>
      <c r="I137" s="24"/>
      <c r="J137" s="24"/>
      <c r="K137" s="24"/>
      <c r="L137" s="24"/>
      <c r="N137" s="24"/>
      <c r="O137" s="24"/>
      <c r="P137" s="24"/>
      <c r="Q137" s="24"/>
      <c r="V137" s="24"/>
      <c r="W137" s="24"/>
      <c r="X137" s="24"/>
      <c r="Y137" s="24"/>
      <c r="AA137" s="24">
        <v>46090.397723252318</v>
      </c>
      <c r="AB137" s="24">
        <v>46090.397723252318</v>
      </c>
      <c r="AC137" s="24">
        <v>46097.765971469904</v>
      </c>
      <c r="AD137" s="24">
        <v>46097.765971469904</v>
      </c>
      <c r="AE137">
        <v>1</v>
      </c>
      <c r="AF137" s="24"/>
      <c r="AG137" s="24"/>
      <c r="AH137" s="24"/>
      <c r="AI137" s="24"/>
      <c r="AK137" s="24"/>
      <c r="AL137" s="24"/>
      <c r="AM137" s="24"/>
      <c r="AN137" s="24"/>
      <c r="AP137" s="24"/>
      <c r="AQ137" s="24"/>
      <c r="AR137" s="24">
        <v>46078.343819907408</v>
      </c>
      <c r="AS137" s="24">
        <v>46078.343819907408</v>
      </c>
      <c r="AX137" s="24"/>
      <c r="AY137" s="24"/>
      <c r="AZ137" s="24"/>
      <c r="BA137" s="24"/>
      <c r="BC137" s="24"/>
      <c r="BD137" s="24"/>
      <c r="BE137" s="24"/>
      <c r="BF137" s="24"/>
      <c r="BH137" s="24">
        <v>46078.343819907408</v>
      </c>
      <c r="BI137" s="24">
        <v>46078.343819907408</v>
      </c>
      <c r="BJ137" s="24">
        <v>46090.397723252318</v>
      </c>
      <c r="BK137" s="24">
        <v>46090.397723252318</v>
      </c>
      <c r="BL137">
        <v>1</v>
      </c>
      <c r="BM137" s="24"/>
      <c r="BN137" s="24"/>
      <c r="BO137" s="24"/>
      <c r="BP137" s="24"/>
      <c r="BR137" s="24">
        <v>46097.765971469904</v>
      </c>
      <c r="BS137" s="24">
        <v>46097.765971469904</v>
      </c>
      <c r="BT137" s="24">
        <v>46097.766004375</v>
      </c>
      <c r="BU137" s="24">
        <v>46097.766004375</v>
      </c>
      <c r="BV137">
        <v>1</v>
      </c>
      <c r="BW137" s="24"/>
      <c r="BX137" s="24"/>
      <c r="BY137" s="24"/>
      <c r="BZ137" s="24"/>
      <c r="CB137" s="24"/>
      <c r="CC137" s="24"/>
      <c r="CE137" s="24">
        <v>46097.766004375</v>
      </c>
      <c r="CF137" s="24">
        <v>46097.766004375</v>
      </c>
      <c r="CG137">
        <v>1</v>
      </c>
      <c r="CH137" s="24"/>
      <c r="CI137" s="24"/>
      <c r="CJ137" s="24"/>
      <c r="CK137" s="24"/>
      <c r="DE137" s="24"/>
      <c r="DF137" s="24"/>
      <c r="DG137" s="24"/>
      <c r="DH137" s="24"/>
      <c r="DJ137" t="s">
        <v>149</v>
      </c>
      <c r="DK137" t="s">
        <v>149</v>
      </c>
      <c r="DM137">
        <v>20</v>
      </c>
      <c r="DN137">
        <v>8</v>
      </c>
      <c r="DQ137" t="s">
        <v>1000</v>
      </c>
      <c r="DR137" t="s">
        <v>149</v>
      </c>
      <c r="DS137" s="24">
        <v>46160.384426226854</v>
      </c>
    </row>
    <row r="138" spans="1:123" x14ac:dyDescent="0.3">
      <c r="A138" t="s">
        <v>395</v>
      </c>
      <c r="D138" t="s">
        <v>223</v>
      </c>
      <c r="E138" s="24">
        <v>46078.33834490741</v>
      </c>
      <c r="G138" t="s">
        <v>90</v>
      </c>
      <c r="H138" t="s">
        <v>155</v>
      </c>
      <c r="I138" s="24"/>
      <c r="J138" s="24"/>
      <c r="K138" s="24"/>
      <c r="L138" s="24"/>
      <c r="N138" s="24"/>
      <c r="O138" s="24"/>
      <c r="P138" s="24"/>
      <c r="Q138" s="24"/>
      <c r="V138" s="24"/>
      <c r="W138" s="24"/>
      <c r="X138" s="24"/>
      <c r="Y138" s="24"/>
      <c r="AA138" s="24">
        <v>46097.407792314814</v>
      </c>
      <c r="AB138" s="24">
        <v>46097.407792314814</v>
      </c>
      <c r="AC138" s="24">
        <v>46097.407845821763</v>
      </c>
      <c r="AD138" s="24">
        <v>46097.407845821763</v>
      </c>
      <c r="AE138">
        <v>1</v>
      </c>
      <c r="AF138" s="24">
        <v>46097.407845821763</v>
      </c>
      <c r="AG138" s="24">
        <v>46097.407845821763</v>
      </c>
      <c r="AH138" s="24">
        <v>46097.407918310186</v>
      </c>
      <c r="AI138" s="24">
        <v>46097.407918310186</v>
      </c>
      <c r="AJ138">
        <v>1</v>
      </c>
      <c r="AK138" s="24"/>
      <c r="AL138" s="24"/>
      <c r="AM138" s="24"/>
      <c r="AN138" s="24"/>
      <c r="AP138" s="24"/>
      <c r="AQ138" s="24"/>
      <c r="AR138" s="24">
        <v>46078.339189467595</v>
      </c>
      <c r="AS138" s="24">
        <v>46078.339189467595</v>
      </c>
      <c r="AX138" s="24"/>
      <c r="AY138" s="24"/>
      <c r="AZ138" s="24"/>
      <c r="BA138" s="24"/>
      <c r="BC138" s="24"/>
      <c r="BD138" s="24"/>
      <c r="BE138" s="24"/>
      <c r="BF138" s="24"/>
      <c r="BH138" s="24">
        <v>46078.339189467595</v>
      </c>
      <c r="BI138" s="24">
        <v>46078.339189467595</v>
      </c>
      <c r="BJ138" s="24">
        <v>46097.407792314814</v>
      </c>
      <c r="BK138" s="24">
        <v>46097.407792314814</v>
      </c>
      <c r="BL138">
        <v>1</v>
      </c>
      <c r="BM138" s="24"/>
      <c r="BN138" s="24"/>
      <c r="BO138" s="24"/>
      <c r="BP138" s="24"/>
      <c r="BR138" s="24"/>
      <c r="BS138" s="24"/>
      <c r="BT138" s="24"/>
      <c r="BU138" s="24"/>
      <c r="BW138" s="24"/>
      <c r="BX138" s="24"/>
      <c r="BY138" s="24"/>
      <c r="BZ138" s="24"/>
      <c r="CB138" s="24"/>
      <c r="CC138" s="24"/>
      <c r="CE138" s="24">
        <v>46097.407918310186</v>
      </c>
      <c r="CF138" s="24">
        <v>46097.407918310186</v>
      </c>
      <c r="CG138">
        <v>1</v>
      </c>
      <c r="CH138" s="24"/>
      <c r="CI138" s="24"/>
      <c r="CJ138" s="24"/>
      <c r="CK138" s="24"/>
      <c r="DE138" s="24"/>
      <c r="DF138" s="24"/>
      <c r="DG138" s="24"/>
      <c r="DH138" s="24"/>
      <c r="DJ138" t="s">
        <v>149</v>
      </c>
      <c r="DK138" t="s">
        <v>149</v>
      </c>
      <c r="DM138">
        <v>20</v>
      </c>
      <c r="DN138">
        <v>1</v>
      </c>
      <c r="DQ138" t="s">
        <v>1000</v>
      </c>
      <c r="DR138" t="s">
        <v>149</v>
      </c>
      <c r="DS138" s="24">
        <v>46160.384426226854</v>
      </c>
    </row>
    <row r="139" spans="1:123" x14ac:dyDescent="0.3">
      <c r="A139" t="s">
        <v>396</v>
      </c>
      <c r="D139" t="s">
        <v>223</v>
      </c>
      <c r="E139" s="24">
        <v>46077.515752314815</v>
      </c>
      <c r="G139" t="s">
        <v>90</v>
      </c>
      <c r="H139" t="s">
        <v>155</v>
      </c>
      <c r="I139" s="24"/>
      <c r="J139" s="24"/>
      <c r="K139" s="24"/>
      <c r="L139" s="24"/>
      <c r="N139" s="24"/>
      <c r="O139" s="24"/>
      <c r="P139" s="24"/>
      <c r="Q139" s="24"/>
      <c r="V139" s="24"/>
      <c r="W139" s="24"/>
      <c r="X139" s="24"/>
      <c r="Y139" s="24"/>
      <c r="AA139" s="24">
        <v>46080.307482094904</v>
      </c>
      <c r="AB139" s="24">
        <v>46080.307482094904</v>
      </c>
      <c r="AC139" s="24">
        <v>46080.559099999999</v>
      </c>
      <c r="AD139" s="24">
        <v>46080.559099999999</v>
      </c>
      <c r="AE139">
        <v>1</v>
      </c>
      <c r="AF139" s="24"/>
      <c r="AG139" s="24"/>
      <c r="AH139" s="24"/>
      <c r="AI139" s="24"/>
      <c r="AK139" s="24"/>
      <c r="AL139" s="24"/>
      <c r="AM139" s="24"/>
      <c r="AN139" s="24"/>
      <c r="AP139" s="24"/>
      <c r="AQ139" s="24"/>
      <c r="AR139" s="24">
        <v>46077.527182743055</v>
      </c>
      <c r="AS139" s="24">
        <v>46077.527182743055</v>
      </c>
      <c r="AX139" s="24"/>
      <c r="AY139" s="24"/>
      <c r="AZ139" s="24"/>
      <c r="BA139" s="24"/>
      <c r="BC139" s="24"/>
      <c r="BD139" s="24"/>
      <c r="BE139" s="24"/>
      <c r="BF139" s="24"/>
      <c r="BH139" s="24">
        <v>46077.527182743055</v>
      </c>
      <c r="BI139" s="24">
        <v>46077.527182743055</v>
      </c>
      <c r="BJ139" s="24">
        <v>46080.307482094904</v>
      </c>
      <c r="BK139" s="24">
        <v>46080.307482094904</v>
      </c>
      <c r="BL139">
        <v>1</v>
      </c>
      <c r="BM139" s="24"/>
      <c r="BN139" s="24"/>
      <c r="BO139" s="24"/>
      <c r="BP139" s="24"/>
      <c r="BR139" s="24">
        <v>46080.559099999999</v>
      </c>
      <c r="BS139" s="24">
        <v>46080.559099999999</v>
      </c>
      <c r="BT139" s="24">
        <v>46080.559169351851</v>
      </c>
      <c r="BU139" s="24">
        <v>46080.559169351851</v>
      </c>
      <c r="BV139">
        <v>1</v>
      </c>
      <c r="BW139" s="24"/>
      <c r="BX139" s="24"/>
      <c r="BY139" s="24"/>
      <c r="BZ139" s="24"/>
      <c r="CB139" s="24"/>
      <c r="CC139" s="24"/>
      <c r="CE139" s="24">
        <v>46080.559169351851</v>
      </c>
      <c r="CF139" s="24">
        <v>46080.559169351851</v>
      </c>
      <c r="CG139">
        <v>1</v>
      </c>
      <c r="CH139" s="24"/>
      <c r="CI139" s="24"/>
      <c r="CJ139" s="24"/>
      <c r="CK139" s="24"/>
      <c r="DE139" s="24"/>
      <c r="DF139" s="24"/>
      <c r="DG139" s="24"/>
      <c r="DH139" s="24"/>
      <c r="DJ139" t="s">
        <v>149</v>
      </c>
      <c r="DK139" t="s">
        <v>149</v>
      </c>
      <c r="DM139">
        <v>4</v>
      </c>
      <c r="DN139">
        <v>1</v>
      </c>
      <c r="DQ139" t="s">
        <v>1000</v>
      </c>
      <c r="DR139" t="s">
        <v>149</v>
      </c>
      <c r="DS139" s="24">
        <v>46160.384426226854</v>
      </c>
    </row>
    <row r="140" spans="1:123" x14ac:dyDescent="0.3">
      <c r="A140" t="s">
        <v>397</v>
      </c>
      <c r="D140" t="s">
        <v>224</v>
      </c>
      <c r="E140" s="24">
        <v>46077.400243055556</v>
      </c>
      <c r="G140" t="s">
        <v>90</v>
      </c>
      <c r="H140" t="s">
        <v>155</v>
      </c>
      <c r="I140" s="24">
        <v>46079.441900578706</v>
      </c>
      <c r="J140" s="24">
        <v>46079.441900578706</v>
      </c>
      <c r="K140" s="24">
        <v>46079.441989421299</v>
      </c>
      <c r="L140" s="24">
        <v>46079.441989421299</v>
      </c>
      <c r="M140">
        <v>1</v>
      </c>
      <c r="N140" s="24"/>
      <c r="O140" s="24"/>
      <c r="P140" s="24"/>
      <c r="Q140" s="24"/>
      <c r="V140" s="24"/>
      <c r="W140" s="24"/>
      <c r="X140" s="24"/>
      <c r="Y140" s="24"/>
      <c r="AA140" s="24">
        <v>46080.326808171296</v>
      </c>
      <c r="AB140" s="24">
        <v>46078.400898333333</v>
      </c>
      <c r="AC140" s="24">
        <v>46079.441900578706</v>
      </c>
      <c r="AD140" s="24">
        <v>46087.501254953706</v>
      </c>
      <c r="AE140">
        <v>2</v>
      </c>
      <c r="AF140" s="24">
        <v>46087.501254953706</v>
      </c>
      <c r="AG140" s="24">
        <v>46087.501254953706</v>
      </c>
      <c r="AH140" s="24">
        <v>46087.511287534726</v>
      </c>
      <c r="AI140" s="24">
        <v>46087.511287534726</v>
      </c>
      <c r="AJ140">
        <v>1</v>
      </c>
      <c r="AK140" s="24">
        <v>46087.511287534726</v>
      </c>
      <c r="AL140" s="24">
        <v>46087.511287534726</v>
      </c>
      <c r="AM140" s="24">
        <v>46087.559677280093</v>
      </c>
      <c r="AN140" s="24">
        <v>46087.559677280093</v>
      </c>
      <c r="AO140">
        <v>1</v>
      </c>
      <c r="AP140" s="24"/>
      <c r="AQ140" s="24"/>
      <c r="AR140" s="24">
        <v>46078.400661597225</v>
      </c>
      <c r="AS140" s="24">
        <v>46078.400661597225</v>
      </c>
      <c r="AX140" s="24"/>
      <c r="AY140" s="24"/>
      <c r="AZ140" s="24"/>
      <c r="BA140" s="24"/>
      <c r="BC140" s="24">
        <v>46087.560182893518</v>
      </c>
      <c r="BD140" s="24">
        <v>46087.560182893518</v>
      </c>
      <c r="BE140" s="24">
        <v>46087.573920972223</v>
      </c>
      <c r="BF140" s="24">
        <v>46087.573920972223</v>
      </c>
      <c r="BG140">
        <v>1</v>
      </c>
      <c r="BH140" s="24">
        <v>46079.441989421299</v>
      </c>
      <c r="BI140" s="24">
        <v>46078.400661597225</v>
      </c>
      <c r="BJ140" s="24">
        <v>46078.400898333333</v>
      </c>
      <c r="BK140" s="24">
        <v>46080.326808171296</v>
      </c>
      <c r="BL140">
        <v>2</v>
      </c>
      <c r="BM140" s="24"/>
      <c r="BN140" s="24"/>
      <c r="BO140" s="24"/>
      <c r="BP140" s="24"/>
      <c r="BR140" s="24">
        <v>46087.559677280093</v>
      </c>
      <c r="BS140" s="24">
        <v>46087.559677280093</v>
      </c>
      <c r="BT140" s="24">
        <v>46087.560182893518</v>
      </c>
      <c r="BU140" s="24">
        <v>46087.560182893518</v>
      </c>
      <c r="BV140">
        <v>1</v>
      </c>
      <c r="BW140" s="24"/>
      <c r="BX140" s="24"/>
      <c r="BY140" s="24"/>
      <c r="BZ140" s="24"/>
      <c r="CB140" s="24"/>
      <c r="CC140" s="24"/>
      <c r="CE140" s="24">
        <v>46087.573920972223</v>
      </c>
      <c r="CF140" s="24">
        <v>46087.573920972223</v>
      </c>
      <c r="CG140">
        <v>1</v>
      </c>
      <c r="CH140" s="24"/>
      <c r="CI140" s="24"/>
      <c r="CJ140" s="24"/>
      <c r="CK140" s="24"/>
      <c r="DE140" s="24"/>
      <c r="DF140" s="24"/>
      <c r="DG140" s="24"/>
      <c r="DH140" s="24"/>
      <c r="DJ140" t="s">
        <v>149</v>
      </c>
      <c r="DK140" t="s">
        <v>149</v>
      </c>
      <c r="DM140">
        <v>10</v>
      </c>
      <c r="DN140">
        <v>10</v>
      </c>
      <c r="DQ140" t="s">
        <v>1000</v>
      </c>
      <c r="DR140" t="s">
        <v>149</v>
      </c>
      <c r="DS140" s="24">
        <v>46160.384426226854</v>
      </c>
    </row>
    <row r="141" spans="1:123" x14ac:dyDescent="0.3">
      <c r="A141" t="s">
        <v>398</v>
      </c>
      <c r="D141" t="s">
        <v>223</v>
      </c>
      <c r="E141" s="24">
        <v>46077.366331018522</v>
      </c>
      <c r="G141" t="s">
        <v>90</v>
      </c>
      <c r="H141" t="s">
        <v>155</v>
      </c>
      <c r="I141" s="24"/>
      <c r="J141" s="24"/>
      <c r="K141" s="24"/>
      <c r="L141" s="24"/>
      <c r="N141" s="24"/>
      <c r="O141" s="24"/>
      <c r="P141" s="24"/>
      <c r="Q141" s="24"/>
      <c r="V141" s="24"/>
      <c r="W141" s="24"/>
      <c r="X141" s="24"/>
      <c r="Y141" s="24"/>
      <c r="AA141" s="24">
        <v>46079.784319629631</v>
      </c>
      <c r="AB141" s="24">
        <v>46079.784319629631</v>
      </c>
      <c r="AC141" s="24">
        <v>46080.52843791667</v>
      </c>
      <c r="AD141" s="24">
        <v>46080.52843791667</v>
      </c>
      <c r="AE141">
        <v>1</v>
      </c>
      <c r="AF141" s="24">
        <v>46080.52843791667</v>
      </c>
      <c r="AG141" s="24">
        <v>46080.52843791667</v>
      </c>
      <c r="AH141" s="24">
        <v>46083.473572002316</v>
      </c>
      <c r="AI141" s="24">
        <v>46083.473572002316</v>
      </c>
      <c r="AJ141">
        <v>1</v>
      </c>
      <c r="AK141" s="24"/>
      <c r="AL141" s="24"/>
      <c r="AM141" s="24"/>
      <c r="AN141" s="24"/>
      <c r="AP141" s="24"/>
      <c r="AQ141" s="24"/>
      <c r="AR141" s="24">
        <v>46077.367856168981</v>
      </c>
      <c r="AS141" s="24">
        <v>46077.367856168981</v>
      </c>
      <c r="AX141" s="24"/>
      <c r="AY141" s="24"/>
      <c r="AZ141" s="24"/>
      <c r="BA141" s="24"/>
      <c r="BC141" s="24"/>
      <c r="BD141" s="24"/>
      <c r="BE141" s="24"/>
      <c r="BF141" s="24"/>
      <c r="BH141" s="24">
        <v>46077.367856168981</v>
      </c>
      <c r="BI141" s="24">
        <v>46077.367856168981</v>
      </c>
      <c r="BJ141" s="24">
        <v>46079.784319629631</v>
      </c>
      <c r="BK141" s="24">
        <v>46079.784319629631</v>
      </c>
      <c r="BL141">
        <v>1</v>
      </c>
      <c r="BM141" s="24"/>
      <c r="BN141" s="24"/>
      <c r="BO141" s="24"/>
      <c r="BP141" s="24"/>
      <c r="BR141" s="24">
        <v>46083.473572002316</v>
      </c>
      <c r="BS141" s="24">
        <v>46083.473572002316</v>
      </c>
      <c r="BT141" s="24">
        <v>46083.589651342591</v>
      </c>
      <c r="BU141" s="24">
        <v>46083.589651342591</v>
      </c>
      <c r="BV141">
        <v>1</v>
      </c>
      <c r="BW141" s="24"/>
      <c r="BX141" s="24"/>
      <c r="BY141" s="24"/>
      <c r="BZ141" s="24"/>
      <c r="CB141" s="24"/>
      <c r="CC141" s="24"/>
      <c r="CE141" s="24">
        <v>46083.589651342591</v>
      </c>
      <c r="CF141" s="24">
        <v>46083.589651342591</v>
      </c>
      <c r="CG141">
        <v>1</v>
      </c>
      <c r="CH141" s="24"/>
      <c r="CI141" s="24"/>
      <c r="CJ141" s="24"/>
      <c r="CK141" s="24"/>
      <c r="DE141" s="24"/>
      <c r="DF141" s="24"/>
      <c r="DG141" s="24"/>
      <c r="DH141" s="24"/>
      <c r="DJ141" t="s">
        <v>149</v>
      </c>
      <c r="DK141" t="s">
        <v>149</v>
      </c>
      <c r="DM141">
        <v>7</v>
      </c>
      <c r="DN141">
        <v>4</v>
      </c>
      <c r="DQ141" t="s">
        <v>1000</v>
      </c>
      <c r="DR141" t="s">
        <v>149</v>
      </c>
      <c r="DS141" s="24">
        <v>46160.384426226854</v>
      </c>
    </row>
    <row r="142" spans="1:123" x14ac:dyDescent="0.3">
      <c r="A142" t="s">
        <v>399</v>
      </c>
      <c r="D142" t="s">
        <v>223</v>
      </c>
      <c r="E142" s="24">
        <v>46077.356249999997</v>
      </c>
      <c r="G142" t="s">
        <v>90</v>
      </c>
      <c r="H142" t="s">
        <v>155</v>
      </c>
      <c r="I142" s="24"/>
      <c r="J142" s="24"/>
      <c r="K142" s="24"/>
      <c r="L142" s="24"/>
      <c r="N142" s="24"/>
      <c r="O142" s="24"/>
      <c r="P142" s="24"/>
      <c r="Q142" s="24"/>
      <c r="V142" s="24"/>
      <c r="W142" s="24"/>
      <c r="X142" s="24"/>
      <c r="Y142" s="24"/>
      <c r="AA142" s="24">
        <v>46083.410171307871</v>
      </c>
      <c r="AB142" s="24">
        <v>46083.410171307871</v>
      </c>
      <c r="AC142" s="24">
        <v>46083.663937951387</v>
      </c>
      <c r="AD142" s="24">
        <v>46083.663937951387</v>
      </c>
      <c r="AE142">
        <v>1</v>
      </c>
      <c r="AF142" s="24">
        <v>46083.663937951387</v>
      </c>
      <c r="AG142" s="24">
        <v>46083.663937951387</v>
      </c>
      <c r="AH142" s="24">
        <v>46083.663974108793</v>
      </c>
      <c r="AI142" s="24">
        <v>46083.663974108793</v>
      </c>
      <c r="AJ142">
        <v>1</v>
      </c>
      <c r="AK142" s="24"/>
      <c r="AL142" s="24"/>
      <c r="AM142" s="24"/>
      <c r="AN142" s="24"/>
      <c r="AP142" s="24"/>
      <c r="AQ142" s="24"/>
      <c r="AR142" s="24">
        <v>46077.357944282405</v>
      </c>
      <c r="AS142" s="24">
        <v>46077.357944282405</v>
      </c>
      <c r="AX142" s="24"/>
      <c r="AY142" s="24"/>
      <c r="AZ142" s="24"/>
      <c r="BA142" s="24"/>
      <c r="BC142" s="24"/>
      <c r="BD142" s="24"/>
      <c r="BE142" s="24"/>
      <c r="BF142" s="24"/>
      <c r="BH142" s="24">
        <v>46077.357944282405</v>
      </c>
      <c r="BI142" s="24">
        <v>46077.357944282405</v>
      </c>
      <c r="BJ142" s="24">
        <v>46083.410171307871</v>
      </c>
      <c r="BK142" s="24">
        <v>46083.410171307871</v>
      </c>
      <c r="BL142">
        <v>1</v>
      </c>
      <c r="BM142" s="24"/>
      <c r="BN142" s="24"/>
      <c r="BO142" s="24"/>
      <c r="BP142" s="24"/>
      <c r="BR142" s="24">
        <v>46083.663974108793</v>
      </c>
      <c r="BS142" s="24">
        <v>46083.663974108793</v>
      </c>
      <c r="BT142" s="24">
        <v>46084.40314303241</v>
      </c>
      <c r="BU142" s="24">
        <v>46084.40314303241</v>
      </c>
      <c r="BV142">
        <v>1</v>
      </c>
      <c r="BW142" s="24"/>
      <c r="BX142" s="24"/>
      <c r="BY142" s="24"/>
      <c r="BZ142" s="24"/>
      <c r="CB142" s="24"/>
      <c r="CC142" s="24"/>
      <c r="CE142" s="24">
        <v>46084.40314303241</v>
      </c>
      <c r="CF142" s="24">
        <v>46084.40314303241</v>
      </c>
      <c r="CG142">
        <v>1</v>
      </c>
      <c r="CH142" s="24"/>
      <c r="CI142" s="24"/>
      <c r="CJ142" s="24"/>
      <c r="CK142" s="24"/>
      <c r="DE142" s="24"/>
      <c r="DF142" s="24"/>
      <c r="DG142" s="24"/>
      <c r="DH142" s="24"/>
      <c r="DJ142" t="s">
        <v>149</v>
      </c>
      <c r="DK142" t="s">
        <v>149</v>
      </c>
      <c r="DM142">
        <v>8</v>
      </c>
      <c r="DN142">
        <v>1</v>
      </c>
      <c r="DQ142" t="s">
        <v>1000</v>
      </c>
      <c r="DR142" t="s">
        <v>149</v>
      </c>
      <c r="DS142" s="24">
        <v>46160.384426226854</v>
      </c>
    </row>
    <row r="143" spans="1:123" x14ac:dyDescent="0.3">
      <c r="A143" t="s">
        <v>400</v>
      </c>
      <c r="D143" t="s">
        <v>225</v>
      </c>
      <c r="E143" s="24">
        <v>46076.603877314818</v>
      </c>
      <c r="G143" t="s">
        <v>90</v>
      </c>
      <c r="H143" t="s">
        <v>155</v>
      </c>
      <c r="I143" s="24"/>
      <c r="J143" s="24"/>
      <c r="K143" s="24"/>
      <c r="L143" s="24"/>
      <c r="N143" s="24"/>
      <c r="O143" s="24"/>
      <c r="P143" s="24"/>
      <c r="Q143" s="24"/>
      <c r="V143" s="24"/>
      <c r="W143" s="24"/>
      <c r="X143" s="24"/>
      <c r="Y143" s="24"/>
      <c r="AA143" s="24">
        <v>46077.414771504627</v>
      </c>
      <c r="AB143" s="24">
        <v>46077.414771504627</v>
      </c>
      <c r="AC143" s="24">
        <v>46079.753554224539</v>
      </c>
      <c r="AD143" s="24">
        <v>46079.753554224539</v>
      </c>
      <c r="AE143">
        <v>1</v>
      </c>
      <c r="AF143" s="24">
        <v>46079.753554224539</v>
      </c>
      <c r="AG143" s="24">
        <v>46079.753554224539</v>
      </c>
      <c r="AH143" s="24">
        <v>46080.460230486111</v>
      </c>
      <c r="AI143" s="24">
        <v>46080.460230486111</v>
      </c>
      <c r="AJ143">
        <v>1</v>
      </c>
      <c r="AK143" s="24">
        <v>46080.460230486111</v>
      </c>
      <c r="AL143" s="24">
        <v>46080.460230486111</v>
      </c>
      <c r="AM143" s="24">
        <v>46080.460428935185</v>
      </c>
      <c r="AN143" s="24">
        <v>46080.460428935185</v>
      </c>
      <c r="AO143">
        <v>1</v>
      </c>
      <c r="AP143" s="24"/>
      <c r="AQ143" s="24"/>
      <c r="AR143" s="24">
        <v>46077.374884733799</v>
      </c>
      <c r="AS143" s="24">
        <v>46077.374884733799</v>
      </c>
      <c r="AX143" s="24"/>
      <c r="AY143" s="24"/>
      <c r="AZ143" s="24"/>
      <c r="BA143" s="24"/>
      <c r="BC143" s="24">
        <v>46080.625538993052</v>
      </c>
      <c r="BD143" s="24">
        <v>46080.625538993052</v>
      </c>
      <c r="BE143" s="24">
        <v>46086.451876250001</v>
      </c>
      <c r="BF143" s="24">
        <v>46086.451876250001</v>
      </c>
      <c r="BG143">
        <v>1</v>
      </c>
      <c r="BH143" s="24">
        <v>46077.374884733799</v>
      </c>
      <c r="BI143" s="24">
        <v>46077.374884733799</v>
      </c>
      <c r="BJ143" s="24">
        <v>46077.414771504627</v>
      </c>
      <c r="BK143" s="24">
        <v>46077.414771504627</v>
      </c>
      <c r="BL143">
        <v>1</v>
      </c>
      <c r="BM143" s="24"/>
      <c r="BN143" s="24"/>
      <c r="BO143" s="24"/>
      <c r="BP143" s="24"/>
      <c r="BR143" s="24">
        <v>46080.460428935185</v>
      </c>
      <c r="BS143" s="24">
        <v>46080.460428935185</v>
      </c>
      <c r="BT143" s="24">
        <v>46080.625538993052</v>
      </c>
      <c r="BU143" s="24">
        <v>46080.625538993052</v>
      </c>
      <c r="BV143">
        <v>1</v>
      </c>
      <c r="BW143" s="24"/>
      <c r="BX143" s="24"/>
      <c r="BY143" s="24"/>
      <c r="BZ143" s="24"/>
      <c r="CB143" s="24"/>
      <c r="CC143" s="24"/>
      <c r="CE143" s="24">
        <v>46086.451876250001</v>
      </c>
      <c r="CF143" s="24">
        <v>46086.451876250001</v>
      </c>
      <c r="CG143">
        <v>1</v>
      </c>
      <c r="CH143" s="24"/>
      <c r="CI143" s="24"/>
      <c r="CJ143" s="24"/>
      <c r="CK143" s="24"/>
      <c r="DE143" s="24"/>
      <c r="DF143" s="24"/>
      <c r="DG143" s="24"/>
      <c r="DH143" s="24"/>
      <c r="DJ143" t="s">
        <v>149</v>
      </c>
      <c r="DK143" t="s">
        <v>149</v>
      </c>
      <c r="DM143">
        <v>10</v>
      </c>
      <c r="DN143">
        <v>10</v>
      </c>
      <c r="DQ143" t="s">
        <v>1000</v>
      </c>
      <c r="DR143" t="s">
        <v>149</v>
      </c>
      <c r="DS143" s="24">
        <v>46160.384426226854</v>
      </c>
    </row>
    <row r="144" spans="1:123" x14ac:dyDescent="0.3">
      <c r="A144" t="s">
        <v>401</v>
      </c>
      <c r="D144" t="s">
        <v>225</v>
      </c>
      <c r="E144" s="24">
        <v>46076.417673611111</v>
      </c>
      <c r="G144" t="s">
        <v>150</v>
      </c>
      <c r="H144" t="s">
        <v>155</v>
      </c>
      <c r="I144" s="24"/>
      <c r="J144" s="24"/>
      <c r="K144" s="24"/>
      <c r="L144" s="24"/>
      <c r="N144" s="24"/>
      <c r="O144" s="24"/>
      <c r="P144" s="24"/>
      <c r="Q144" s="24"/>
      <c r="V144" s="24"/>
      <c r="W144" s="24"/>
      <c r="X144" s="24"/>
      <c r="Y144" s="24"/>
      <c r="AA144" s="24"/>
      <c r="AB144" s="24"/>
      <c r="AC144" s="24"/>
      <c r="AD144" s="24"/>
      <c r="AF144" s="24"/>
      <c r="AG144" s="24"/>
      <c r="AH144" s="24"/>
      <c r="AI144" s="24"/>
      <c r="AK144" s="24"/>
      <c r="AL144" s="24"/>
      <c r="AM144" s="24"/>
      <c r="AN144" s="24"/>
      <c r="AP144" s="24"/>
      <c r="AQ144" s="24"/>
      <c r="AR144" s="24">
        <v>46076.421362905094</v>
      </c>
      <c r="AS144" s="24">
        <v>46076.421362905094</v>
      </c>
      <c r="AX144" s="24"/>
      <c r="AY144" s="24"/>
      <c r="AZ144" s="24"/>
      <c r="BA144" s="24"/>
      <c r="BC144" s="24"/>
      <c r="BD144" s="24"/>
      <c r="BE144" s="24"/>
      <c r="BF144" s="24"/>
      <c r="BH144" s="24"/>
      <c r="BI144" s="24"/>
      <c r="BJ144" s="24"/>
      <c r="BK144" s="24"/>
      <c r="BM144" s="24"/>
      <c r="BN144" s="24"/>
      <c r="BO144" s="24"/>
      <c r="BP144" s="24"/>
      <c r="BR144" s="24"/>
      <c r="BS144" s="24"/>
      <c r="BT144" s="24"/>
      <c r="BU144" s="24"/>
      <c r="BW144" s="24"/>
      <c r="BX144" s="24"/>
      <c r="BY144" s="24"/>
      <c r="BZ144" s="24"/>
      <c r="CB144" s="24">
        <v>46076.421362905094</v>
      </c>
      <c r="CC144" s="24">
        <v>46076.421362905094</v>
      </c>
      <c r="CD144">
        <v>1</v>
      </c>
      <c r="CE144" s="24"/>
      <c r="CF144" s="24"/>
      <c r="CH144" s="24"/>
      <c r="CI144" s="24"/>
      <c r="CJ144" s="24"/>
      <c r="CK144" s="24"/>
      <c r="DE144" s="24"/>
      <c r="DF144" s="24"/>
      <c r="DG144" s="24"/>
      <c r="DH144" s="24"/>
      <c r="DJ144" t="s">
        <v>149</v>
      </c>
      <c r="DK144" t="s">
        <v>149</v>
      </c>
      <c r="DQ144" t="s">
        <v>1000</v>
      </c>
      <c r="DR144" t="s">
        <v>149</v>
      </c>
      <c r="DS144" s="24">
        <v>46160.384426226854</v>
      </c>
    </row>
    <row r="145" spans="1:123" x14ac:dyDescent="0.3">
      <c r="A145" t="s">
        <v>402</v>
      </c>
      <c r="D145" t="s">
        <v>223</v>
      </c>
      <c r="E145" s="24">
        <v>46076.399236111109</v>
      </c>
      <c r="G145" t="s">
        <v>150</v>
      </c>
      <c r="H145" t="s">
        <v>155</v>
      </c>
      <c r="I145" s="24"/>
      <c r="J145" s="24"/>
      <c r="K145" s="24"/>
      <c r="L145" s="24"/>
      <c r="N145" s="24"/>
      <c r="O145" s="24"/>
      <c r="P145" s="24"/>
      <c r="Q145" s="24"/>
      <c r="V145" s="24"/>
      <c r="W145" s="24"/>
      <c r="X145" s="24"/>
      <c r="Y145" s="24"/>
      <c r="AA145" s="24"/>
      <c r="AB145" s="24"/>
      <c r="AC145" s="24"/>
      <c r="AD145" s="24"/>
      <c r="AF145" s="24"/>
      <c r="AG145" s="24"/>
      <c r="AH145" s="24"/>
      <c r="AI145" s="24"/>
      <c r="AK145" s="24"/>
      <c r="AL145" s="24"/>
      <c r="AM145" s="24"/>
      <c r="AN145" s="24"/>
      <c r="AP145" s="24"/>
      <c r="AQ145" s="24"/>
      <c r="AR145" s="24">
        <v>46127.388569930554</v>
      </c>
      <c r="AS145" s="24">
        <v>46127.388569930554</v>
      </c>
      <c r="AX145" s="24"/>
      <c r="AY145" s="24"/>
      <c r="AZ145" s="24"/>
      <c r="BA145" s="24"/>
      <c r="BC145" s="24"/>
      <c r="BD145" s="24"/>
      <c r="BE145" s="24"/>
      <c r="BF145" s="24"/>
      <c r="BH145" s="24"/>
      <c r="BI145" s="24"/>
      <c r="BJ145" s="24"/>
      <c r="BK145" s="24"/>
      <c r="BM145" s="24"/>
      <c r="BN145" s="24"/>
      <c r="BO145" s="24"/>
      <c r="BP145" s="24"/>
      <c r="BR145" s="24"/>
      <c r="BS145" s="24"/>
      <c r="BT145" s="24"/>
      <c r="BU145" s="24"/>
      <c r="BW145" s="24"/>
      <c r="BX145" s="24"/>
      <c r="BY145" s="24"/>
      <c r="BZ145" s="24"/>
      <c r="CB145" s="24">
        <v>46127.388569930554</v>
      </c>
      <c r="CC145" s="24">
        <v>46127.388569930554</v>
      </c>
      <c r="CD145">
        <v>1</v>
      </c>
      <c r="CE145" s="24"/>
      <c r="CF145" s="24"/>
      <c r="CH145" s="24"/>
      <c r="CI145" s="24"/>
      <c r="CJ145" s="24"/>
      <c r="CK145" s="24"/>
      <c r="DE145" s="24"/>
      <c r="DF145" s="24"/>
      <c r="DG145" s="24"/>
      <c r="DH145" s="24"/>
      <c r="DJ145" t="s">
        <v>149</v>
      </c>
      <c r="DK145" t="s">
        <v>149</v>
      </c>
      <c r="DQ145" t="s">
        <v>1000</v>
      </c>
      <c r="DR145" t="s">
        <v>149</v>
      </c>
      <c r="DS145" s="24">
        <v>46160.384426226854</v>
      </c>
    </row>
    <row r="146" spans="1:123" x14ac:dyDescent="0.3">
      <c r="A146" t="s">
        <v>403</v>
      </c>
      <c r="D146" t="s">
        <v>223</v>
      </c>
      <c r="E146" s="24">
        <v>46073.71837962963</v>
      </c>
      <c r="G146" t="s">
        <v>90</v>
      </c>
      <c r="H146" t="s">
        <v>155</v>
      </c>
      <c r="I146" s="24"/>
      <c r="J146" s="24"/>
      <c r="K146" s="24"/>
      <c r="L146" s="24"/>
      <c r="N146" s="24"/>
      <c r="O146" s="24"/>
      <c r="P146" s="24"/>
      <c r="Q146" s="24"/>
      <c r="V146" s="24"/>
      <c r="W146" s="24"/>
      <c r="X146" s="24"/>
      <c r="Y146" s="24"/>
      <c r="AA146" s="24">
        <v>46073.720552256942</v>
      </c>
      <c r="AB146" s="24">
        <v>46073.720552256942</v>
      </c>
      <c r="AC146" s="24">
        <v>46073.758793090281</v>
      </c>
      <c r="AD146" s="24">
        <v>46073.758793090281</v>
      </c>
      <c r="AE146">
        <v>1</v>
      </c>
      <c r="AF146" s="24">
        <v>46073.758793090281</v>
      </c>
      <c r="AG146" s="24">
        <v>46073.758793090281</v>
      </c>
      <c r="AH146" s="24">
        <v>46076.347126423614</v>
      </c>
      <c r="AI146" s="24">
        <v>46076.347126423614</v>
      </c>
      <c r="AJ146">
        <v>1</v>
      </c>
      <c r="AK146" s="24"/>
      <c r="AL146" s="24"/>
      <c r="AM146" s="24"/>
      <c r="AN146" s="24"/>
      <c r="AP146" s="24"/>
      <c r="AQ146" s="24"/>
      <c r="AR146" s="24">
        <v>46073.720510983796</v>
      </c>
      <c r="AS146" s="24">
        <v>46073.720510983796</v>
      </c>
      <c r="AX146" s="24"/>
      <c r="AY146" s="24"/>
      <c r="AZ146" s="24"/>
      <c r="BA146" s="24"/>
      <c r="BC146" s="24"/>
      <c r="BD146" s="24"/>
      <c r="BE146" s="24"/>
      <c r="BF146" s="24"/>
      <c r="BH146" s="24">
        <v>46073.720510983796</v>
      </c>
      <c r="BI146" s="24">
        <v>46073.720510983796</v>
      </c>
      <c r="BJ146" s="24">
        <v>46073.720552256942</v>
      </c>
      <c r="BK146" s="24">
        <v>46073.720552256942</v>
      </c>
      <c r="BL146">
        <v>1</v>
      </c>
      <c r="BM146" s="24"/>
      <c r="BN146" s="24"/>
      <c r="BO146" s="24"/>
      <c r="BP146" s="24"/>
      <c r="BR146" s="24">
        <v>46076.347126423614</v>
      </c>
      <c r="BS146" s="24">
        <v>46076.347126423614</v>
      </c>
      <c r="BT146" s="24">
        <v>46076.404457245371</v>
      </c>
      <c r="BU146" s="24">
        <v>46076.404457245371</v>
      </c>
      <c r="BV146">
        <v>1</v>
      </c>
      <c r="BW146" s="24"/>
      <c r="BX146" s="24"/>
      <c r="BY146" s="24"/>
      <c r="BZ146" s="24"/>
      <c r="CB146" s="24"/>
      <c r="CC146" s="24"/>
      <c r="CE146" s="24">
        <v>46076.404457245371</v>
      </c>
      <c r="CF146" s="24">
        <v>46076.404457245371</v>
      </c>
      <c r="CG146">
        <v>1</v>
      </c>
      <c r="CH146" s="24"/>
      <c r="CI146" s="24"/>
      <c r="CJ146" s="24"/>
      <c r="CK146" s="24"/>
      <c r="DE146" s="24"/>
      <c r="DF146" s="24"/>
      <c r="DG146" s="24"/>
      <c r="DH146" s="24"/>
      <c r="DJ146" t="s">
        <v>149</v>
      </c>
      <c r="DK146" t="s">
        <v>149</v>
      </c>
      <c r="DM146">
        <v>3</v>
      </c>
      <c r="DN146">
        <v>3</v>
      </c>
      <c r="DQ146" t="s">
        <v>1000</v>
      </c>
      <c r="DR146" t="s">
        <v>149</v>
      </c>
      <c r="DS146" s="24">
        <v>46160.384426226854</v>
      </c>
    </row>
    <row r="147" spans="1:123" x14ac:dyDescent="0.3">
      <c r="A147" t="s">
        <v>404</v>
      </c>
      <c r="D147" t="s">
        <v>225</v>
      </c>
      <c r="E147" s="24">
        <v>46073.633715277778</v>
      </c>
      <c r="G147" t="s">
        <v>90</v>
      </c>
      <c r="H147" t="s">
        <v>155</v>
      </c>
      <c r="I147" s="24"/>
      <c r="J147" s="24"/>
      <c r="K147" s="24"/>
      <c r="L147" s="24"/>
      <c r="N147" s="24"/>
      <c r="O147" s="24"/>
      <c r="P147" s="24"/>
      <c r="Q147" s="24"/>
      <c r="V147" s="24"/>
      <c r="W147" s="24"/>
      <c r="X147" s="24"/>
      <c r="Y147" s="24"/>
      <c r="AA147" s="24">
        <v>46073.711449490744</v>
      </c>
      <c r="AB147" s="24">
        <v>46073.711449490744</v>
      </c>
      <c r="AC147" s="24">
        <v>46073.714145300924</v>
      </c>
      <c r="AD147" s="24">
        <v>46073.714145300924</v>
      </c>
      <c r="AE147">
        <v>1</v>
      </c>
      <c r="AF147" s="24">
        <v>46073.714145300924</v>
      </c>
      <c r="AG147" s="24">
        <v>46073.714145300924</v>
      </c>
      <c r="AH147" s="24">
        <v>46076.394752418979</v>
      </c>
      <c r="AI147" s="24">
        <v>46076.394752418979</v>
      </c>
      <c r="AJ147">
        <v>1</v>
      </c>
      <c r="AK147" s="24">
        <v>46076.394752418979</v>
      </c>
      <c r="AL147" s="24">
        <v>46076.394752418979</v>
      </c>
      <c r="AM147" s="24">
        <v>46077.384025995372</v>
      </c>
      <c r="AN147" s="24">
        <v>46077.384025995372</v>
      </c>
      <c r="AO147">
        <v>1</v>
      </c>
      <c r="AP147" s="24"/>
      <c r="AQ147" s="24"/>
      <c r="AR147" s="24">
        <v>46073.71141059028</v>
      </c>
      <c r="AS147" s="24">
        <v>46073.71141059028</v>
      </c>
      <c r="AX147" s="24"/>
      <c r="AY147" s="24"/>
      <c r="AZ147" s="24"/>
      <c r="BA147" s="24"/>
      <c r="BC147" s="24">
        <v>46077.41330591435</v>
      </c>
      <c r="BD147" s="24">
        <v>46077.41330591435</v>
      </c>
      <c r="BE147" s="24">
        <v>46086.451875844905</v>
      </c>
      <c r="BF147" s="24">
        <v>46086.451875844905</v>
      </c>
      <c r="BG147">
        <v>1</v>
      </c>
      <c r="BH147" s="24">
        <v>46073.71141059028</v>
      </c>
      <c r="BI147" s="24">
        <v>46073.71141059028</v>
      </c>
      <c r="BJ147" s="24">
        <v>46073.711449490744</v>
      </c>
      <c r="BK147" s="24">
        <v>46073.711449490744</v>
      </c>
      <c r="BL147">
        <v>1</v>
      </c>
      <c r="BM147" s="24"/>
      <c r="BN147" s="24"/>
      <c r="BO147" s="24"/>
      <c r="BP147" s="24"/>
      <c r="BR147" s="24">
        <v>46077.384025995372</v>
      </c>
      <c r="BS147" s="24">
        <v>46077.384025995372</v>
      </c>
      <c r="BT147" s="24">
        <v>46077.41330591435</v>
      </c>
      <c r="BU147" s="24">
        <v>46077.41330591435</v>
      </c>
      <c r="BV147">
        <v>1</v>
      </c>
      <c r="BW147" s="24"/>
      <c r="BX147" s="24"/>
      <c r="BY147" s="24"/>
      <c r="BZ147" s="24"/>
      <c r="CB147" s="24"/>
      <c r="CC147" s="24"/>
      <c r="CE147" s="24">
        <v>46086.451875844905</v>
      </c>
      <c r="CF147" s="24">
        <v>46086.451875844905</v>
      </c>
      <c r="CG147">
        <v>1</v>
      </c>
      <c r="CH147" s="24"/>
      <c r="CI147" s="24"/>
      <c r="CJ147" s="24"/>
      <c r="CK147" s="24"/>
      <c r="DE147" s="24"/>
      <c r="DF147" s="24"/>
      <c r="DG147" s="24"/>
      <c r="DH147" s="24"/>
      <c r="DJ147" t="s">
        <v>149</v>
      </c>
      <c r="DK147" t="s">
        <v>149</v>
      </c>
      <c r="DM147">
        <v>13</v>
      </c>
      <c r="DN147">
        <v>13</v>
      </c>
      <c r="DQ147" t="s">
        <v>1000</v>
      </c>
      <c r="DR147" t="s">
        <v>149</v>
      </c>
      <c r="DS147" s="24">
        <v>46160.384426226854</v>
      </c>
    </row>
    <row r="148" spans="1:123" x14ac:dyDescent="0.3">
      <c r="A148" t="s">
        <v>405</v>
      </c>
      <c r="D148" t="s">
        <v>223</v>
      </c>
      <c r="E148" s="24">
        <v>46073.616203703707</v>
      </c>
      <c r="G148" t="s">
        <v>102</v>
      </c>
      <c r="H148" t="s">
        <v>154</v>
      </c>
      <c r="I148" s="24"/>
      <c r="J148" s="24"/>
      <c r="K148" s="24"/>
      <c r="L148" s="24"/>
      <c r="N148" s="24"/>
      <c r="O148" s="24"/>
      <c r="P148" s="24"/>
      <c r="Q148" s="24"/>
      <c r="V148" s="24"/>
      <c r="W148" s="24"/>
      <c r="X148" s="24"/>
      <c r="Y148" s="24"/>
      <c r="AA148" s="24"/>
      <c r="AB148" s="24"/>
      <c r="AC148" s="24"/>
      <c r="AD148" s="24"/>
      <c r="AF148" s="24"/>
      <c r="AG148" s="24"/>
      <c r="AH148" s="24"/>
      <c r="AI148" s="24"/>
      <c r="AK148" s="24"/>
      <c r="AL148" s="24"/>
      <c r="AM148" s="24"/>
      <c r="AN148" s="24"/>
      <c r="AP148" s="24"/>
      <c r="AQ148" s="24"/>
      <c r="AR148" s="24"/>
      <c r="AS148" s="24"/>
      <c r="AX148" s="24"/>
      <c r="AY148" s="24"/>
      <c r="AZ148" s="24"/>
      <c r="BA148" s="24"/>
      <c r="BC148" s="24"/>
      <c r="BD148" s="24"/>
      <c r="BE148" s="24"/>
      <c r="BF148" s="24"/>
      <c r="BH148" s="24"/>
      <c r="BI148" s="24"/>
      <c r="BJ148" s="24"/>
      <c r="BK148" s="24"/>
      <c r="BM148" s="24"/>
      <c r="BN148" s="24"/>
      <c r="BO148" s="24"/>
      <c r="BP148" s="24"/>
      <c r="BR148" s="24"/>
      <c r="BS148" s="24"/>
      <c r="BT148" s="24"/>
      <c r="BU148" s="24"/>
      <c r="BW148" s="24"/>
      <c r="BX148" s="24"/>
      <c r="BY148" s="24"/>
      <c r="BZ148" s="24"/>
      <c r="CB148" s="24"/>
      <c r="CC148" s="24"/>
      <c r="CE148" s="24"/>
      <c r="CF148" s="24"/>
      <c r="CH148" s="24"/>
      <c r="CI148" s="24"/>
      <c r="CJ148" s="24"/>
      <c r="CK148" s="24"/>
      <c r="DE148" s="24"/>
      <c r="DF148" s="24"/>
      <c r="DG148" s="24"/>
      <c r="DH148" s="24"/>
      <c r="DJ148" t="s">
        <v>149</v>
      </c>
      <c r="DK148" t="s">
        <v>149</v>
      </c>
      <c r="DQ148" t="s">
        <v>1000</v>
      </c>
      <c r="DR148" t="s">
        <v>149</v>
      </c>
      <c r="DS148" s="24">
        <v>46160.384426226854</v>
      </c>
    </row>
    <row r="149" spans="1:123" x14ac:dyDescent="0.3">
      <c r="A149" t="s">
        <v>406</v>
      </c>
      <c r="D149" t="s">
        <v>223</v>
      </c>
      <c r="E149" s="24">
        <v>46073.390729166669</v>
      </c>
      <c r="G149" t="s">
        <v>102</v>
      </c>
      <c r="H149" t="s">
        <v>154</v>
      </c>
      <c r="I149" s="24"/>
      <c r="J149" s="24"/>
      <c r="K149" s="24"/>
      <c r="L149" s="24"/>
      <c r="N149" s="24"/>
      <c r="O149" s="24"/>
      <c r="P149" s="24"/>
      <c r="Q149" s="24"/>
      <c r="V149" s="24"/>
      <c r="W149" s="24"/>
      <c r="X149" s="24"/>
      <c r="Y149" s="24"/>
      <c r="AA149" s="24"/>
      <c r="AB149" s="24"/>
      <c r="AC149" s="24"/>
      <c r="AD149" s="24"/>
      <c r="AF149" s="24"/>
      <c r="AG149" s="24"/>
      <c r="AH149" s="24"/>
      <c r="AI149" s="24"/>
      <c r="AK149" s="24"/>
      <c r="AL149" s="24"/>
      <c r="AM149" s="24"/>
      <c r="AN149" s="24"/>
      <c r="AP149" s="24"/>
      <c r="AQ149" s="24"/>
      <c r="AR149" s="24"/>
      <c r="AS149" s="24"/>
      <c r="AX149" s="24"/>
      <c r="AY149" s="24"/>
      <c r="AZ149" s="24"/>
      <c r="BA149" s="24"/>
      <c r="BC149" s="24"/>
      <c r="BD149" s="24"/>
      <c r="BE149" s="24"/>
      <c r="BF149" s="24"/>
      <c r="BH149" s="24"/>
      <c r="BI149" s="24"/>
      <c r="BJ149" s="24"/>
      <c r="BK149" s="24"/>
      <c r="BM149" s="24"/>
      <c r="BN149" s="24"/>
      <c r="BO149" s="24"/>
      <c r="BP149" s="24"/>
      <c r="BR149" s="24"/>
      <c r="BS149" s="24"/>
      <c r="BT149" s="24"/>
      <c r="BU149" s="24"/>
      <c r="BW149" s="24"/>
      <c r="BX149" s="24"/>
      <c r="BY149" s="24"/>
      <c r="BZ149" s="24"/>
      <c r="CB149" s="24"/>
      <c r="CC149" s="24"/>
      <c r="CE149" s="24"/>
      <c r="CF149" s="24"/>
      <c r="CH149" s="24"/>
      <c r="CI149" s="24"/>
      <c r="CJ149" s="24"/>
      <c r="CK149" s="24"/>
      <c r="DE149" s="24"/>
      <c r="DF149" s="24"/>
      <c r="DG149" s="24"/>
      <c r="DH149" s="24"/>
      <c r="DJ149" t="s">
        <v>149</v>
      </c>
      <c r="DK149" t="s">
        <v>149</v>
      </c>
      <c r="DQ149" t="s">
        <v>1000</v>
      </c>
      <c r="DR149" t="s">
        <v>149</v>
      </c>
      <c r="DS149" s="24">
        <v>46160.384426226854</v>
      </c>
    </row>
    <row r="150" spans="1:123" x14ac:dyDescent="0.3">
      <c r="A150" t="s">
        <v>407</v>
      </c>
      <c r="D150" t="s">
        <v>223</v>
      </c>
      <c r="E150" s="24">
        <v>46073.348287037035</v>
      </c>
      <c r="G150" t="s">
        <v>102</v>
      </c>
      <c r="H150" t="s">
        <v>154</v>
      </c>
      <c r="I150" s="24"/>
      <c r="J150" s="24"/>
      <c r="K150" s="24"/>
      <c r="L150" s="24"/>
      <c r="N150" s="24"/>
      <c r="O150" s="24"/>
      <c r="P150" s="24"/>
      <c r="Q150" s="24"/>
      <c r="V150" s="24"/>
      <c r="W150" s="24"/>
      <c r="X150" s="24"/>
      <c r="Y150" s="24"/>
      <c r="AA150" s="24"/>
      <c r="AB150" s="24"/>
      <c r="AC150" s="24"/>
      <c r="AD150" s="24"/>
      <c r="AF150" s="24"/>
      <c r="AG150" s="24"/>
      <c r="AH150" s="24"/>
      <c r="AI150" s="24"/>
      <c r="AK150" s="24"/>
      <c r="AL150" s="24"/>
      <c r="AM150" s="24"/>
      <c r="AN150" s="24"/>
      <c r="AP150" s="24"/>
      <c r="AQ150" s="24"/>
      <c r="AR150" s="24"/>
      <c r="AS150" s="24"/>
      <c r="AX150" s="24"/>
      <c r="AY150" s="24"/>
      <c r="AZ150" s="24"/>
      <c r="BA150" s="24"/>
      <c r="BC150" s="24"/>
      <c r="BD150" s="24"/>
      <c r="BE150" s="24"/>
      <c r="BF150" s="24"/>
      <c r="BH150" s="24"/>
      <c r="BI150" s="24"/>
      <c r="BJ150" s="24"/>
      <c r="BK150" s="24"/>
      <c r="BM150" s="24"/>
      <c r="BN150" s="24"/>
      <c r="BO150" s="24"/>
      <c r="BP150" s="24"/>
      <c r="BR150" s="24"/>
      <c r="BS150" s="24"/>
      <c r="BT150" s="24"/>
      <c r="BU150" s="24"/>
      <c r="BW150" s="24"/>
      <c r="BX150" s="24"/>
      <c r="BY150" s="24"/>
      <c r="BZ150" s="24"/>
      <c r="CB150" s="24"/>
      <c r="CC150" s="24"/>
      <c r="CE150" s="24"/>
      <c r="CF150" s="24"/>
      <c r="CH150" s="24"/>
      <c r="CI150" s="24"/>
      <c r="CJ150" s="24"/>
      <c r="CK150" s="24"/>
      <c r="DE150" s="24"/>
      <c r="DF150" s="24"/>
      <c r="DG150" s="24"/>
      <c r="DH150" s="24"/>
      <c r="DJ150" t="s">
        <v>149</v>
      </c>
      <c r="DK150" t="s">
        <v>149</v>
      </c>
      <c r="DQ150" t="s">
        <v>1000</v>
      </c>
      <c r="DR150" t="s">
        <v>149</v>
      </c>
      <c r="DS150" s="24">
        <v>46160.384426226854</v>
      </c>
    </row>
    <row r="151" spans="1:123" x14ac:dyDescent="0.3">
      <c r="A151" t="s">
        <v>408</v>
      </c>
      <c r="D151" t="s">
        <v>225</v>
      </c>
      <c r="E151" s="24">
        <v>46073.346388888887</v>
      </c>
      <c r="G151" t="s">
        <v>89</v>
      </c>
      <c r="H151" t="s">
        <v>89</v>
      </c>
      <c r="I151" s="24"/>
      <c r="J151" s="24"/>
      <c r="K151" s="24"/>
      <c r="L151" s="24"/>
      <c r="N151" s="24"/>
      <c r="O151" s="24"/>
      <c r="P151" s="24"/>
      <c r="Q151" s="24"/>
      <c r="V151" s="24"/>
      <c r="W151" s="24"/>
      <c r="X151" s="24"/>
      <c r="Y151" s="24"/>
      <c r="AA151" s="24">
        <v>46128.331464409719</v>
      </c>
      <c r="AB151" s="24">
        <v>46128.331464409719</v>
      </c>
      <c r="AC151" s="24"/>
      <c r="AD151" s="24"/>
      <c r="AE151">
        <v>1</v>
      </c>
      <c r="AF151" s="24"/>
      <c r="AG151" s="24"/>
      <c r="AH151" s="24"/>
      <c r="AI151" s="24"/>
      <c r="AK151" s="24"/>
      <c r="AL151" s="24"/>
      <c r="AM151" s="24"/>
      <c r="AN151" s="24"/>
      <c r="AP151" s="24"/>
      <c r="AQ151" s="24"/>
      <c r="AR151" s="24">
        <v>46126.659200624999</v>
      </c>
      <c r="AS151" s="24">
        <v>46126.659200624999</v>
      </c>
      <c r="AX151" s="24"/>
      <c r="AY151" s="24"/>
      <c r="AZ151" s="24"/>
      <c r="BA151" s="24"/>
      <c r="BC151" s="24"/>
      <c r="BD151" s="24"/>
      <c r="BE151" s="24"/>
      <c r="BF151" s="24"/>
      <c r="BH151" s="24">
        <v>46126.659200624999</v>
      </c>
      <c r="BI151" s="24">
        <v>46126.659200624999</v>
      </c>
      <c r="BJ151" s="24">
        <v>46128.331464409719</v>
      </c>
      <c r="BK151" s="24">
        <v>46128.331464409719</v>
      </c>
      <c r="BL151">
        <v>1</v>
      </c>
      <c r="BM151" s="24"/>
      <c r="BN151" s="24"/>
      <c r="BO151" s="24"/>
      <c r="BP151" s="24"/>
      <c r="BR151" s="24"/>
      <c r="BS151" s="24"/>
      <c r="BT151" s="24"/>
      <c r="BU151" s="24"/>
      <c r="BW151" s="24"/>
      <c r="BX151" s="24"/>
      <c r="BY151" s="24"/>
      <c r="BZ151" s="24"/>
      <c r="CB151" s="24"/>
      <c r="CC151" s="24"/>
      <c r="CE151" s="24"/>
      <c r="CF151" s="24"/>
      <c r="CH151" s="24"/>
      <c r="CI151" s="24"/>
      <c r="CJ151" s="24"/>
      <c r="CK151" s="24"/>
      <c r="DE151" s="24"/>
      <c r="DF151" s="24"/>
      <c r="DG151" s="24"/>
      <c r="DH151" s="24"/>
      <c r="DJ151" t="s">
        <v>149</v>
      </c>
      <c r="DK151" t="s">
        <v>149</v>
      </c>
      <c r="DO151">
        <v>33</v>
      </c>
      <c r="DP151">
        <v>33</v>
      </c>
      <c r="DQ151" t="s">
        <v>1000</v>
      </c>
      <c r="DR151" t="s">
        <v>149</v>
      </c>
      <c r="DS151" s="24">
        <v>46160.384426226854</v>
      </c>
    </row>
    <row r="152" spans="1:123" x14ac:dyDescent="0.3">
      <c r="A152" t="s">
        <v>409</v>
      </c>
      <c r="D152" t="s">
        <v>223</v>
      </c>
      <c r="E152" s="24">
        <v>46073.345104166663</v>
      </c>
      <c r="G152" t="s">
        <v>102</v>
      </c>
      <c r="H152" t="s">
        <v>154</v>
      </c>
      <c r="I152" s="24"/>
      <c r="J152" s="24"/>
      <c r="K152" s="24"/>
      <c r="L152" s="24"/>
      <c r="N152" s="24"/>
      <c r="O152" s="24"/>
      <c r="P152" s="24"/>
      <c r="Q152" s="24"/>
      <c r="V152" s="24"/>
      <c r="W152" s="24"/>
      <c r="X152" s="24"/>
      <c r="Y152" s="24"/>
      <c r="AA152" s="24"/>
      <c r="AB152" s="24"/>
      <c r="AC152" s="24"/>
      <c r="AD152" s="24"/>
      <c r="AF152" s="24"/>
      <c r="AG152" s="24"/>
      <c r="AH152" s="24"/>
      <c r="AI152" s="24"/>
      <c r="AK152" s="24"/>
      <c r="AL152" s="24"/>
      <c r="AM152" s="24"/>
      <c r="AN152" s="24"/>
      <c r="AP152" s="24"/>
      <c r="AQ152" s="24"/>
      <c r="AR152" s="24"/>
      <c r="AS152" s="24"/>
      <c r="AX152" s="24"/>
      <c r="AY152" s="24"/>
      <c r="AZ152" s="24"/>
      <c r="BA152" s="24"/>
      <c r="BC152" s="24"/>
      <c r="BD152" s="24"/>
      <c r="BE152" s="24"/>
      <c r="BF152" s="24"/>
      <c r="BH152" s="24"/>
      <c r="BI152" s="24"/>
      <c r="BJ152" s="24"/>
      <c r="BK152" s="24"/>
      <c r="BM152" s="24"/>
      <c r="BN152" s="24"/>
      <c r="BO152" s="24"/>
      <c r="BP152" s="24"/>
      <c r="BR152" s="24"/>
      <c r="BS152" s="24"/>
      <c r="BT152" s="24"/>
      <c r="BU152" s="24"/>
      <c r="BW152" s="24"/>
      <c r="BX152" s="24"/>
      <c r="BY152" s="24"/>
      <c r="BZ152" s="24"/>
      <c r="CB152" s="24"/>
      <c r="CC152" s="24"/>
      <c r="CE152" s="24"/>
      <c r="CF152" s="24"/>
      <c r="CH152" s="24"/>
      <c r="CI152" s="24"/>
      <c r="CJ152" s="24"/>
      <c r="CK152" s="24"/>
      <c r="DE152" s="24"/>
      <c r="DF152" s="24"/>
      <c r="DG152" s="24"/>
      <c r="DH152" s="24"/>
      <c r="DJ152" t="s">
        <v>149</v>
      </c>
      <c r="DK152" t="s">
        <v>149</v>
      </c>
      <c r="DQ152" t="s">
        <v>1000</v>
      </c>
      <c r="DR152" t="s">
        <v>149</v>
      </c>
      <c r="DS152" s="24">
        <v>46160.384426226854</v>
      </c>
    </row>
    <row r="153" spans="1:123" x14ac:dyDescent="0.3">
      <c r="A153" t="s">
        <v>410</v>
      </c>
      <c r="D153" t="s">
        <v>223</v>
      </c>
      <c r="E153" s="24">
        <v>46073.344537037039</v>
      </c>
      <c r="G153" t="s">
        <v>102</v>
      </c>
      <c r="H153" t="s">
        <v>154</v>
      </c>
      <c r="I153" s="24"/>
      <c r="J153" s="24"/>
      <c r="K153" s="24"/>
      <c r="L153" s="24"/>
      <c r="N153" s="24"/>
      <c r="O153" s="24"/>
      <c r="P153" s="24"/>
      <c r="Q153" s="24"/>
      <c r="V153" s="24"/>
      <c r="W153" s="24"/>
      <c r="X153" s="24"/>
      <c r="Y153" s="24"/>
      <c r="AA153" s="24"/>
      <c r="AB153" s="24"/>
      <c r="AC153" s="24"/>
      <c r="AD153" s="24"/>
      <c r="AF153" s="24"/>
      <c r="AG153" s="24"/>
      <c r="AH153" s="24"/>
      <c r="AI153" s="24"/>
      <c r="AK153" s="24"/>
      <c r="AL153" s="24"/>
      <c r="AM153" s="24"/>
      <c r="AN153" s="24"/>
      <c r="AP153" s="24"/>
      <c r="AQ153" s="24"/>
      <c r="AR153" s="24"/>
      <c r="AS153" s="24"/>
      <c r="AX153" s="24"/>
      <c r="AY153" s="24"/>
      <c r="AZ153" s="24"/>
      <c r="BA153" s="24"/>
      <c r="BC153" s="24"/>
      <c r="BD153" s="24"/>
      <c r="BE153" s="24"/>
      <c r="BF153" s="24"/>
      <c r="BH153" s="24"/>
      <c r="BI153" s="24"/>
      <c r="BJ153" s="24"/>
      <c r="BK153" s="24"/>
      <c r="BM153" s="24"/>
      <c r="BN153" s="24"/>
      <c r="BO153" s="24"/>
      <c r="BP153" s="24"/>
      <c r="BR153" s="24"/>
      <c r="BS153" s="24"/>
      <c r="BT153" s="24"/>
      <c r="BU153" s="24"/>
      <c r="BW153" s="24"/>
      <c r="BX153" s="24"/>
      <c r="BY153" s="24"/>
      <c r="BZ153" s="24"/>
      <c r="CB153" s="24"/>
      <c r="CC153" s="24"/>
      <c r="CE153" s="24"/>
      <c r="CF153" s="24"/>
      <c r="CH153" s="24"/>
      <c r="CI153" s="24"/>
      <c r="CJ153" s="24"/>
      <c r="CK153" s="24"/>
      <c r="DE153" s="24"/>
      <c r="DF153" s="24"/>
      <c r="DG153" s="24"/>
      <c r="DH153" s="24"/>
      <c r="DJ153" t="s">
        <v>149</v>
      </c>
      <c r="DK153" t="s">
        <v>149</v>
      </c>
      <c r="DQ153" t="s">
        <v>1000</v>
      </c>
      <c r="DR153" t="s">
        <v>149</v>
      </c>
      <c r="DS153" s="24">
        <v>46160.384426226854</v>
      </c>
    </row>
    <row r="154" spans="1:123" x14ac:dyDescent="0.3">
      <c r="A154" t="s">
        <v>411</v>
      </c>
      <c r="D154" t="s">
        <v>225</v>
      </c>
      <c r="E154" s="24">
        <v>46072.748888888891</v>
      </c>
      <c r="G154" t="s">
        <v>90</v>
      </c>
      <c r="H154" t="s">
        <v>155</v>
      </c>
      <c r="I154" s="24">
        <v>46073.602613379633</v>
      </c>
      <c r="J154" s="24">
        <v>46073.601110671298</v>
      </c>
      <c r="K154" s="24">
        <v>46073.601198182871</v>
      </c>
      <c r="L154" s="24">
        <v>46073.603007361111</v>
      </c>
      <c r="M154">
        <v>2</v>
      </c>
      <c r="N154" s="24"/>
      <c r="O154" s="24"/>
      <c r="P154" s="24"/>
      <c r="Q154" s="24"/>
      <c r="V154" s="24"/>
      <c r="W154" s="24"/>
      <c r="X154" s="24"/>
      <c r="Y154" s="24"/>
      <c r="AA154" s="24">
        <v>46073.603050821759</v>
      </c>
      <c r="AB154" s="24">
        <v>46072.751585613427</v>
      </c>
      <c r="AC154" s="24">
        <v>46072.785380648151</v>
      </c>
      <c r="AD154" s="24">
        <v>46073.603219178243</v>
      </c>
      <c r="AE154">
        <v>2</v>
      </c>
      <c r="AF154" s="24">
        <v>46072.785380648151</v>
      </c>
      <c r="AG154" s="24">
        <v>46072.785380648151</v>
      </c>
      <c r="AH154" s="24">
        <v>46073.410784120373</v>
      </c>
      <c r="AI154" s="24">
        <v>46073.410784120373</v>
      </c>
      <c r="AJ154">
        <v>1</v>
      </c>
      <c r="AK154" s="24">
        <v>46073.603271863423</v>
      </c>
      <c r="AL154" s="24">
        <v>46073.603271863423</v>
      </c>
      <c r="AM154" s="24">
        <v>46073.603343379633</v>
      </c>
      <c r="AN154" s="24">
        <v>46073.603343379633</v>
      </c>
      <c r="AO154">
        <v>1</v>
      </c>
      <c r="AP154" s="24"/>
      <c r="AQ154" s="24"/>
      <c r="AR154" s="24">
        <v>46072.750632164352</v>
      </c>
      <c r="AS154" s="24">
        <v>46072.750632164352</v>
      </c>
      <c r="AX154" s="24"/>
      <c r="AY154" s="24"/>
      <c r="AZ154" s="24"/>
      <c r="BA154" s="24"/>
      <c r="BC154" s="24">
        <v>46073.60351980324</v>
      </c>
      <c r="BD154" s="24">
        <v>46073.60351980324</v>
      </c>
      <c r="BE154" s="24">
        <v>46078.485635868055</v>
      </c>
      <c r="BF154" s="24">
        <v>46078.485635868055</v>
      </c>
      <c r="BG154">
        <v>1</v>
      </c>
      <c r="BH154" s="24">
        <v>46073.603007361111</v>
      </c>
      <c r="BI154" s="24">
        <v>46072.750632164352</v>
      </c>
      <c r="BJ154" s="24">
        <v>46072.751585613427</v>
      </c>
      <c r="BK154" s="24">
        <v>46073.603050821759</v>
      </c>
      <c r="BL154">
        <v>3</v>
      </c>
      <c r="BM154" s="24"/>
      <c r="BN154" s="24"/>
      <c r="BO154" s="24"/>
      <c r="BP154" s="24"/>
      <c r="BR154" s="24">
        <v>46073.603343379633</v>
      </c>
      <c r="BS154" s="24">
        <v>46073.410784120373</v>
      </c>
      <c r="BT154" s="24">
        <v>46073.410833865739</v>
      </c>
      <c r="BU154" s="24">
        <v>46073.60351980324</v>
      </c>
      <c r="BV154">
        <v>2</v>
      </c>
      <c r="BW154" s="24"/>
      <c r="BX154" s="24"/>
      <c r="BY154" s="24"/>
      <c r="BZ154" s="24"/>
      <c r="CB154" s="24"/>
      <c r="CC154" s="24"/>
      <c r="CE154" s="24">
        <v>46078.485635868055</v>
      </c>
      <c r="CF154" s="24">
        <v>46073.410833865739</v>
      </c>
      <c r="CG154">
        <v>2</v>
      </c>
      <c r="CH154" s="24"/>
      <c r="CI154" s="24"/>
      <c r="CJ154" s="24"/>
      <c r="CK154" s="24"/>
      <c r="DE154" s="24">
        <v>46073.603219178243</v>
      </c>
      <c r="DF154" s="24">
        <v>46073.603219178243</v>
      </c>
      <c r="DG154" s="24">
        <v>46073.603271863423</v>
      </c>
      <c r="DH154" s="24">
        <v>46073.603271863423</v>
      </c>
      <c r="DI154">
        <v>1</v>
      </c>
      <c r="DJ154" t="s">
        <v>149</v>
      </c>
      <c r="DK154" t="s">
        <v>149</v>
      </c>
      <c r="DM154">
        <v>6</v>
      </c>
      <c r="DN154">
        <v>6</v>
      </c>
      <c r="DQ154" t="s">
        <v>1000</v>
      </c>
      <c r="DR154" t="s">
        <v>149</v>
      </c>
      <c r="DS154" s="24">
        <v>46160.384426226854</v>
      </c>
    </row>
    <row r="155" spans="1:123" x14ac:dyDescent="0.3">
      <c r="A155" t="s">
        <v>412</v>
      </c>
      <c r="D155" t="s">
        <v>225</v>
      </c>
      <c r="E155" s="24">
        <v>46072.61482638889</v>
      </c>
      <c r="G155" t="s">
        <v>102</v>
      </c>
      <c r="H155" t="s">
        <v>154</v>
      </c>
      <c r="I155" s="24"/>
      <c r="J155" s="24"/>
      <c r="K155" s="24"/>
      <c r="L155" s="24"/>
      <c r="N155" s="24"/>
      <c r="O155" s="24"/>
      <c r="P155" s="24"/>
      <c r="Q155" s="24"/>
      <c r="V155" s="24"/>
      <c r="W155" s="24"/>
      <c r="X155" s="24"/>
      <c r="Y155" s="24"/>
      <c r="AA155" s="24"/>
      <c r="AB155" s="24"/>
      <c r="AC155" s="24"/>
      <c r="AD155" s="24"/>
      <c r="AF155" s="24"/>
      <c r="AG155" s="24"/>
      <c r="AH155" s="24"/>
      <c r="AI155" s="24"/>
      <c r="AK155" s="24"/>
      <c r="AL155" s="24"/>
      <c r="AM155" s="24"/>
      <c r="AN155" s="24"/>
      <c r="AP155" s="24"/>
      <c r="AQ155" s="24"/>
      <c r="AR155" s="24"/>
      <c r="AS155" s="24"/>
      <c r="AX155" s="24"/>
      <c r="AY155" s="24"/>
      <c r="AZ155" s="24"/>
      <c r="BA155" s="24"/>
      <c r="BC155" s="24"/>
      <c r="BD155" s="24"/>
      <c r="BE155" s="24"/>
      <c r="BF155" s="24"/>
      <c r="BH155" s="24"/>
      <c r="BI155" s="24"/>
      <c r="BJ155" s="24"/>
      <c r="BK155" s="24"/>
      <c r="BM155" s="24"/>
      <c r="BN155" s="24"/>
      <c r="BO155" s="24"/>
      <c r="BP155" s="24"/>
      <c r="BR155" s="24"/>
      <c r="BS155" s="24"/>
      <c r="BT155" s="24"/>
      <c r="BU155" s="24"/>
      <c r="BW155" s="24"/>
      <c r="BX155" s="24"/>
      <c r="BY155" s="24"/>
      <c r="BZ155" s="24"/>
      <c r="CB155" s="24"/>
      <c r="CC155" s="24"/>
      <c r="CE155" s="24"/>
      <c r="CF155" s="24"/>
      <c r="CH155" s="24"/>
      <c r="CI155" s="24"/>
      <c r="CJ155" s="24"/>
      <c r="CK155" s="24"/>
      <c r="DE155" s="24"/>
      <c r="DF155" s="24"/>
      <c r="DG155" s="24"/>
      <c r="DH155" s="24"/>
      <c r="DJ155" t="s">
        <v>149</v>
      </c>
      <c r="DK155" t="s">
        <v>149</v>
      </c>
      <c r="DQ155" t="s">
        <v>1000</v>
      </c>
      <c r="DR155" t="s">
        <v>149</v>
      </c>
      <c r="DS155" s="24">
        <v>46160.384426226854</v>
      </c>
    </row>
    <row r="156" spans="1:123" x14ac:dyDescent="0.3">
      <c r="A156" t="s">
        <v>413</v>
      </c>
      <c r="D156" t="s">
        <v>225</v>
      </c>
      <c r="E156" s="24">
        <v>46071.658148148148</v>
      </c>
      <c r="G156" t="s">
        <v>90</v>
      </c>
      <c r="H156" t="s">
        <v>155</v>
      </c>
      <c r="I156" s="24"/>
      <c r="J156" s="24"/>
      <c r="K156" s="24"/>
      <c r="L156" s="24"/>
      <c r="N156" s="24"/>
      <c r="O156" s="24"/>
      <c r="P156" s="24"/>
      <c r="Q156" s="24"/>
      <c r="V156" s="24"/>
      <c r="W156" s="24"/>
      <c r="X156" s="24"/>
      <c r="Y156" s="24"/>
      <c r="AA156" s="24">
        <v>46071.666172754631</v>
      </c>
      <c r="AB156" s="24">
        <v>46071.666172754631</v>
      </c>
      <c r="AC156" s="24">
        <v>46072.735088148147</v>
      </c>
      <c r="AD156" s="24">
        <v>46072.735088148147</v>
      </c>
      <c r="AE156">
        <v>1</v>
      </c>
      <c r="AF156" s="24">
        <v>46072.735088148147</v>
      </c>
      <c r="AG156" s="24">
        <v>46072.735088148147</v>
      </c>
      <c r="AH156" s="24">
        <v>46076.334352280093</v>
      </c>
      <c r="AI156" s="24">
        <v>46076.334352280093</v>
      </c>
      <c r="AJ156">
        <v>1</v>
      </c>
      <c r="AK156" s="24">
        <v>46076.334352280093</v>
      </c>
      <c r="AL156" s="24">
        <v>46076.334352280093</v>
      </c>
      <c r="AM156" s="24">
        <v>46076.334390034724</v>
      </c>
      <c r="AN156" s="24">
        <v>46076.334390034724</v>
      </c>
      <c r="AO156">
        <v>1</v>
      </c>
      <c r="AP156" s="24"/>
      <c r="AQ156" s="24"/>
      <c r="AR156" s="24">
        <v>46071.666132951388</v>
      </c>
      <c r="AS156" s="24">
        <v>46071.666132951388</v>
      </c>
      <c r="AX156" s="24"/>
      <c r="AY156" s="24"/>
      <c r="AZ156" s="24"/>
      <c r="BA156" s="24"/>
      <c r="BC156" s="24">
        <v>46076.334598796297</v>
      </c>
      <c r="BD156" s="24">
        <v>46076.334598796297</v>
      </c>
      <c r="BE156" s="24">
        <v>46078.485635925928</v>
      </c>
      <c r="BF156" s="24">
        <v>46078.485635925928</v>
      </c>
      <c r="BG156">
        <v>1</v>
      </c>
      <c r="BH156" s="24">
        <v>46071.666132951388</v>
      </c>
      <c r="BI156" s="24">
        <v>46071.666132951388</v>
      </c>
      <c r="BJ156" s="24">
        <v>46071.666172754631</v>
      </c>
      <c r="BK156" s="24">
        <v>46071.666172754631</v>
      </c>
      <c r="BL156">
        <v>1</v>
      </c>
      <c r="BM156" s="24"/>
      <c r="BN156" s="24"/>
      <c r="BO156" s="24"/>
      <c r="BP156" s="24"/>
      <c r="BR156" s="24">
        <v>46076.334390034724</v>
      </c>
      <c r="BS156" s="24">
        <v>46076.334390034724</v>
      </c>
      <c r="BT156" s="24">
        <v>46076.334598796297</v>
      </c>
      <c r="BU156" s="24">
        <v>46076.334598796297</v>
      </c>
      <c r="BV156">
        <v>1</v>
      </c>
      <c r="BW156" s="24"/>
      <c r="BX156" s="24"/>
      <c r="BY156" s="24"/>
      <c r="BZ156" s="24"/>
      <c r="CB156" s="24"/>
      <c r="CC156" s="24"/>
      <c r="CE156" s="24">
        <v>46078.485635925928</v>
      </c>
      <c r="CF156" s="24">
        <v>46078.485635925928</v>
      </c>
      <c r="CG156">
        <v>1</v>
      </c>
      <c r="CH156" s="24"/>
      <c r="CI156" s="24"/>
      <c r="CJ156" s="24"/>
      <c r="CK156" s="24"/>
      <c r="DE156" s="24"/>
      <c r="DF156" s="24"/>
      <c r="DG156" s="24"/>
      <c r="DH156" s="24"/>
      <c r="DJ156" t="s">
        <v>149</v>
      </c>
      <c r="DK156" t="s">
        <v>149</v>
      </c>
      <c r="DM156">
        <v>7</v>
      </c>
      <c r="DN156">
        <v>7</v>
      </c>
      <c r="DQ156" t="s">
        <v>1000</v>
      </c>
      <c r="DR156" t="s">
        <v>149</v>
      </c>
      <c r="DS156" s="24">
        <v>46160.384426226854</v>
      </c>
    </row>
    <row r="157" spans="1:123" x14ac:dyDescent="0.3">
      <c r="A157" t="s">
        <v>414</v>
      </c>
      <c r="D157" t="s">
        <v>225</v>
      </c>
      <c r="E157" s="24">
        <v>46071.63003472222</v>
      </c>
      <c r="G157" t="s">
        <v>90</v>
      </c>
      <c r="H157" t="s">
        <v>155</v>
      </c>
      <c r="I157" s="24"/>
      <c r="J157" s="24"/>
      <c r="K157" s="24"/>
      <c r="L157" s="24"/>
      <c r="N157" s="24"/>
      <c r="O157" s="24"/>
      <c r="P157" s="24"/>
      <c r="Q157" s="24"/>
      <c r="V157" s="24"/>
      <c r="W157" s="24"/>
      <c r="X157" s="24"/>
      <c r="Y157" s="24"/>
      <c r="AA157" s="24">
        <v>46071.633490312503</v>
      </c>
      <c r="AB157" s="24">
        <v>46071.633490312503</v>
      </c>
      <c r="AC157" s="24">
        <v>46072.736367060184</v>
      </c>
      <c r="AD157" s="24">
        <v>46072.736367060184</v>
      </c>
      <c r="AE157">
        <v>1</v>
      </c>
      <c r="AF157" s="24">
        <v>46072.736367060184</v>
      </c>
      <c r="AG157" s="24">
        <v>46072.736367060184</v>
      </c>
      <c r="AH157" s="24">
        <v>46073.40846363426</v>
      </c>
      <c r="AI157" s="24">
        <v>46073.40846363426</v>
      </c>
      <c r="AJ157">
        <v>1</v>
      </c>
      <c r="AK157" s="24">
        <v>46073.40846363426</v>
      </c>
      <c r="AL157" s="24">
        <v>46073.40846363426</v>
      </c>
      <c r="AM157" s="24">
        <v>46073.408771388888</v>
      </c>
      <c r="AN157" s="24">
        <v>46073.408771388888</v>
      </c>
      <c r="AO157">
        <v>1</v>
      </c>
      <c r="AP157" s="24"/>
      <c r="AQ157" s="24"/>
      <c r="AR157" s="24">
        <v>46071.632506863425</v>
      </c>
      <c r="AS157" s="24">
        <v>46071.632506863425</v>
      </c>
      <c r="AX157" s="24"/>
      <c r="AY157" s="24"/>
      <c r="AZ157" s="24"/>
      <c r="BA157" s="24"/>
      <c r="BC157" s="24">
        <v>46073.408874004628</v>
      </c>
      <c r="BD157" s="24">
        <v>46073.408874004628</v>
      </c>
      <c r="BE157" s="24">
        <v>46078.4856358912</v>
      </c>
      <c r="BF157" s="24">
        <v>46078.4856358912</v>
      </c>
      <c r="BG157">
        <v>1</v>
      </c>
      <c r="BH157" s="24">
        <v>46071.632506863425</v>
      </c>
      <c r="BI157" s="24">
        <v>46071.632506863425</v>
      </c>
      <c r="BJ157" s="24">
        <v>46071.633490312503</v>
      </c>
      <c r="BK157" s="24">
        <v>46071.633490312503</v>
      </c>
      <c r="BL157">
        <v>1</v>
      </c>
      <c r="BM157" s="24"/>
      <c r="BN157" s="24"/>
      <c r="BO157" s="24"/>
      <c r="BP157" s="24"/>
      <c r="BR157" s="24">
        <v>46073.408771388888</v>
      </c>
      <c r="BS157" s="24">
        <v>46073.408771388888</v>
      </c>
      <c r="BT157" s="24">
        <v>46073.408874004628</v>
      </c>
      <c r="BU157" s="24">
        <v>46073.408874004628</v>
      </c>
      <c r="BV157">
        <v>1</v>
      </c>
      <c r="BW157" s="24"/>
      <c r="BX157" s="24"/>
      <c r="BY157" s="24"/>
      <c r="BZ157" s="24"/>
      <c r="CB157" s="24"/>
      <c r="CC157" s="24"/>
      <c r="CE157" s="24">
        <v>46078.4856358912</v>
      </c>
      <c r="CF157" s="24">
        <v>46078.4856358912</v>
      </c>
      <c r="CG157">
        <v>1</v>
      </c>
      <c r="CH157" s="24"/>
      <c r="CI157" s="24"/>
      <c r="CJ157" s="24"/>
      <c r="CK157" s="24"/>
      <c r="DE157" s="24"/>
      <c r="DF157" s="24"/>
      <c r="DG157" s="24"/>
      <c r="DH157" s="24"/>
      <c r="DJ157" t="s">
        <v>149</v>
      </c>
      <c r="DK157" t="s">
        <v>149</v>
      </c>
      <c r="DM157">
        <v>7</v>
      </c>
      <c r="DN157">
        <v>7</v>
      </c>
      <c r="DQ157" t="s">
        <v>1000</v>
      </c>
      <c r="DR157" t="s">
        <v>149</v>
      </c>
      <c r="DS157" s="24">
        <v>46160.384426226854</v>
      </c>
    </row>
    <row r="158" spans="1:123" x14ac:dyDescent="0.3">
      <c r="A158" t="s">
        <v>264</v>
      </c>
      <c r="D158" t="s">
        <v>223</v>
      </c>
      <c r="E158" s="24">
        <v>46070.772789351853</v>
      </c>
      <c r="G158" t="s">
        <v>90</v>
      </c>
      <c r="H158" t="s">
        <v>155</v>
      </c>
      <c r="I158" s="24">
        <v>46092.408679884262</v>
      </c>
      <c r="J158" s="24">
        <v>46092.408679884262</v>
      </c>
      <c r="K158" s="24">
        <v>46092.408749942129</v>
      </c>
      <c r="L158" s="24">
        <v>46092.408749942129</v>
      </c>
      <c r="M158">
        <v>1</v>
      </c>
      <c r="N158" s="24">
        <v>46085.323301157405</v>
      </c>
      <c r="O158" s="24">
        <v>46085.323301157405</v>
      </c>
      <c r="P158" s="24">
        <v>46092.408679884262</v>
      </c>
      <c r="Q158" s="24">
        <v>46092.408679884262</v>
      </c>
      <c r="R158">
        <v>1</v>
      </c>
      <c r="V158" s="24"/>
      <c r="W158" s="24"/>
      <c r="X158" s="24"/>
      <c r="Y158" s="24"/>
      <c r="AA158" s="24">
        <v>46094.545316828706</v>
      </c>
      <c r="AB158" s="24">
        <v>46083.611459537038</v>
      </c>
      <c r="AC158" s="24">
        <v>46085.323301157405</v>
      </c>
      <c r="AD158" s="24">
        <v>46094.545453541665</v>
      </c>
      <c r="AE158">
        <v>2</v>
      </c>
      <c r="AF158" s="24"/>
      <c r="AG158" s="24"/>
      <c r="AH158" s="24"/>
      <c r="AI158" s="24"/>
      <c r="AK158" s="24"/>
      <c r="AL158" s="24"/>
      <c r="AM158" s="24"/>
      <c r="AN158" s="24"/>
      <c r="AP158" s="24"/>
      <c r="AQ158" s="24"/>
      <c r="AR158" s="24">
        <v>46083.611321226854</v>
      </c>
      <c r="AS158" s="24">
        <v>46083.611321226854</v>
      </c>
      <c r="AX158" s="24"/>
      <c r="AY158" s="24"/>
      <c r="AZ158" s="24"/>
      <c r="BA158" s="24"/>
      <c r="BC158" s="24"/>
      <c r="BD158" s="24"/>
      <c r="BE158" s="24"/>
      <c r="BF158" s="24"/>
      <c r="BH158" s="24">
        <v>46092.408749942129</v>
      </c>
      <c r="BI158" s="24">
        <v>46083.611321226854</v>
      </c>
      <c r="BJ158" s="24">
        <v>46083.611459537038</v>
      </c>
      <c r="BK158" s="24">
        <v>46094.545316828706</v>
      </c>
      <c r="BL158">
        <v>2</v>
      </c>
      <c r="BM158" s="24"/>
      <c r="BN158" s="24"/>
      <c r="BO158" s="24"/>
      <c r="BP158" s="24"/>
      <c r="BR158" s="24"/>
      <c r="BS158" s="24"/>
      <c r="BT158" s="24"/>
      <c r="BU158" s="24"/>
      <c r="BW158" s="24"/>
      <c r="BX158" s="24"/>
      <c r="BY158" s="24"/>
      <c r="BZ158" s="24"/>
      <c r="CB158" s="24"/>
      <c r="CC158" s="24"/>
      <c r="CE158" s="24">
        <v>46094.545453541665</v>
      </c>
      <c r="CF158" s="24">
        <v>46094.545453541665</v>
      </c>
      <c r="CG158">
        <v>1</v>
      </c>
      <c r="CH158" s="24"/>
      <c r="CI158" s="24"/>
      <c r="CJ158" s="24"/>
      <c r="CK158" s="24"/>
      <c r="DE158" s="24"/>
      <c r="DF158" s="24"/>
      <c r="DG158" s="24"/>
      <c r="DH158" s="24"/>
      <c r="DJ158" t="s">
        <v>149</v>
      </c>
      <c r="DK158" t="s">
        <v>149</v>
      </c>
      <c r="DL158">
        <v>7.0853787037037037</v>
      </c>
      <c r="DM158">
        <v>11</v>
      </c>
      <c r="DN158">
        <v>11</v>
      </c>
      <c r="DQ158" t="s">
        <v>1000</v>
      </c>
      <c r="DR158" t="s">
        <v>149</v>
      </c>
      <c r="DS158" s="24">
        <v>46160.384426226854</v>
      </c>
    </row>
    <row r="159" spans="1:123" x14ac:dyDescent="0.3">
      <c r="A159" t="s">
        <v>415</v>
      </c>
      <c r="D159" t="s">
        <v>223</v>
      </c>
      <c r="E159" s="24">
        <v>46070.733703703707</v>
      </c>
      <c r="G159" t="s">
        <v>90</v>
      </c>
      <c r="H159" t="s">
        <v>155</v>
      </c>
      <c r="I159" s="24"/>
      <c r="J159" s="24"/>
      <c r="K159" s="24"/>
      <c r="L159" s="24"/>
      <c r="N159" s="24"/>
      <c r="O159" s="24"/>
      <c r="P159" s="24"/>
      <c r="Q159" s="24"/>
      <c r="V159" s="24"/>
      <c r="W159" s="24"/>
      <c r="X159" s="24"/>
      <c r="Y159" s="24"/>
      <c r="AA159" s="24">
        <v>46104.413526400465</v>
      </c>
      <c r="AB159" s="24">
        <v>46104.413526400465</v>
      </c>
      <c r="AC159" s="24">
        <v>46113.639981307868</v>
      </c>
      <c r="AD159" s="24">
        <v>46113.639981307868</v>
      </c>
      <c r="AE159">
        <v>1</v>
      </c>
      <c r="AF159" s="24"/>
      <c r="AG159" s="24"/>
      <c r="AH159" s="24"/>
      <c r="AI159" s="24"/>
      <c r="AK159" s="24"/>
      <c r="AL159" s="24"/>
      <c r="AM159" s="24"/>
      <c r="AN159" s="24"/>
      <c r="AP159" s="24"/>
      <c r="AQ159" s="24"/>
      <c r="AR159" s="24">
        <v>46098.568235659724</v>
      </c>
      <c r="AS159" s="24">
        <v>46098.568235659724</v>
      </c>
      <c r="AX159" s="24"/>
      <c r="AY159" s="24"/>
      <c r="AZ159" s="24"/>
      <c r="BA159" s="24"/>
      <c r="BC159" s="24"/>
      <c r="BD159" s="24"/>
      <c r="BE159" s="24"/>
      <c r="BF159" s="24"/>
      <c r="BH159" s="24">
        <v>46098.568235659724</v>
      </c>
      <c r="BI159" s="24">
        <v>46098.568235659724</v>
      </c>
      <c r="BJ159" s="24">
        <v>46104.413526400465</v>
      </c>
      <c r="BK159" s="24">
        <v>46104.413526400465</v>
      </c>
      <c r="BL159">
        <v>1</v>
      </c>
      <c r="BM159" s="24"/>
      <c r="BN159" s="24"/>
      <c r="BO159" s="24"/>
      <c r="BP159" s="24"/>
      <c r="BR159" s="24">
        <v>46113.639981307868</v>
      </c>
      <c r="BS159" s="24">
        <v>46113.639981307868</v>
      </c>
      <c r="BT159" s="24">
        <v>46114.405862638887</v>
      </c>
      <c r="BU159" s="24">
        <v>46114.405862638887</v>
      </c>
      <c r="BV159">
        <v>1</v>
      </c>
      <c r="BW159" s="24"/>
      <c r="BX159" s="24"/>
      <c r="BY159" s="24"/>
      <c r="BZ159" s="24"/>
      <c r="CB159" s="24"/>
      <c r="CC159" s="24"/>
      <c r="CE159" s="24">
        <v>46114.405862638887</v>
      </c>
      <c r="CF159" s="24">
        <v>46114.405862638887</v>
      </c>
      <c r="CG159">
        <v>1</v>
      </c>
      <c r="CH159" s="24"/>
      <c r="CI159" s="24"/>
      <c r="CJ159" s="24"/>
      <c r="CK159" s="24"/>
      <c r="DE159" s="24"/>
      <c r="DF159" s="24"/>
      <c r="DG159" s="24"/>
      <c r="DH159" s="24"/>
      <c r="DJ159" t="s">
        <v>149</v>
      </c>
      <c r="DK159" t="s">
        <v>149</v>
      </c>
      <c r="DM159">
        <v>16</v>
      </c>
      <c r="DN159">
        <v>10</v>
      </c>
      <c r="DQ159" t="s">
        <v>1000</v>
      </c>
      <c r="DR159" t="s">
        <v>149</v>
      </c>
      <c r="DS159" s="24">
        <v>46160.384426226854</v>
      </c>
    </row>
    <row r="160" spans="1:123" x14ac:dyDescent="0.3">
      <c r="A160" t="s">
        <v>416</v>
      </c>
      <c r="D160" t="s">
        <v>223</v>
      </c>
      <c r="E160" s="24">
        <v>46070.640787037039</v>
      </c>
      <c r="G160" t="s">
        <v>90</v>
      </c>
      <c r="H160" t="s">
        <v>155</v>
      </c>
      <c r="I160" s="24"/>
      <c r="J160" s="24"/>
      <c r="K160" s="24"/>
      <c r="L160" s="24"/>
      <c r="N160" s="24"/>
      <c r="O160" s="24"/>
      <c r="P160" s="24"/>
      <c r="Q160" s="24"/>
      <c r="V160" s="24"/>
      <c r="W160" s="24"/>
      <c r="X160" s="24"/>
      <c r="Y160" s="24"/>
      <c r="AA160" s="24">
        <v>46070.64575009259</v>
      </c>
      <c r="AB160" s="24">
        <v>46070.64575009259</v>
      </c>
      <c r="AC160" s="24">
        <v>46071.532474571759</v>
      </c>
      <c r="AD160" s="24">
        <v>46071.532474571759</v>
      </c>
      <c r="AE160">
        <v>1</v>
      </c>
      <c r="AF160" s="24">
        <v>46071.532474571759</v>
      </c>
      <c r="AG160" s="24">
        <v>46071.532474571759</v>
      </c>
      <c r="AH160" s="24">
        <v>46073.410273738424</v>
      </c>
      <c r="AI160" s="24">
        <v>46073.410273738424</v>
      </c>
      <c r="AJ160">
        <v>1</v>
      </c>
      <c r="AK160" s="24"/>
      <c r="AL160" s="24"/>
      <c r="AM160" s="24"/>
      <c r="AN160" s="24"/>
      <c r="AP160" s="24"/>
      <c r="AQ160" s="24"/>
      <c r="AR160" s="24">
        <v>46070.641030613428</v>
      </c>
      <c r="AS160" s="24">
        <v>46070.641030613428</v>
      </c>
      <c r="AX160" s="24"/>
      <c r="AY160" s="24"/>
      <c r="AZ160" s="24"/>
      <c r="BA160" s="24"/>
      <c r="BC160" s="24"/>
      <c r="BD160" s="24"/>
      <c r="BE160" s="24"/>
      <c r="BF160" s="24"/>
      <c r="BH160" s="24">
        <v>46070.641030613428</v>
      </c>
      <c r="BI160" s="24">
        <v>46070.641030613428</v>
      </c>
      <c r="BJ160" s="24">
        <v>46070.64575009259</v>
      </c>
      <c r="BK160" s="24">
        <v>46070.64575009259</v>
      </c>
      <c r="BL160">
        <v>1</v>
      </c>
      <c r="BM160" s="24"/>
      <c r="BN160" s="24"/>
      <c r="BO160" s="24"/>
      <c r="BP160" s="24"/>
      <c r="BR160" s="24">
        <v>46073.410273738424</v>
      </c>
      <c r="BS160" s="24">
        <v>46073.410273738424</v>
      </c>
      <c r="BT160" s="24">
        <v>46073.410308206017</v>
      </c>
      <c r="BU160" s="24">
        <v>46073.410308206017</v>
      </c>
      <c r="BV160">
        <v>1</v>
      </c>
      <c r="BW160" s="24"/>
      <c r="BX160" s="24"/>
      <c r="BY160" s="24"/>
      <c r="BZ160" s="24"/>
      <c r="CB160" s="24"/>
      <c r="CC160" s="24"/>
      <c r="CE160" s="24">
        <v>46073.410308206017</v>
      </c>
      <c r="CF160" s="24">
        <v>46073.410308206017</v>
      </c>
      <c r="CG160">
        <v>1</v>
      </c>
      <c r="CH160" s="24"/>
      <c r="CI160" s="24"/>
      <c r="CJ160" s="24"/>
      <c r="CK160" s="24"/>
      <c r="DE160" s="24"/>
      <c r="DF160" s="24"/>
      <c r="DG160" s="24"/>
      <c r="DH160" s="24"/>
      <c r="DJ160" t="s">
        <v>149</v>
      </c>
      <c r="DK160" t="s">
        <v>149</v>
      </c>
      <c r="DM160">
        <v>3</v>
      </c>
      <c r="DN160">
        <v>3</v>
      </c>
      <c r="DQ160" t="s">
        <v>1000</v>
      </c>
      <c r="DR160" t="s">
        <v>149</v>
      </c>
      <c r="DS160" s="24">
        <v>46160.384426226854</v>
      </c>
    </row>
    <row r="161" spans="1:123" x14ac:dyDescent="0.3">
      <c r="A161" t="s">
        <v>417</v>
      </c>
      <c r="D161" t="s">
        <v>223</v>
      </c>
      <c r="E161" s="24">
        <v>46070.541087962964</v>
      </c>
      <c r="G161" t="s">
        <v>90</v>
      </c>
      <c r="H161" t="s">
        <v>155</v>
      </c>
      <c r="I161" s="24"/>
      <c r="J161" s="24"/>
      <c r="K161" s="24"/>
      <c r="L161" s="24"/>
      <c r="N161" s="24"/>
      <c r="O161" s="24"/>
      <c r="P161" s="24"/>
      <c r="Q161" s="24"/>
      <c r="V161" s="24"/>
      <c r="W161" s="24"/>
      <c r="X161" s="24"/>
      <c r="Y161" s="24"/>
      <c r="AA161" s="24">
        <v>46077.415659629631</v>
      </c>
      <c r="AB161" s="24">
        <v>46077.415659629631</v>
      </c>
      <c r="AC161" s="24">
        <v>46077.415926319445</v>
      </c>
      <c r="AD161" s="24">
        <v>46077.415926319445</v>
      </c>
      <c r="AE161">
        <v>1</v>
      </c>
      <c r="AF161" s="24"/>
      <c r="AG161" s="24"/>
      <c r="AH161" s="24"/>
      <c r="AI161" s="24"/>
      <c r="AK161" s="24"/>
      <c r="AL161" s="24"/>
      <c r="AM161" s="24"/>
      <c r="AN161" s="24"/>
      <c r="AP161" s="24"/>
      <c r="AQ161" s="24"/>
      <c r="AR161" s="24">
        <v>46070.542307280091</v>
      </c>
      <c r="AS161" s="24">
        <v>46070.542307280091</v>
      </c>
      <c r="AX161" s="24"/>
      <c r="AY161" s="24"/>
      <c r="AZ161" s="24"/>
      <c r="BA161" s="24"/>
      <c r="BC161" s="24"/>
      <c r="BD161" s="24"/>
      <c r="BE161" s="24"/>
      <c r="BF161" s="24"/>
      <c r="BH161" s="24">
        <v>46070.542307280091</v>
      </c>
      <c r="BI161" s="24">
        <v>46070.542307280091</v>
      </c>
      <c r="BJ161" s="24">
        <v>46077.415659629631</v>
      </c>
      <c r="BK161" s="24">
        <v>46077.415659629631</v>
      </c>
      <c r="BL161">
        <v>1</v>
      </c>
      <c r="BM161" s="24"/>
      <c r="BN161" s="24"/>
      <c r="BO161" s="24"/>
      <c r="BP161" s="24"/>
      <c r="BR161" s="24"/>
      <c r="BS161" s="24"/>
      <c r="BT161" s="24"/>
      <c r="BU161" s="24"/>
      <c r="BW161" s="24"/>
      <c r="BX161" s="24"/>
      <c r="BY161" s="24"/>
      <c r="BZ161" s="24"/>
      <c r="CB161" s="24"/>
      <c r="CC161" s="24"/>
      <c r="CE161" s="24">
        <v>46077.415926319445</v>
      </c>
      <c r="CF161" s="24">
        <v>46077.415926319445</v>
      </c>
      <c r="CG161">
        <v>1</v>
      </c>
      <c r="CH161" s="24"/>
      <c r="CI161" s="24"/>
      <c r="CJ161" s="24"/>
      <c r="CK161" s="24"/>
      <c r="DE161" s="24"/>
      <c r="DF161" s="24"/>
      <c r="DG161" s="24"/>
      <c r="DH161" s="24"/>
      <c r="DJ161" t="s">
        <v>149</v>
      </c>
      <c r="DK161" t="s">
        <v>149</v>
      </c>
      <c r="DM161">
        <v>7</v>
      </c>
      <c r="DN161">
        <v>1</v>
      </c>
      <c r="DQ161" t="s">
        <v>1000</v>
      </c>
      <c r="DR161" t="s">
        <v>149</v>
      </c>
      <c r="DS161" s="24">
        <v>46160.384426226854</v>
      </c>
    </row>
    <row r="162" spans="1:123" x14ac:dyDescent="0.3">
      <c r="A162" t="s">
        <v>418</v>
      </c>
      <c r="D162" t="s">
        <v>225</v>
      </c>
      <c r="E162" s="24">
        <v>46064.421053240738</v>
      </c>
      <c r="G162" t="s">
        <v>90</v>
      </c>
      <c r="H162" t="s">
        <v>155</v>
      </c>
      <c r="I162" s="24"/>
      <c r="J162" s="24"/>
      <c r="K162" s="24"/>
      <c r="L162" s="24"/>
      <c r="N162" s="24"/>
      <c r="O162" s="24"/>
      <c r="P162" s="24"/>
      <c r="Q162" s="24"/>
      <c r="V162" s="24"/>
      <c r="W162" s="24"/>
      <c r="X162" s="24"/>
      <c r="Y162" s="24"/>
      <c r="AA162" s="24">
        <v>46087.66047091435</v>
      </c>
      <c r="AB162" s="24">
        <v>46087.66047091435</v>
      </c>
      <c r="AC162" s="24">
        <v>46093.557779722221</v>
      </c>
      <c r="AD162" s="24">
        <v>46093.557779722221</v>
      </c>
      <c r="AE162">
        <v>1</v>
      </c>
      <c r="AF162" s="24">
        <v>46093.557779722221</v>
      </c>
      <c r="AG162" s="24">
        <v>46093.557779722221</v>
      </c>
      <c r="AH162" s="24">
        <v>46093.697107465276</v>
      </c>
      <c r="AI162" s="24">
        <v>46093.697107465276</v>
      </c>
      <c r="AJ162">
        <v>1</v>
      </c>
      <c r="AK162" s="24">
        <v>46093.697107465276</v>
      </c>
      <c r="AL162" s="24">
        <v>46093.697107465276</v>
      </c>
      <c r="AM162" s="24">
        <v>46094.316650358793</v>
      </c>
      <c r="AN162" s="24">
        <v>46094.316650358793</v>
      </c>
      <c r="AO162">
        <v>1</v>
      </c>
      <c r="AP162" s="24">
        <v>46070.716232199076</v>
      </c>
      <c r="AQ162" s="24">
        <v>46070.716232199076</v>
      </c>
      <c r="AR162" s="24">
        <v>46070.718227048608</v>
      </c>
      <c r="AS162" s="24">
        <v>46070.718227048608</v>
      </c>
      <c r="AT162">
        <v>1</v>
      </c>
      <c r="AX162" s="24"/>
      <c r="AY162" s="24"/>
      <c r="AZ162" s="24"/>
      <c r="BA162" s="24"/>
      <c r="BC162" s="24">
        <v>46094.407949803244</v>
      </c>
      <c r="BD162" s="24">
        <v>46094.407949803244</v>
      </c>
      <c r="BE162" s="24">
        <v>46099.564617245371</v>
      </c>
      <c r="BF162" s="24">
        <v>46099.564617245371</v>
      </c>
      <c r="BG162">
        <v>1</v>
      </c>
      <c r="BH162" s="24">
        <v>46070.718227048608</v>
      </c>
      <c r="BI162" s="24">
        <v>46070.718227048608</v>
      </c>
      <c r="BJ162" s="24">
        <v>46087.66047091435</v>
      </c>
      <c r="BK162" s="24">
        <v>46087.66047091435</v>
      </c>
      <c r="BL162">
        <v>1</v>
      </c>
      <c r="BM162" s="24"/>
      <c r="BN162" s="24"/>
      <c r="BO162" s="24"/>
      <c r="BP162" s="24"/>
      <c r="BR162" s="24">
        <v>46094.316650358793</v>
      </c>
      <c r="BS162" s="24">
        <v>46094.316650358793</v>
      </c>
      <c r="BT162" s="24">
        <v>46094.407949803244</v>
      </c>
      <c r="BU162" s="24">
        <v>46094.407949803244</v>
      </c>
      <c r="BV162">
        <v>1</v>
      </c>
      <c r="BW162" s="24"/>
      <c r="BX162" s="24"/>
      <c r="BY162" s="24"/>
      <c r="BZ162" s="24"/>
      <c r="CB162" s="24"/>
      <c r="CC162" s="24"/>
      <c r="CE162" s="24">
        <v>46099.564617245371</v>
      </c>
      <c r="CF162" s="24">
        <v>46099.564617245371</v>
      </c>
      <c r="CG162">
        <v>1</v>
      </c>
      <c r="CH162" s="24"/>
      <c r="CI162" s="24"/>
      <c r="CJ162" s="24"/>
      <c r="CK162" s="24"/>
      <c r="DE162" s="24"/>
      <c r="DF162" s="24"/>
      <c r="DG162" s="24"/>
      <c r="DH162" s="24"/>
      <c r="DJ162" t="s">
        <v>149</v>
      </c>
      <c r="DK162" t="s">
        <v>149</v>
      </c>
      <c r="DM162">
        <v>29</v>
      </c>
      <c r="DN162">
        <v>12</v>
      </c>
      <c r="DQ162" t="s">
        <v>1000</v>
      </c>
      <c r="DR162" t="s">
        <v>149</v>
      </c>
      <c r="DS162" s="24">
        <v>46160.384426226854</v>
      </c>
    </row>
    <row r="163" spans="1:123" x14ac:dyDescent="0.3">
      <c r="A163" t="s">
        <v>419</v>
      </c>
      <c r="D163" t="s">
        <v>223</v>
      </c>
      <c r="E163" s="24">
        <v>46064.346875000003</v>
      </c>
      <c r="G163" t="s">
        <v>90</v>
      </c>
      <c r="H163" t="s">
        <v>155</v>
      </c>
      <c r="I163" s="24"/>
      <c r="J163" s="24"/>
      <c r="K163" s="24"/>
      <c r="L163" s="24"/>
      <c r="N163" s="24"/>
      <c r="O163" s="24"/>
      <c r="P163" s="24"/>
      <c r="Q163" s="24"/>
      <c r="V163" s="24"/>
      <c r="W163" s="24"/>
      <c r="X163" s="24"/>
      <c r="Y163" s="24"/>
      <c r="AA163" s="24">
        <v>46071.412301666664</v>
      </c>
      <c r="AB163" s="24">
        <v>46071.412301666664</v>
      </c>
      <c r="AC163" s="24">
        <v>46080.606728935185</v>
      </c>
      <c r="AD163" s="24">
        <v>46080.606728935185</v>
      </c>
      <c r="AE163">
        <v>1</v>
      </c>
      <c r="AF163" s="24"/>
      <c r="AG163" s="24"/>
      <c r="AH163" s="24"/>
      <c r="AI163" s="24"/>
      <c r="AK163" s="24"/>
      <c r="AL163" s="24"/>
      <c r="AM163" s="24"/>
      <c r="AN163" s="24"/>
      <c r="AP163" s="24"/>
      <c r="AQ163" s="24"/>
      <c r="AR163" s="24">
        <v>46071.411974074072</v>
      </c>
      <c r="AS163" s="24">
        <v>46071.411974074072</v>
      </c>
      <c r="AX163" s="24"/>
      <c r="AY163" s="24"/>
      <c r="AZ163" s="24"/>
      <c r="BA163" s="24"/>
      <c r="BC163" s="24"/>
      <c r="BD163" s="24"/>
      <c r="BE163" s="24"/>
      <c r="BF163" s="24"/>
      <c r="BH163" s="24">
        <v>46071.411974074072</v>
      </c>
      <c r="BI163" s="24">
        <v>46071.411974074072</v>
      </c>
      <c r="BJ163" s="24">
        <v>46071.412301666664</v>
      </c>
      <c r="BK163" s="24">
        <v>46071.412301666664</v>
      </c>
      <c r="BL163">
        <v>1</v>
      </c>
      <c r="BM163" s="24"/>
      <c r="BN163" s="24"/>
      <c r="BO163" s="24"/>
      <c r="BP163" s="24"/>
      <c r="BR163" s="24"/>
      <c r="BS163" s="24"/>
      <c r="BT163" s="24"/>
      <c r="BU163" s="24"/>
      <c r="BW163" s="24"/>
      <c r="BX163" s="24"/>
      <c r="BY163" s="24"/>
      <c r="BZ163" s="24"/>
      <c r="CB163" s="24"/>
      <c r="CC163" s="24"/>
      <c r="CE163" s="24">
        <v>46080.606728935185</v>
      </c>
      <c r="CF163" s="24">
        <v>46080.606728935185</v>
      </c>
      <c r="CG163">
        <v>1</v>
      </c>
      <c r="CH163" s="24"/>
      <c r="CI163" s="24"/>
      <c r="CJ163" s="24"/>
      <c r="CK163" s="24"/>
      <c r="DE163" s="24"/>
      <c r="DF163" s="24"/>
      <c r="DG163" s="24"/>
      <c r="DH163" s="24"/>
      <c r="DJ163" t="s">
        <v>149</v>
      </c>
      <c r="DK163" t="s">
        <v>149</v>
      </c>
      <c r="DM163">
        <v>10</v>
      </c>
      <c r="DN163">
        <v>10</v>
      </c>
      <c r="DQ163" t="s">
        <v>1000</v>
      </c>
      <c r="DR163" t="s">
        <v>149</v>
      </c>
      <c r="DS163" s="24">
        <v>46160.384426226854</v>
      </c>
    </row>
    <row r="164" spans="1:123" x14ac:dyDescent="0.3">
      <c r="A164" t="s">
        <v>420</v>
      </c>
      <c r="D164" t="s">
        <v>223</v>
      </c>
      <c r="E164" s="24">
        <v>46064.334965277776</v>
      </c>
      <c r="G164" t="s">
        <v>90</v>
      </c>
      <c r="H164" t="s">
        <v>155</v>
      </c>
      <c r="I164" s="24"/>
      <c r="J164" s="24"/>
      <c r="K164" s="24"/>
      <c r="L164" s="24"/>
      <c r="N164" s="24"/>
      <c r="O164" s="24"/>
      <c r="P164" s="24"/>
      <c r="Q164" s="24"/>
      <c r="V164" s="24"/>
      <c r="W164" s="24"/>
      <c r="X164" s="24"/>
      <c r="Y164" s="24"/>
      <c r="AA164" s="24">
        <v>46064.336513483795</v>
      </c>
      <c r="AB164" s="24">
        <v>46064.336513483795</v>
      </c>
      <c r="AC164" s="24">
        <v>46064.336554409725</v>
      </c>
      <c r="AD164" s="24">
        <v>46064.336554409725</v>
      </c>
      <c r="AE164">
        <v>1</v>
      </c>
      <c r="AF164" s="24"/>
      <c r="AG164" s="24"/>
      <c r="AH164" s="24"/>
      <c r="AI164" s="24"/>
      <c r="AK164" s="24"/>
      <c r="AL164" s="24"/>
      <c r="AM164" s="24"/>
      <c r="AN164" s="24"/>
      <c r="AP164" s="24"/>
      <c r="AQ164" s="24"/>
      <c r="AR164" s="24">
        <v>46064.336351435188</v>
      </c>
      <c r="AS164" s="24">
        <v>46064.336351435188</v>
      </c>
      <c r="AX164" s="24"/>
      <c r="AY164" s="24"/>
      <c r="AZ164" s="24"/>
      <c r="BA164" s="24"/>
      <c r="BC164" s="24"/>
      <c r="BD164" s="24"/>
      <c r="BE164" s="24"/>
      <c r="BF164" s="24"/>
      <c r="BH164" s="24">
        <v>46064.336351435188</v>
      </c>
      <c r="BI164" s="24">
        <v>46064.336351435188</v>
      </c>
      <c r="BJ164" s="24">
        <v>46064.336513483795</v>
      </c>
      <c r="BK164" s="24">
        <v>46064.336513483795</v>
      </c>
      <c r="BL164">
        <v>1</v>
      </c>
      <c r="BM164" s="24"/>
      <c r="BN164" s="24"/>
      <c r="BO164" s="24"/>
      <c r="BP164" s="24"/>
      <c r="BR164" s="24">
        <v>46064.336554409725</v>
      </c>
      <c r="BS164" s="24">
        <v>46064.336554409725</v>
      </c>
      <c r="BT164" s="24">
        <v>46064.413175879628</v>
      </c>
      <c r="BU164" s="24">
        <v>46064.413175879628</v>
      </c>
      <c r="BV164">
        <v>1</v>
      </c>
      <c r="BW164" s="24"/>
      <c r="BX164" s="24"/>
      <c r="BY164" s="24"/>
      <c r="BZ164" s="24"/>
      <c r="CB164" s="24"/>
      <c r="CC164" s="24"/>
      <c r="CE164" s="24">
        <v>46064.413175879628</v>
      </c>
      <c r="CF164" s="24">
        <v>46064.413175879628</v>
      </c>
      <c r="CG164">
        <v>1</v>
      </c>
      <c r="CH164" s="24"/>
      <c r="CI164" s="24"/>
      <c r="CJ164" s="24"/>
      <c r="CK164" s="24"/>
      <c r="DE164" s="24"/>
      <c r="DF164" s="24"/>
      <c r="DG164" s="24"/>
      <c r="DH164" s="24"/>
      <c r="DJ164" t="s">
        <v>149</v>
      </c>
      <c r="DK164" t="s">
        <v>149</v>
      </c>
      <c r="DM164">
        <v>1</v>
      </c>
      <c r="DN164">
        <v>1</v>
      </c>
      <c r="DQ164" t="s">
        <v>1000</v>
      </c>
      <c r="DR164" t="s">
        <v>149</v>
      </c>
      <c r="DS164" s="24">
        <v>46160.384426226854</v>
      </c>
    </row>
    <row r="165" spans="1:123" x14ac:dyDescent="0.3">
      <c r="A165" t="s">
        <v>265</v>
      </c>
      <c r="D165" t="s">
        <v>223</v>
      </c>
      <c r="E165" s="24">
        <v>46063.528634259259</v>
      </c>
      <c r="G165" t="s">
        <v>90</v>
      </c>
      <c r="H165" t="s">
        <v>155</v>
      </c>
      <c r="I165" s="24"/>
      <c r="J165" s="24"/>
      <c r="K165" s="24"/>
      <c r="L165" s="24"/>
      <c r="N165" s="24">
        <v>46076.475711932871</v>
      </c>
      <c r="O165" s="24">
        <v>46070.417946689813</v>
      </c>
      <c r="P165" s="24">
        <v>46076.475546377318</v>
      </c>
      <c r="Q165" s="24">
        <v>46077.40873171296</v>
      </c>
      <c r="R165">
        <v>2</v>
      </c>
      <c r="V165" s="24"/>
      <c r="W165" s="24"/>
      <c r="X165" s="24"/>
      <c r="Y165" s="24"/>
      <c r="AA165" s="24">
        <v>46077.40873171296</v>
      </c>
      <c r="AB165" s="24">
        <v>46064.404877650464</v>
      </c>
      <c r="AC165" s="24">
        <v>46070.417946689813</v>
      </c>
      <c r="AD165" s="24">
        <v>46077.40889327546</v>
      </c>
      <c r="AE165">
        <v>3</v>
      </c>
      <c r="AF165" s="24"/>
      <c r="AG165" s="24"/>
      <c r="AH165" s="24"/>
      <c r="AI165" s="24"/>
      <c r="AK165" s="24"/>
      <c r="AL165" s="24"/>
      <c r="AM165" s="24"/>
      <c r="AN165" s="24"/>
      <c r="AP165" s="24"/>
      <c r="AQ165" s="24"/>
      <c r="AR165" s="24"/>
      <c r="AS165" s="24"/>
      <c r="AX165" s="24"/>
      <c r="AY165" s="24"/>
      <c r="AZ165" s="24"/>
      <c r="BA165" s="24"/>
      <c r="BC165" s="24"/>
      <c r="BD165" s="24"/>
      <c r="BE165" s="24"/>
      <c r="BF165" s="24"/>
      <c r="BH165" s="24"/>
      <c r="BI165" s="24"/>
      <c r="BJ165" s="24"/>
      <c r="BK165" s="24"/>
      <c r="BM165" s="24"/>
      <c r="BN165" s="24"/>
      <c r="BO165" s="24"/>
      <c r="BP165" s="24"/>
      <c r="BR165" s="24"/>
      <c r="BS165" s="24"/>
      <c r="BT165" s="24"/>
      <c r="BU165" s="24"/>
      <c r="BW165" s="24"/>
      <c r="BX165" s="24"/>
      <c r="BY165" s="24"/>
      <c r="BZ165" s="24"/>
      <c r="CB165" s="24"/>
      <c r="CC165" s="24"/>
      <c r="CE165" s="24">
        <v>46077.40889327546</v>
      </c>
      <c r="CF165" s="24">
        <v>46077.40889327546</v>
      </c>
      <c r="CG165">
        <v>1</v>
      </c>
      <c r="CH165" s="24"/>
      <c r="CI165" s="24"/>
      <c r="CJ165" s="24"/>
      <c r="CK165" s="24"/>
      <c r="DE165" s="24"/>
      <c r="DF165" s="24"/>
      <c r="DG165" s="24"/>
      <c r="DH165" s="24"/>
      <c r="DJ165" t="s">
        <v>149</v>
      </c>
      <c r="DK165" t="s">
        <v>149</v>
      </c>
      <c r="DL165">
        <v>6.9906194444444445</v>
      </c>
      <c r="DN165">
        <v>14</v>
      </c>
      <c r="DQ165" t="s">
        <v>1000</v>
      </c>
      <c r="DR165" t="s">
        <v>149</v>
      </c>
      <c r="DS165" s="24">
        <v>46160.384426226854</v>
      </c>
    </row>
    <row r="166" spans="1:123" x14ac:dyDescent="0.3">
      <c r="A166" t="s">
        <v>421</v>
      </c>
      <c r="D166" t="s">
        <v>223</v>
      </c>
      <c r="E166" s="24">
        <v>46062.656377314815</v>
      </c>
      <c r="G166" t="s">
        <v>102</v>
      </c>
      <c r="H166" t="s">
        <v>154</v>
      </c>
      <c r="I166" s="24"/>
      <c r="J166" s="24"/>
      <c r="K166" s="24"/>
      <c r="L166" s="24"/>
      <c r="N166" s="24"/>
      <c r="O166" s="24"/>
      <c r="P166" s="24"/>
      <c r="Q166" s="24"/>
      <c r="V166" s="24"/>
      <c r="W166" s="24"/>
      <c r="X166" s="24"/>
      <c r="Y166" s="24"/>
      <c r="AA166" s="24"/>
      <c r="AB166" s="24"/>
      <c r="AC166" s="24"/>
      <c r="AD166" s="24"/>
      <c r="AF166" s="24"/>
      <c r="AG166" s="24"/>
      <c r="AH166" s="24"/>
      <c r="AI166" s="24"/>
      <c r="AK166" s="24"/>
      <c r="AL166" s="24"/>
      <c r="AM166" s="24"/>
      <c r="AN166" s="24"/>
      <c r="AP166" s="24"/>
      <c r="AQ166" s="24"/>
      <c r="AR166" s="24"/>
      <c r="AS166" s="24"/>
      <c r="AX166" s="24"/>
      <c r="AY166" s="24"/>
      <c r="AZ166" s="24"/>
      <c r="BA166" s="24"/>
      <c r="BC166" s="24"/>
      <c r="BD166" s="24"/>
      <c r="BE166" s="24"/>
      <c r="BF166" s="24"/>
      <c r="BH166" s="24"/>
      <c r="BI166" s="24"/>
      <c r="BJ166" s="24"/>
      <c r="BK166" s="24"/>
      <c r="BM166" s="24"/>
      <c r="BN166" s="24"/>
      <c r="BO166" s="24"/>
      <c r="BP166" s="24"/>
      <c r="BR166" s="24"/>
      <c r="BS166" s="24"/>
      <c r="BT166" s="24"/>
      <c r="BU166" s="24"/>
      <c r="BW166" s="24"/>
      <c r="BX166" s="24"/>
      <c r="BY166" s="24"/>
      <c r="BZ166" s="24"/>
      <c r="CB166" s="24"/>
      <c r="CC166" s="24"/>
      <c r="CE166" s="24"/>
      <c r="CF166" s="24"/>
      <c r="CH166" s="24"/>
      <c r="CI166" s="24"/>
      <c r="CJ166" s="24"/>
      <c r="CK166" s="24"/>
      <c r="DE166" s="24"/>
      <c r="DF166" s="24"/>
      <c r="DG166" s="24"/>
      <c r="DH166" s="24"/>
      <c r="DJ166" t="s">
        <v>149</v>
      </c>
      <c r="DK166" t="s">
        <v>149</v>
      </c>
      <c r="DQ166" t="s">
        <v>1000</v>
      </c>
      <c r="DR166" t="s">
        <v>149</v>
      </c>
      <c r="DS166" s="24">
        <v>46160.384426226854</v>
      </c>
    </row>
    <row r="167" spans="1:123" x14ac:dyDescent="0.3">
      <c r="A167" t="s">
        <v>422</v>
      </c>
      <c r="D167" t="s">
        <v>223</v>
      </c>
      <c r="E167" s="24">
        <v>46062.492280092592</v>
      </c>
      <c r="G167" t="s">
        <v>90</v>
      </c>
      <c r="H167" t="s">
        <v>155</v>
      </c>
      <c r="I167" s="24"/>
      <c r="J167" s="24"/>
      <c r="K167" s="24"/>
      <c r="L167" s="24"/>
      <c r="N167" s="24"/>
      <c r="O167" s="24"/>
      <c r="P167" s="24"/>
      <c r="Q167" s="24"/>
      <c r="V167" s="24"/>
      <c r="W167" s="24"/>
      <c r="X167" s="24"/>
      <c r="Y167" s="24"/>
      <c r="AA167" s="24">
        <v>46071.400471122688</v>
      </c>
      <c r="AB167" s="24">
        <v>46071.400471122688</v>
      </c>
      <c r="AC167" s="24">
        <v>46084.401384745368</v>
      </c>
      <c r="AD167" s="24">
        <v>46084.401384745368</v>
      </c>
      <c r="AE167">
        <v>1</v>
      </c>
      <c r="AF167" s="24"/>
      <c r="AG167" s="24"/>
      <c r="AH167" s="24"/>
      <c r="AI167" s="24"/>
      <c r="AK167" s="24"/>
      <c r="AL167" s="24"/>
      <c r="AM167" s="24"/>
      <c r="AN167" s="24"/>
      <c r="AP167" s="24"/>
      <c r="AQ167" s="24"/>
      <c r="AR167" s="24">
        <v>46071.400233460648</v>
      </c>
      <c r="AS167" s="24">
        <v>46071.400233460648</v>
      </c>
      <c r="AX167" s="24"/>
      <c r="AY167" s="24"/>
      <c r="AZ167" s="24"/>
      <c r="BA167" s="24"/>
      <c r="BC167" s="24"/>
      <c r="BD167" s="24"/>
      <c r="BE167" s="24"/>
      <c r="BF167" s="24"/>
      <c r="BH167" s="24">
        <v>46071.400233460648</v>
      </c>
      <c r="BI167" s="24">
        <v>46071.400233460648</v>
      </c>
      <c r="BJ167" s="24">
        <v>46071.400471122688</v>
      </c>
      <c r="BK167" s="24">
        <v>46071.400471122688</v>
      </c>
      <c r="BL167">
        <v>1</v>
      </c>
      <c r="BM167" s="24"/>
      <c r="BN167" s="24"/>
      <c r="BO167" s="24"/>
      <c r="BP167" s="24"/>
      <c r="BR167" s="24">
        <v>46084.401384745368</v>
      </c>
      <c r="BS167" s="24">
        <v>46084.401384745368</v>
      </c>
      <c r="BT167" s="24">
        <v>46084.401433530089</v>
      </c>
      <c r="BU167" s="24">
        <v>46084.401433530089</v>
      </c>
      <c r="BV167">
        <v>1</v>
      </c>
      <c r="BW167" s="24"/>
      <c r="BX167" s="24"/>
      <c r="BY167" s="24"/>
      <c r="BZ167" s="24"/>
      <c r="CB167" s="24"/>
      <c r="CC167" s="24"/>
      <c r="CE167" s="24">
        <v>46084.401433530089</v>
      </c>
      <c r="CF167" s="24">
        <v>46084.401433530089</v>
      </c>
      <c r="CG167">
        <v>1</v>
      </c>
      <c r="CH167" s="24"/>
      <c r="CI167" s="24"/>
      <c r="CJ167" s="24"/>
      <c r="CK167" s="24"/>
      <c r="DE167" s="24"/>
      <c r="DF167" s="24"/>
      <c r="DG167" s="24"/>
      <c r="DH167" s="24"/>
      <c r="DJ167" t="s">
        <v>149</v>
      </c>
      <c r="DK167" t="s">
        <v>149</v>
      </c>
      <c r="DM167">
        <v>14</v>
      </c>
      <c r="DN167">
        <v>14</v>
      </c>
      <c r="DQ167" t="s">
        <v>1000</v>
      </c>
      <c r="DR167" t="s">
        <v>149</v>
      </c>
      <c r="DS167" s="24">
        <v>46160.384426226854</v>
      </c>
    </row>
    <row r="168" spans="1:123" x14ac:dyDescent="0.3">
      <c r="A168" t="s">
        <v>423</v>
      </c>
      <c r="D168" t="s">
        <v>223</v>
      </c>
      <c r="E168" s="24">
        <v>46062.445636574077</v>
      </c>
      <c r="G168" t="s">
        <v>90</v>
      </c>
      <c r="H168" t="s">
        <v>155</v>
      </c>
      <c r="I168" s="24"/>
      <c r="J168" s="24"/>
      <c r="K168" s="24"/>
      <c r="L168" s="24"/>
      <c r="N168" s="24"/>
      <c r="O168" s="24"/>
      <c r="P168" s="24"/>
      <c r="Q168" s="24"/>
      <c r="V168" s="24"/>
      <c r="W168" s="24"/>
      <c r="X168" s="24"/>
      <c r="Y168" s="24"/>
      <c r="AA168" s="24">
        <v>46071.345207349535</v>
      </c>
      <c r="AB168" s="24">
        <v>46071.345207349535</v>
      </c>
      <c r="AC168" s="24">
        <v>46079.654023252318</v>
      </c>
      <c r="AD168" s="24">
        <v>46079.654023252318</v>
      </c>
      <c r="AE168">
        <v>1</v>
      </c>
      <c r="AF168" s="24">
        <v>46079.654023252318</v>
      </c>
      <c r="AG168" s="24">
        <v>46079.654023252318</v>
      </c>
      <c r="AH168" s="24">
        <v>46079.654087754629</v>
      </c>
      <c r="AI168" s="24">
        <v>46079.654087754629</v>
      </c>
      <c r="AJ168">
        <v>1</v>
      </c>
      <c r="AK168" s="24"/>
      <c r="AL168" s="24"/>
      <c r="AM168" s="24"/>
      <c r="AN168" s="24"/>
      <c r="AP168" s="24"/>
      <c r="AQ168" s="24"/>
      <c r="AR168" s="24">
        <v>46071.345039814812</v>
      </c>
      <c r="AS168" s="24">
        <v>46071.345039814812</v>
      </c>
      <c r="AX168" s="24"/>
      <c r="AY168" s="24"/>
      <c r="AZ168" s="24"/>
      <c r="BA168" s="24"/>
      <c r="BC168" s="24"/>
      <c r="BD168" s="24"/>
      <c r="BE168" s="24"/>
      <c r="BF168" s="24"/>
      <c r="BH168" s="24">
        <v>46071.345039814812</v>
      </c>
      <c r="BI168" s="24">
        <v>46071.345039814812</v>
      </c>
      <c r="BJ168" s="24">
        <v>46071.345207349535</v>
      </c>
      <c r="BK168" s="24">
        <v>46071.345207349535</v>
      </c>
      <c r="BL168">
        <v>1</v>
      </c>
      <c r="BM168" s="24"/>
      <c r="BN168" s="24"/>
      <c r="BO168" s="24"/>
      <c r="BP168" s="24"/>
      <c r="BR168" s="24"/>
      <c r="BS168" s="24"/>
      <c r="BT168" s="24"/>
      <c r="BU168" s="24"/>
      <c r="BW168" s="24"/>
      <c r="BX168" s="24"/>
      <c r="BY168" s="24"/>
      <c r="BZ168" s="24"/>
      <c r="CB168" s="24"/>
      <c r="CC168" s="24"/>
      <c r="CE168" s="24">
        <v>46079.654087754629</v>
      </c>
      <c r="CF168" s="24">
        <v>46079.654087754629</v>
      </c>
      <c r="CG168">
        <v>1</v>
      </c>
      <c r="CH168" s="24"/>
      <c r="CI168" s="24"/>
      <c r="CJ168" s="24"/>
      <c r="CK168" s="24"/>
      <c r="DE168" s="24"/>
      <c r="DF168" s="24"/>
      <c r="DG168" s="24"/>
      <c r="DH168" s="24"/>
      <c r="DJ168" t="s">
        <v>149</v>
      </c>
      <c r="DK168" t="s">
        <v>149</v>
      </c>
      <c r="DM168">
        <v>9</v>
      </c>
      <c r="DN168">
        <v>9</v>
      </c>
      <c r="DQ168" t="s">
        <v>1000</v>
      </c>
      <c r="DR168" t="s">
        <v>149</v>
      </c>
      <c r="DS168" s="24">
        <v>46160.384426226854</v>
      </c>
    </row>
    <row r="169" spans="1:123" x14ac:dyDescent="0.3">
      <c r="A169" t="s">
        <v>424</v>
      </c>
      <c r="D169" t="s">
        <v>223</v>
      </c>
      <c r="E169" s="24">
        <v>46059.712094907409</v>
      </c>
      <c r="G169" t="s">
        <v>90</v>
      </c>
      <c r="H169" t="s">
        <v>155</v>
      </c>
      <c r="I169" s="24"/>
      <c r="J169" s="24"/>
      <c r="K169" s="24"/>
      <c r="L169" s="24"/>
      <c r="N169" s="24"/>
      <c r="O169" s="24"/>
      <c r="P169" s="24"/>
      <c r="Q169" s="24"/>
      <c r="V169" s="24"/>
      <c r="W169" s="24"/>
      <c r="X169" s="24"/>
      <c r="Y169" s="24"/>
      <c r="AA169" s="24">
        <v>46059.71740267361</v>
      </c>
      <c r="AB169" s="24">
        <v>46059.71740267361</v>
      </c>
      <c r="AC169" s="24">
        <v>46060.409937870369</v>
      </c>
      <c r="AD169" s="24">
        <v>46060.409937870369</v>
      </c>
      <c r="AE169">
        <v>1</v>
      </c>
      <c r="AF169" s="24">
        <v>46060.409937870369</v>
      </c>
      <c r="AG169" s="24">
        <v>46060.409937870369</v>
      </c>
      <c r="AH169" s="24">
        <v>46063.411418518517</v>
      </c>
      <c r="AI169" s="24">
        <v>46063.411418518517</v>
      </c>
      <c r="AJ169">
        <v>1</v>
      </c>
      <c r="AK169" s="24"/>
      <c r="AL169" s="24"/>
      <c r="AM169" s="24"/>
      <c r="AN169" s="24"/>
      <c r="AP169" s="24"/>
      <c r="AQ169" s="24"/>
      <c r="AR169" s="24">
        <v>46059.71515877315</v>
      </c>
      <c r="AS169" s="24">
        <v>46059.71515877315</v>
      </c>
      <c r="AX169" s="24"/>
      <c r="AY169" s="24"/>
      <c r="AZ169" s="24"/>
      <c r="BA169" s="24"/>
      <c r="BC169" s="24"/>
      <c r="BD169" s="24"/>
      <c r="BE169" s="24"/>
      <c r="BF169" s="24"/>
      <c r="BH169" s="24">
        <v>46059.71515877315</v>
      </c>
      <c r="BI169" s="24">
        <v>46059.71515877315</v>
      </c>
      <c r="BJ169" s="24">
        <v>46059.71740267361</v>
      </c>
      <c r="BK169" s="24">
        <v>46059.71740267361</v>
      </c>
      <c r="BL169">
        <v>1</v>
      </c>
      <c r="BM169" s="24"/>
      <c r="BN169" s="24"/>
      <c r="BO169" s="24"/>
      <c r="BP169" s="24"/>
      <c r="BR169" s="24">
        <v>46063.411418518517</v>
      </c>
      <c r="BS169" s="24">
        <v>46063.411418518517</v>
      </c>
      <c r="BT169" s="24">
        <v>46063.411466736114</v>
      </c>
      <c r="BU169" s="24">
        <v>46063.411466736114</v>
      </c>
      <c r="BV169">
        <v>1</v>
      </c>
      <c r="BW169" s="24"/>
      <c r="BX169" s="24"/>
      <c r="BY169" s="24"/>
      <c r="BZ169" s="24"/>
      <c r="CB169" s="24"/>
      <c r="CC169" s="24"/>
      <c r="CE169" s="24">
        <v>46063.411466736114</v>
      </c>
      <c r="CF169" s="24">
        <v>46063.411466736114</v>
      </c>
      <c r="CG169">
        <v>1</v>
      </c>
      <c r="CH169" s="24"/>
      <c r="CI169" s="24"/>
      <c r="CJ169" s="24"/>
      <c r="CK169" s="24"/>
      <c r="DE169" s="24"/>
      <c r="DF169" s="24"/>
      <c r="DG169" s="24"/>
      <c r="DH169" s="24"/>
      <c r="DJ169" t="s">
        <v>149</v>
      </c>
      <c r="DK169" t="s">
        <v>149</v>
      </c>
      <c r="DM169">
        <v>4</v>
      </c>
      <c r="DN169">
        <v>4</v>
      </c>
      <c r="DQ169" t="s">
        <v>1000</v>
      </c>
      <c r="DR169" t="s">
        <v>149</v>
      </c>
      <c r="DS169" s="24">
        <v>46160.384426226854</v>
      </c>
    </row>
    <row r="170" spans="1:123" x14ac:dyDescent="0.3">
      <c r="A170" t="s">
        <v>425</v>
      </c>
      <c r="D170" t="s">
        <v>223</v>
      </c>
      <c r="E170" s="24">
        <v>46059.537951388891</v>
      </c>
      <c r="G170" t="s">
        <v>102</v>
      </c>
      <c r="H170" t="s">
        <v>154</v>
      </c>
      <c r="I170" s="24"/>
      <c r="J170" s="24"/>
      <c r="K170" s="24"/>
      <c r="L170" s="24"/>
      <c r="N170" s="24"/>
      <c r="O170" s="24"/>
      <c r="P170" s="24"/>
      <c r="Q170" s="24"/>
      <c r="V170" s="24"/>
      <c r="W170" s="24"/>
      <c r="X170" s="24"/>
      <c r="Y170" s="24"/>
      <c r="AA170" s="24"/>
      <c r="AB170" s="24"/>
      <c r="AC170" s="24"/>
      <c r="AD170" s="24"/>
      <c r="AF170" s="24"/>
      <c r="AG170" s="24"/>
      <c r="AH170" s="24"/>
      <c r="AI170" s="24"/>
      <c r="AK170" s="24"/>
      <c r="AL170" s="24"/>
      <c r="AM170" s="24"/>
      <c r="AN170" s="24"/>
      <c r="AP170" s="24"/>
      <c r="AQ170" s="24"/>
      <c r="AR170" s="24"/>
      <c r="AS170" s="24"/>
      <c r="AX170" s="24"/>
      <c r="AY170" s="24"/>
      <c r="AZ170" s="24"/>
      <c r="BA170" s="24"/>
      <c r="BC170" s="24"/>
      <c r="BD170" s="24"/>
      <c r="BE170" s="24"/>
      <c r="BF170" s="24"/>
      <c r="BH170" s="24"/>
      <c r="BI170" s="24"/>
      <c r="BJ170" s="24"/>
      <c r="BK170" s="24"/>
      <c r="BM170" s="24"/>
      <c r="BN170" s="24"/>
      <c r="BO170" s="24"/>
      <c r="BP170" s="24"/>
      <c r="BR170" s="24"/>
      <c r="BS170" s="24"/>
      <c r="BT170" s="24"/>
      <c r="BU170" s="24"/>
      <c r="BW170" s="24"/>
      <c r="BX170" s="24"/>
      <c r="BY170" s="24"/>
      <c r="BZ170" s="24"/>
      <c r="CB170" s="24"/>
      <c r="CC170" s="24"/>
      <c r="CE170" s="24"/>
      <c r="CF170" s="24"/>
      <c r="CH170" s="24"/>
      <c r="CI170" s="24"/>
      <c r="CJ170" s="24"/>
      <c r="CK170" s="24"/>
      <c r="DE170" s="24"/>
      <c r="DF170" s="24"/>
      <c r="DG170" s="24"/>
      <c r="DH170" s="24"/>
      <c r="DJ170" t="s">
        <v>149</v>
      </c>
      <c r="DK170" t="s">
        <v>149</v>
      </c>
      <c r="DQ170" t="s">
        <v>1000</v>
      </c>
      <c r="DR170" t="s">
        <v>149</v>
      </c>
      <c r="DS170" s="24">
        <v>46160.384426226854</v>
      </c>
    </row>
    <row r="171" spans="1:123" x14ac:dyDescent="0.3">
      <c r="A171" t="s">
        <v>426</v>
      </c>
      <c r="D171" t="s">
        <v>223</v>
      </c>
      <c r="E171" s="24">
        <v>46059.526944444442</v>
      </c>
      <c r="G171" t="s">
        <v>90</v>
      </c>
      <c r="H171" t="s">
        <v>155</v>
      </c>
      <c r="I171" s="24"/>
      <c r="J171" s="24"/>
      <c r="K171" s="24"/>
      <c r="L171" s="24"/>
      <c r="N171" s="24"/>
      <c r="O171" s="24"/>
      <c r="P171" s="24"/>
      <c r="Q171" s="24"/>
      <c r="V171" s="24"/>
      <c r="W171" s="24"/>
      <c r="X171" s="24"/>
      <c r="Y171" s="24"/>
      <c r="AA171" s="24">
        <v>46076.475740439811</v>
      </c>
      <c r="AB171" s="24">
        <v>46076.475740439811</v>
      </c>
      <c r="AC171" s="24">
        <v>46078.480493391202</v>
      </c>
      <c r="AD171" s="24">
        <v>46078.480493391202</v>
      </c>
      <c r="AE171">
        <v>1</v>
      </c>
      <c r="AF171" s="24">
        <v>46078.480493391202</v>
      </c>
      <c r="AG171" s="24">
        <v>46078.480493391202</v>
      </c>
      <c r="AH171" s="24">
        <v>46078.48058265046</v>
      </c>
      <c r="AI171" s="24">
        <v>46078.48058265046</v>
      </c>
      <c r="AJ171">
        <v>1</v>
      </c>
      <c r="AK171" s="24"/>
      <c r="AL171" s="24"/>
      <c r="AM171" s="24"/>
      <c r="AN171" s="24"/>
      <c r="AP171" s="24">
        <v>46070.736828541667</v>
      </c>
      <c r="AQ171" s="24">
        <v>46070.736828541667</v>
      </c>
      <c r="AR171" s="24">
        <v>46073.339386932872</v>
      </c>
      <c r="AS171" s="24">
        <v>46073.339386932872</v>
      </c>
      <c r="AT171">
        <v>1</v>
      </c>
      <c r="AX171" s="24"/>
      <c r="AY171" s="24"/>
      <c r="AZ171" s="24"/>
      <c r="BA171" s="24"/>
      <c r="BC171" s="24"/>
      <c r="BD171" s="24"/>
      <c r="BE171" s="24"/>
      <c r="BF171" s="24"/>
      <c r="BH171" s="24">
        <v>46073.339386932872</v>
      </c>
      <c r="BI171" s="24">
        <v>46073.339386932872</v>
      </c>
      <c r="BJ171" s="24">
        <v>46076.475740439811</v>
      </c>
      <c r="BK171" s="24">
        <v>46076.475740439811</v>
      </c>
      <c r="BL171">
        <v>1</v>
      </c>
      <c r="BM171" s="24"/>
      <c r="BN171" s="24"/>
      <c r="BO171" s="24"/>
      <c r="BP171" s="24"/>
      <c r="BR171" s="24">
        <v>46078.48058265046</v>
      </c>
      <c r="BS171" s="24">
        <v>46078.48058265046</v>
      </c>
      <c r="BT171" s="24">
        <v>46078.480638379631</v>
      </c>
      <c r="BU171" s="24">
        <v>46078.480638379631</v>
      </c>
      <c r="BV171">
        <v>1</v>
      </c>
      <c r="BW171" s="24"/>
      <c r="BX171" s="24"/>
      <c r="BY171" s="24"/>
      <c r="BZ171" s="24"/>
      <c r="CB171" s="24"/>
      <c r="CC171" s="24"/>
      <c r="CE171" s="24">
        <v>46078.480638379631</v>
      </c>
      <c r="CF171" s="24">
        <v>46078.480638379631</v>
      </c>
      <c r="CG171">
        <v>1</v>
      </c>
      <c r="CH171" s="24"/>
      <c r="CI171" s="24"/>
      <c r="CJ171" s="24"/>
      <c r="CK171" s="24"/>
      <c r="DE171" s="24"/>
      <c r="DF171" s="24"/>
      <c r="DG171" s="24"/>
      <c r="DH171" s="24"/>
      <c r="DJ171" t="s">
        <v>149</v>
      </c>
      <c r="DK171" t="s">
        <v>149</v>
      </c>
      <c r="DM171">
        <v>6</v>
      </c>
      <c r="DN171">
        <v>3</v>
      </c>
      <c r="DQ171" t="s">
        <v>1000</v>
      </c>
      <c r="DR171" t="s">
        <v>149</v>
      </c>
      <c r="DS171" s="24">
        <v>46160.384426226854</v>
      </c>
    </row>
    <row r="172" spans="1:123" x14ac:dyDescent="0.3">
      <c r="A172" t="s">
        <v>427</v>
      </c>
      <c r="D172" t="s">
        <v>223</v>
      </c>
      <c r="E172" s="24">
        <v>46059.467916666668</v>
      </c>
      <c r="G172" t="s">
        <v>90</v>
      </c>
      <c r="H172" t="s">
        <v>155</v>
      </c>
      <c r="I172" s="24"/>
      <c r="J172" s="24"/>
      <c r="K172" s="24"/>
      <c r="L172" s="24"/>
      <c r="N172" s="24"/>
      <c r="O172" s="24"/>
      <c r="P172" s="24"/>
      <c r="Q172" s="24"/>
      <c r="V172" s="24"/>
      <c r="W172" s="24"/>
      <c r="X172" s="24"/>
      <c r="Y172" s="24"/>
      <c r="AA172" s="24">
        <v>46059.47089084491</v>
      </c>
      <c r="AB172" s="24">
        <v>46059.47089084491</v>
      </c>
      <c r="AC172" s="24">
        <v>46062.319991597222</v>
      </c>
      <c r="AD172" s="24">
        <v>46062.319991597222</v>
      </c>
      <c r="AE172">
        <v>1</v>
      </c>
      <c r="AF172" s="24"/>
      <c r="AG172" s="24"/>
      <c r="AH172" s="24"/>
      <c r="AI172" s="24"/>
      <c r="AK172" s="24"/>
      <c r="AL172" s="24"/>
      <c r="AM172" s="24"/>
      <c r="AN172" s="24"/>
      <c r="AP172" s="24"/>
      <c r="AQ172" s="24"/>
      <c r="AR172" s="24">
        <v>46059.470838738423</v>
      </c>
      <c r="AS172" s="24">
        <v>46059.470838738423</v>
      </c>
      <c r="AX172" s="24"/>
      <c r="AY172" s="24"/>
      <c r="AZ172" s="24"/>
      <c r="BA172" s="24"/>
      <c r="BC172" s="24"/>
      <c r="BD172" s="24"/>
      <c r="BE172" s="24"/>
      <c r="BF172" s="24"/>
      <c r="BH172" s="24">
        <v>46059.470838738423</v>
      </c>
      <c r="BI172" s="24">
        <v>46059.470838738423</v>
      </c>
      <c r="BJ172" s="24">
        <v>46059.47089084491</v>
      </c>
      <c r="BK172" s="24">
        <v>46059.47089084491</v>
      </c>
      <c r="BL172">
        <v>1</v>
      </c>
      <c r="BM172" s="24"/>
      <c r="BN172" s="24"/>
      <c r="BO172" s="24"/>
      <c r="BP172" s="24"/>
      <c r="BR172" s="24">
        <v>46062.319991597222</v>
      </c>
      <c r="BS172" s="24">
        <v>46062.319991597222</v>
      </c>
      <c r="BT172" s="24">
        <v>46062.412980578702</v>
      </c>
      <c r="BU172" s="24">
        <v>46062.412980578702</v>
      </c>
      <c r="BV172">
        <v>1</v>
      </c>
      <c r="BW172" s="24"/>
      <c r="BX172" s="24"/>
      <c r="BY172" s="24"/>
      <c r="BZ172" s="24"/>
      <c r="CB172" s="24"/>
      <c r="CC172" s="24"/>
      <c r="CE172" s="24">
        <v>46062.412980578702</v>
      </c>
      <c r="CF172" s="24">
        <v>46062.412980578702</v>
      </c>
      <c r="CG172">
        <v>1</v>
      </c>
      <c r="CH172" s="24"/>
      <c r="CI172" s="24"/>
      <c r="CJ172" s="24"/>
      <c r="CK172" s="24"/>
      <c r="DE172" s="24"/>
      <c r="DF172" s="24"/>
      <c r="DG172" s="24"/>
      <c r="DH172" s="24"/>
      <c r="DJ172" t="s">
        <v>149</v>
      </c>
      <c r="DK172" t="s">
        <v>149</v>
      </c>
      <c r="DM172">
        <v>3</v>
      </c>
      <c r="DN172">
        <v>3</v>
      </c>
      <c r="DQ172" t="s">
        <v>1000</v>
      </c>
      <c r="DR172" t="s">
        <v>149</v>
      </c>
      <c r="DS172" s="24">
        <v>46160.384426226854</v>
      </c>
    </row>
    <row r="173" spans="1:123" x14ac:dyDescent="0.3">
      <c r="A173" t="s">
        <v>428</v>
      </c>
      <c r="D173" t="s">
        <v>225</v>
      </c>
      <c r="E173" s="24">
        <v>46059.435277777775</v>
      </c>
      <c r="G173" t="s">
        <v>90</v>
      </c>
      <c r="H173" t="s">
        <v>155</v>
      </c>
      <c r="I173" s="24"/>
      <c r="J173" s="24"/>
      <c r="K173" s="24"/>
      <c r="L173" s="24"/>
      <c r="N173" s="24"/>
      <c r="O173" s="24"/>
      <c r="P173" s="24"/>
      <c r="Q173" s="24"/>
      <c r="V173" s="24"/>
      <c r="W173" s="24"/>
      <c r="X173" s="24"/>
      <c r="Y173" s="24"/>
      <c r="AA173" s="24">
        <v>46059.444298009257</v>
      </c>
      <c r="AB173" s="24">
        <v>46059.444298009257</v>
      </c>
      <c r="AC173" s="24">
        <v>46059.711682407411</v>
      </c>
      <c r="AD173" s="24">
        <v>46059.711682407411</v>
      </c>
      <c r="AE173">
        <v>1</v>
      </c>
      <c r="AF173" s="24">
        <v>46059.711682407411</v>
      </c>
      <c r="AG173" s="24">
        <v>46059.711682407411</v>
      </c>
      <c r="AH173" s="24">
        <v>46063.605465821762</v>
      </c>
      <c r="AI173" s="24">
        <v>46063.605465821762</v>
      </c>
      <c r="AJ173">
        <v>1</v>
      </c>
      <c r="AK173" s="24">
        <v>46063.605465821762</v>
      </c>
      <c r="AL173" s="24">
        <v>46063.605465821762</v>
      </c>
      <c r="AM173" s="24">
        <v>46064.373453414351</v>
      </c>
      <c r="AN173" s="24">
        <v>46064.373453414351</v>
      </c>
      <c r="AO173">
        <v>1</v>
      </c>
      <c r="AP173" s="24"/>
      <c r="AQ173" s="24"/>
      <c r="AR173" s="24">
        <v>46059.444249236112</v>
      </c>
      <c r="AS173" s="24">
        <v>46059.444249236112</v>
      </c>
      <c r="AX173" s="24"/>
      <c r="AY173" s="24"/>
      <c r="AZ173" s="24"/>
      <c r="BA173" s="24"/>
      <c r="BC173" s="24">
        <v>46064.41347777778</v>
      </c>
      <c r="BD173" s="24">
        <v>46064.41347777778</v>
      </c>
      <c r="BE173" s="24">
        <v>46078.485635960649</v>
      </c>
      <c r="BF173" s="24">
        <v>46078.485635960649</v>
      </c>
      <c r="BG173">
        <v>1</v>
      </c>
      <c r="BH173" s="24">
        <v>46059.444249236112</v>
      </c>
      <c r="BI173" s="24">
        <v>46059.444249236112</v>
      </c>
      <c r="BJ173" s="24">
        <v>46059.444298009257</v>
      </c>
      <c r="BK173" s="24">
        <v>46059.444298009257</v>
      </c>
      <c r="BL173">
        <v>1</v>
      </c>
      <c r="BM173" s="24"/>
      <c r="BN173" s="24"/>
      <c r="BO173" s="24"/>
      <c r="BP173" s="24"/>
      <c r="BR173" s="24">
        <v>46064.373453414351</v>
      </c>
      <c r="BS173" s="24">
        <v>46064.373453414351</v>
      </c>
      <c r="BT173" s="24">
        <v>46064.41347777778</v>
      </c>
      <c r="BU173" s="24">
        <v>46064.41347777778</v>
      </c>
      <c r="BV173">
        <v>1</v>
      </c>
      <c r="BW173" s="24"/>
      <c r="BX173" s="24"/>
      <c r="BY173" s="24"/>
      <c r="BZ173" s="24"/>
      <c r="CB173" s="24"/>
      <c r="CC173" s="24"/>
      <c r="CE173" s="24">
        <v>46078.485635960649</v>
      </c>
      <c r="CF173" s="24">
        <v>46078.485635960649</v>
      </c>
      <c r="CG173">
        <v>1</v>
      </c>
      <c r="CH173" s="24"/>
      <c r="CI173" s="24"/>
      <c r="CJ173" s="24"/>
      <c r="CK173" s="24"/>
      <c r="DE173" s="24"/>
      <c r="DF173" s="24"/>
      <c r="DG173" s="24"/>
      <c r="DH173" s="24"/>
      <c r="DJ173" t="s">
        <v>149</v>
      </c>
      <c r="DK173" t="s">
        <v>149</v>
      </c>
      <c r="DM173">
        <v>20</v>
      </c>
      <c r="DN173">
        <v>20</v>
      </c>
      <c r="DQ173" t="s">
        <v>1000</v>
      </c>
      <c r="DR173" t="s">
        <v>149</v>
      </c>
      <c r="DS173" s="24">
        <v>46160.384426226854</v>
      </c>
    </row>
    <row r="174" spans="1:123" x14ac:dyDescent="0.3">
      <c r="A174" t="s">
        <v>429</v>
      </c>
      <c r="D174" t="s">
        <v>223</v>
      </c>
      <c r="E174" s="24">
        <v>46058.715162037035</v>
      </c>
      <c r="G174" t="s">
        <v>90</v>
      </c>
      <c r="H174" t="s">
        <v>155</v>
      </c>
      <c r="I174" s="24"/>
      <c r="J174" s="24"/>
      <c r="K174" s="24"/>
      <c r="L174" s="24"/>
      <c r="N174" s="24"/>
      <c r="O174" s="24"/>
      <c r="P174" s="24"/>
      <c r="Q174" s="24"/>
      <c r="V174" s="24"/>
      <c r="W174" s="24"/>
      <c r="X174" s="24"/>
      <c r="Y174" s="24"/>
      <c r="AA174" s="24">
        <v>46058.715737905091</v>
      </c>
      <c r="AB174" s="24">
        <v>46058.715737905091</v>
      </c>
      <c r="AC174" s="24">
        <v>46071.580651342592</v>
      </c>
      <c r="AD174" s="24">
        <v>46071.580651342592</v>
      </c>
      <c r="AE174">
        <v>1</v>
      </c>
      <c r="AF174" s="24">
        <v>46071.580651342592</v>
      </c>
      <c r="AG174" s="24">
        <v>46071.580651342592</v>
      </c>
      <c r="AH174" s="24">
        <v>46077.412416354164</v>
      </c>
      <c r="AI174" s="24">
        <v>46077.412416354164</v>
      </c>
      <c r="AJ174">
        <v>1</v>
      </c>
      <c r="AK174" s="24"/>
      <c r="AL174" s="24"/>
      <c r="AM174" s="24"/>
      <c r="AN174" s="24"/>
      <c r="AP174" s="24"/>
      <c r="AQ174" s="24"/>
      <c r="AR174" s="24">
        <v>46058.715688692129</v>
      </c>
      <c r="AS174" s="24">
        <v>46058.715688692129</v>
      </c>
      <c r="AX174" s="24"/>
      <c r="AY174" s="24"/>
      <c r="AZ174" s="24"/>
      <c r="BA174" s="24"/>
      <c r="BC174" s="24"/>
      <c r="BD174" s="24"/>
      <c r="BE174" s="24"/>
      <c r="BF174" s="24"/>
      <c r="BH174" s="24">
        <v>46058.715688692129</v>
      </c>
      <c r="BI174" s="24">
        <v>46058.715688692129</v>
      </c>
      <c r="BJ174" s="24">
        <v>46058.715737905091</v>
      </c>
      <c r="BK174" s="24">
        <v>46058.715737905091</v>
      </c>
      <c r="BL174">
        <v>1</v>
      </c>
      <c r="BM174" s="24"/>
      <c r="BN174" s="24"/>
      <c r="BO174" s="24"/>
      <c r="BP174" s="24"/>
      <c r="BR174" s="24"/>
      <c r="BS174" s="24"/>
      <c r="BT174" s="24"/>
      <c r="BU174" s="24"/>
      <c r="BW174" s="24"/>
      <c r="BX174" s="24"/>
      <c r="BY174" s="24"/>
      <c r="BZ174" s="24"/>
      <c r="CB174" s="24"/>
      <c r="CC174" s="24"/>
      <c r="CE174" s="24">
        <v>46077.412416354164</v>
      </c>
      <c r="CF174" s="24">
        <v>46077.412416354164</v>
      </c>
      <c r="CG174">
        <v>1</v>
      </c>
      <c r="CH174" s="24"/>
      <c r="CI174" s="24"/>
      <c r="CJ174" s="24"/>
      <c r="CK174" s="24"/>
      <c r="DE174" s="24"/>
      <c r="DF174" s="24"/>
      <c r="DG174" s="24"/>
      <c r="DH174" s="24"/>
      <c r="DJ174" t="s">
        <v>149</v>
      </c>
      <c r="DK174" t="s">
        <v>149</v>
      </c>
      <c r="DM174">
        <v>19</v>
      </c>
      <c r="DN174">
        <v>19</v>
      </c>
      <c r="DQ174" t="s">
        <v>1000</v>
      </c>
      <c r="DR174" t="s">
        <v>149</v>
      </c>
      <c r="DS174" s="24">
        <v>46160.384426226854</v>
      </c>
    </row>
    <row r="175" spans="1:123" x14ac:dyDescent="0.3">
      <c r="A175" t="s">
        <v>430</v>
      </c>
      <c r="D175" t="s">
        <v>223</v>
      </c>
      <c r="E175" s="24">
        <v>46058.476273148146</v>
      </c>
      <c r="G175" t="s">
        <v>90</v>
      </c>
      <c r="H175" t="s">
        <v>155</v>
      </c>
      <c r="I175" s="24"/>
      <c r="J175" s="24"/>
      <c r="K175" s="24"/>
      <c r="L175" s="24"/>
      <c r="N175" s="24"/>
      <c r="O175" s="24"/>
      <c r="P175" s="24"/>
      <c r="Q175" s="24"/>
      <c r="V175" s="24"/>
      <c r="W175" s="24"/>
      <c r="X175" s="24"/>
      <c r="Y175" s="24"/>
      <c r="AA175" s="24">
        <v>46058.476887766206</v>
      </c>
      <c r="AB175" s="24">
        <v>46058.476887766206</v>
      </c>
      <c r="AC175" s="24">
        <v>46058.47703234954</v>
      </c>
      <c r="AD175" s="24">
        <v>46058.47703234954</v>
      </c>
      <c r="AE175">
        <v>1</v>
      </c>
      <c r="AF175" s="24">
        <v>46058.47703234954</v>
      </c>
      <c r="AG175" s="24">
        <v>46058.47703234954</v>
      </c>
      <c r="AH175" s="24">
        <v>46058.477120532407</v>
      </c>
      <c r="AI175" s="24">
        <v>46058.477120532407</v>
      </c>
      <c r="AJ175">
        <v>1</v>
      </c>
      <c r="AK175" s="24"/>
      <c r="AL175" s="24"/>
      <c r="AM175" s="24"/>
      <c r="AN175" s="24"/>
      <c r="AP175" s="24"/>
      <c r="AQ175" s="24"/>
      <c r="AR175" s="24">
        <v>46058.476846377314</v>
      </c>
      <c r="AS175" s="24">
        <v>46058.476846377314</v>
      </c>
      <c r="AX175" s="24"/>
      <c r="AY175" s="24"/>
      <c r="AZ175" s="24"/>
      <c r="BA175" s="24"/>
      <c r="BC175" s="24"/>
      <c r="BD175" s="24"/>
      <c r="BE175" s="24"/>
      <c r="BF175" s="24"/>
      <c r="BH175" s="24">
        <v>46058.476846377314</v>
      </c>
      <c r="BI175" s="24">
        <v>46058.476846377314</v>
      </c>
      <c r="BJ175" s="24">
        <v>46058.476887766206</v>
      </c>
      <c r="BK175" s="24">
        <v>46058.476887766206</v>
      </c>
      <c r="BL175">
        <v>1</v>
      </c>
      <c r="BM175" s="24"/>
      <c r="BN175" s="24"/>
      <c r="BO175" s="24"/>
      <c r="BP175" s="24"/>
      <c r="BR175" s="24"/>
      <c r="BS175" s="24"/>
      <c r="BT175" s="24"/>
      <c r="BU175" s="24"/>
      <c r="BW175" s="24"/>
      <c r="BX175" s="24"/>
      <c r="BY175" s="24"/>
      <c r="BZ175" s="24"/>
      <c r="CB175" s="24"/>
      <c r="CC175" s="24"/>
      <c r="CE175" s="24">
        <v>46058.477120532407</v>
      </c>
      <c r="CF175" s="24">
        <v>46058.477120532407</v>
      </c>
      <c r="CG175">
        <v>1</v>
      </c>
      <c r="CH175" s="24"/>
      <c r="CI175" s="24"/>
      <c r="CJ175" s="24"/>
      <c r="CK175" s="24"/>
      <c r="DE175" s="24"/>
      <c r="DF175" s="24"/>
      <c r="DG175" s="24"/>
      <c r="DH175" s="24"/>
      <c r="DJ175" t="s">
        <v>149</v>
      </c>
      <c r="DK175" t="s">
        <v>149</v>
      </c>
      <c r="DM175">
        <v>1</v>
      </c>
      <c r="DN175">
        <v>1</v>
      </c>
      <c r="DQ175" t="s">
        <v>1000</v>
      </c>
      <c r="DR175" t="s">
        <v>149</v>
      </c>
      <c r="DS175" s="24">
        <v>46160.384426226854</v>
      </c>
    </row>
    <row r="176" spans="1:123" x14ac:dyDescent="0.3">
      <c r="A176" t="s">
        <v>431</v>
      </c>
      <c r="D176" t="s">
        <v>223</v>
      </c>
      <c r="E176" s="24">
        <v>46058.346365740741</v>
      </c>
      <c r="G176" t="s">
        <v>150</v>
      </c>
      <c r="H176" t="s">
        <v>155</v>
      </c>
      <c r="I176" s="24"/>
      <c r="J176" s="24"/>
      <c r="K176" s="24"/>
      <c r="L176" s="24"/>
      <c r="N176" s="24"/>
      <c r="O176" s="24"/>
      <c r="P176" s="24"/>
      <c r="Q176" s="24"/>
      <c r="V176" s="24"/>
      <c r="W176" s="24"/>
      <c r="X176" s="24"/>
      <c r="Y176" s="24"/>
      <c r="AA176" s="24">
        <v>46058.35771802083</v>
      </c>
      <c r="AB176" s="24">
        <v>46058.35771802083</v>
      </c>
      <c r="AC176" s="24">
        <v>46058.420744236108</v>
      </c>
      <c r="AD176" s="24">
        <v>46058.420744236108</v>
      </c>
      <c r="AE176">
        <v>1</v>
      </c>
      <c r="AF176" s="24"/>
      <c r="AG176" s="24"/>
      <c r="AH176" s="24"/>
      <c r="AI176" s="24"/>
      <c r="AK176" s="24"/>
      <c r="AL176" s="24"/>
      <c r="AM176" s="24"/>
      <c r="AN176" s="24"/>
      <c r="AP176" s="24"/>
      <c r="AQ176" s="24"/>
      <c r="AR176" s="24">
        <v>46058.352750208331</v>
      </c>
      <c r="AS176" s="24">
        <v>46058.352750208331</v>
      </c>
      <c r="AX176" s="24"/>
      <c r="AY176" s="24"/>
      <c r="AZ176" s="24"/>
      <c r="BA176" s="24"/>
      <c r="BC176" s="24"/>
      <c r="BD176" s="24"/>
      <c r="BE176" s="24"/>
      <c r="BF176" s="24"/>
      <c r="BH176" s="24">
        <v>46058.352750208331</v>
      </c>
      <c r="BI176" s="24">
        <v>46058.352750208331</v>
      </c>
      <c r="BJ176" s="24">
        <v>46058.35771802083</v>
      </c>
      <c r="BK176" s="24">
        <v>46058.35771802083</v>
      </c>
      <c r="BL176">
        <v>1</v>
      </c>
      <c r="BM176" s="24"/>
      <c r="BN176" s="24"/>
      <c r="BO176" s="24"/>
      <c r="BP176" s="24"/>
      <c r="BR176" s="24"/>
      <c r="BS176" s="24"/>
      <c r="BT176" s="24"/>
      <c r="BU176" s="24"/>
      <c r="BW176" s="24"/>
      <c r="BX176" s="24"/>
      <c r="BY176" s="24"/>
      <c r="BZ176" s="24"/>
      <c r="CB176" s="24">
        <v>46058.426942731479</v>
      </c>
      <c r="CC176" s="24">
        <v>46058.420744236108</v>
      </c>
      <c r="CD176">
        <v>2</v>
      </c>
      <c r="CE176" s="24"/>
      <c r="CF176" s="24"/>
      <c r="CH176" s="24"/>
      <c r="CI176" s="24"/>
      <c r="CJ176" s="24"/>
      <c r="CK176" s="24"/>
      <c r="DE176" s="24"/>
      <c r="DF176" s="24"/>
      <c r="DG176" s="24"/>
      <c r="DH176" s="24"/>
      <c r="DJ176" t="s">
        <v>149</v>
      </c>
      <c r="DK176" t="s">
        <v>149</v>
      </c>
      <c r="DQ176" t="s">
        <v>1000</v>
      </c>
      <c r="DR176" t="s">
        <v>149</v>
      </c>
      <c r="DS176" s="24">
        <v>46160.384426226854</v>
      </c>
    </row>
    <row r="177" spans="1:123" x14ac:dyDescent="0.3">
      <c r="A177" t="s">
        <v>432</v>
      </c>
      <c r="D177" t="s">
        <v>223</v>
      </c>
      <c r="E177" s="24">
        <v>46057.65216435185</v>
      </c>
      <c r="G177" t="s">
        <v>90</v>
      </c>
      <c r="H177" t="s">
        <v>155</v>
      </c>
      <c r="I177" s="24"/>
      <c r="J177" s="24"/>
      <c r="K177" s="24"/>
      <c r="L177" s="24"/>
      <c r="N177" s="24"/>
      <c r="O177" s="24"/>
      <c r="P177" s="24"/>
      <c r="Q177" s="24"/>
      <c r="V177" s="24"/>
      <c r="W177" s="24"/>
      <c r="X177" s="24"/>
      <c r="Y177" s="24"/>
      <c r="AA177" s="24">
        <v>46077.423838726849</v>
      </c>
      <c r="AB177" s="24">
        <v>46077.423838726849</v>
      </c>
      <c r="AC177" s="24">
        <v>46080.652971412041</v>
      </c>
      <c r="AD177" s="24">
        <v>46080.652971412041</v>
      </c>
      <c r="AE177">
        <v>1</v>
      </c>
      <c r="AF177" s="24">
        <v>46080.652971412041</v>
      </c>
      <c r="AG177" s="24">
        <v>46080.652971412041</v>
      </c>
      <c r="AH177" s="24">
        <v>46080.65300395833</v>
      </c>
      <c r="AI177" s="24">
        <v>46080.65300395833</v>
      </c>
      <c r="AJ177">
        <v>1</v>
      </c>
      <c r="AK177" s="24"/>
      <c r="AL177" s="24"/>
      <c r="AM177" s="24"/>
      <c r="AN177" s="24"/>
      <c r="AP177" s="24"/>
      <c r="AQ177" s="24"/>
      <c r="AR177" s="24">
        <v>46073.339897291669</v>
      </c>
      <c r="AS177" s="24">
        <v>46073.339897291669</v>
      </c>
      <c r="AX177" s="24"/>
      <c r="AY177" s="24"/>
      <c r="AZ177" s="24"/>
      <c r="BA177" s="24"/>
      <c r="BC177" s="24"/>
      <c r="BD177" s="24"/>
      <c r="BE177" s="24"/>
      <c r="BF177" s="24"/>
      <c r="BH177" s="24">
        <v>46073.339897291669</v>
      </c>
      <c r="BI177" s="24">
        <v>46073.339897291669</v>
      </c>
      <c r="BJ177" s="24">
        <v>46077.423838726849</v>
      </c>
      <c r="BK177" s="24">
        <v>46077.423838726849</v>
      </c>
      <c r="BL177">
        <v>1</v>
      </c>
      <c r="BM177" s="24"/>
      <c r="BN177" s="24"/>
      <c r="BO177" s="24"/>
      <c r="BP177" s="24"/>
      <c r="BR177" s="24">
        <v>46080.65300395833</v>
      </c>
      <c r="BS177" s="24">
        <v>46080.65300395833</v>
      </c>
      <c r="BT177" s="24">
        <v>46083.403479085646</v>
      </c>
      <c r="BU177" s="24">
        <v>46083.403479085646</v>
      </c>
      <c r="BV177">
        <v>1</v>
      </c>
      <c r="BW177" s="24"/>
      <c r="BX177" s="24"/>
      <c r="BY177" s="24"/>
      <c r="BZ177" s="24"/>
      <c r="CB177" s="24"/>
      <c r="CC177" s="24"/>
      <c r="CE177" s="24">
        <v>46083.403479085646</v>
      </c>
      <c r="CF177" s="24">
        <v>46083.403479085646</v>
      </c>
      <c r="CG177">
        <v>1</v>
      </c>
      <c r="CH177" s="24"/>
      <c r="CI177" s="24"/>
      <c r="CJ177" s="24"/>
      <c r="CK177" s="24"/>
      <c r="DE177" s="24"/>
      <c r="DF177" s="24"/>
      <c r="DG177" s="24"/>
      <c r="DH177" s="24"/>
      <c r="DJ177" t="s">
        <v>149</v>
      </c>
      <c r="DK177" t="s">
        <v>149</v>
      </c>
      <c r="DM177">
        <v>11</v>
      </c>
      <c r="DN177">
        <v>6</v>
      </c>
      <c r="DQ177" t="s">
        <v>1000</v>
      </c>
      <c r="DR177" t="s">
        <v>149</v>
      </c>
      <c r="DS177" s="24">
        <v>46160.384426226854</v>
      </c>
    </row>
    <row r="178" spans="1:123" x14ac:dyDescent="0.3">
      <c r="A178" t="s">
        <v>433</v>
      </c>
      <c r="D178" t="s">
        <v>225</v>
      </c>
      <c r="E178" s="24">
        <v>46056.473726851851</v>
      </c>
      <c r="G178" t="s">
        <v>90</v>
      </c>
      <c r="H178" t="s">
        <v>155</v>
      </c>
      <c r="I178" s="24">
        <v>46079.66373320602</v>
      </c>
      <c r="J178" s="24">
        <v>46079.66373320602</v>
      </c>
      <c r="K178" s="24">
        <v>46079.66386291667</v>
      </c>
      <c r="L178" s="24">
        <v>46079.66386291667</v>
      </c>
      <c r="M178">
        <v>1</v>
      </c>
      <c r="N178" s="24"/>
      <c r="O178" s="24"/>
      <c r="P178" s="24"/>
      <c r="Q178" s="24"/>
      <c r="V178" s="24"/>
      <c r="W178" s="24"/>
      <c r="X178" s="24"/>
      <c r="Y178" s="24"/>
      <c r="AA178" s="24">
        <v>46091.766396122686</v>
      </c>
      <c r="AB178" s="24">
        <v>46056.628403009257</v>
      </c>
      <c r="AC178" s="24">
        <v>46079.66373320602</v>
      </c>
      <c r="AD178" s="24">
        <v>46099.562665393518</v>
      </c>
      <c r="AE178">
        <v>2</v>
      </c>
      <c r="AF178" s="24">
        <v>46099.562665393518</v>
      </c>
      <c r="AG178" s="24">
        <v>46099.562665393518</v>
      </c>
      <c r="AH178" s="24">
        <v>46099.562711736115</v>
      </c>
      <c r="AI178" s="24">
        <v>46099.562711736115</v>
      </c>
      <c r="AJ178">
        <v>1</v>
      </c>
      <c r="AK178" s="24">
        <v>46099.562711736115</v>
      </c>
      <c r="AL178" s="24">
        <v>46099.562711736115</v>
      </c>
      <c r="AM178" s="24">
        <v>46099.563815474539</v>
      </c>
      <c r="AN178" s="24">
        <v>46099.563815474539</v>
      </c>
      <c r="AO178">
        <v>1</v>
      </c>
      <c r="AP178" s="24"/>
      <c r="AQ178" s="24"/>
      <c r="AR178" s="24">
        <v>46056.628355439818</v>
      </c>
      <c r="AS178" s="24">
        <v>46056.628355439818</v>
      </c>
      <c r="AX178" s="24"/>
      <c r="AY178" s="24"/>
      <c r="AZ178" s="24"/>
      <c r="BA178" s="24"/>
      <c r="BC178" s="24">
        <v>46099.563921828703</v>
      </c>
      <c r="BD178" s="24">
        <v>46099.563921828703</v>
      </c>
      <c r="BE178" s="24">
        <v>46099.564617407406</v>
      </c>
      <c r="BF178" s="24">
        <v>46099.564617407406</v>
      </c>
      <c r="BG178">
        <v>1</v>
      </c>
      <c r="BH178" s="24">
        <v>46079.66386291667</v>
      </c>
      <c r="BI178" s="24">
        <v>46056.628355439818</v>
      </c>
      <c r="BJ178" s="24">
        <v>46056.628403009257</v>
      </c>
      <c r="BK178" s="24">
        <v>46091.766396122686</v>
      </c>
      <c r="BL178">
        <v>2</v>
      </c>
      <c r="BM178" s="24"/>
      <c r="BN178" s="24"/>
      <c r="BO178" s="24"/>
      <c r="BP178" s="24"/>
      <c r="BR178" s="24">
        <v>46099.563815474539</v>
      </c>
      <c r="BS178" s="24">
        <v>46099.563815474539</v>
      </c>
      <c r="BT178" s="24">
        <v>46099.563921828703</v>
      </c>
      <c r="BU178" s="24">
        <v>46099.563921828703</v>
      </c>
      <c r="BV178">
        <v>1</v>
      </c>
      <c r="BW178" s="24"/>
      <c r="BX178" s="24"/>
      <c r="BY178" s="24"/>
      <c r="BZ178" s="24"/>
      <c r="CB178" s="24"/>
      <c r="CC178" s="24"/>
      <c r="CE178" s="24">
        <v>46099.564617407406</v>
      </c>
      <c r="CF178" s="24">
        <v>46099.564617407406</v>
      </c>
      <c r="CG178">
        <v>1</v>
      </c>
      <c r="CH178" s="24"/>
      <c r="CI178" s="24"/>
      <c r="CJ178" s="24"/>
      <c r="CK178" s="24"/>
      <c r="DE178" s="24"/>
      <c r="DF178" s="24"/>
      <c r="DG178" s="24"/>
      <c r="DH178" s="24"/>
      <c r="DJ178" t="s">
        <v>149</v>
      </c>
      <c r="DK178" t="s">
        <v>149</v>
      </c>
      <c r="DM178">
        <v>43</v>
      </c>
      <c r="DN178">
        <v>43</v>
      </c>
      <c r="DQ178" t="s">
        <v>1000</v>
      </c>
      <c r="DR178" t="s">
        <v>149</v>
      </c>
      <c r="DS178" s="24">
        <v>46160.384426226854</v>
      </c>
    </row>
    <row r="179" spans="1:123" x14ac:dyDescent="0.3">
      <c r="A179" t="s">
        <v>434</v>
      </c>
      <c r="D179" t="s">
        <v>224</v>
      </c>
      <c r="E179" s="24">
        <v>46052.363703703704</v>
      </c>
      <c r="G179" t="s">
        <v>90</v>
      </c>
      <c r="H179" t="s">
        <v>155</v>
      </c>
      <c r="I179" s="24"/>
      <c r="J179" s="24"/>
      <c r="K179" s="24"/>
      <c r="L179" s="24"/>
      <c r="N179" s="24"/>
      <c r="O179" s="24"/>
      <c r="P179" s="24"/>
      <c r="Q179" s="24"/>
      <c r="V179" s="24"/>
      <c r="W179" s="24"/>
      <c r="X179" s="24"/>
      <c r="Y179" s="24"/>
      <c r="AA179" s="24">
        <v>46052.403432650462</v>
      </c>
      <c r="AB179" s="24">
        <v>46052.403432650462</v>
      </c>
      <c r="AC179" s="24">
        <v>46052.40362109954</v>
      </c>
      <c r="AD179" s="24">
        <v>46052.40362109954</v>
      </c>
      <c r="AE179">
        <v>1</v>
      </c>
      <c r="AF179" s="24">
        <v>46052.40362109954</v>
      </c>
      <c r="AG179" s="24">
        <v>46052.40362109954</v>
      </c>
      <c r="AH179" s="24">
        <v>46052.403658252311</v>
      </c>
      <c r="AI179" s="24">
        <v>46052.403658252311</v>
      </c>
      <c r="AJ179">
        <v>1</v>
      </c>
      <c r="AK179" s="24">
        <v>46052.403658252311</v>
      </c>
      <c r="AL179" s="24">
        <v>46052.403658252311</v>
      </c>
      <c r="AM179" s="24">
        <v>46052.409904814813</v>
      </c>
      <c r="AN179" s="24">
        <v>46052.409904814813</v>
      </c>
      <c r="AO179">
        <v>1</v>
      </c>
      <c r="AP179" s="24"/>
      <c r="AQ179" s="24"/>
      <c r="AR179" s="24">
        <v>46052.403321597223</v>
      </c>
      <c r="AS179" s="24">
        <v>46052.403321597223</v>
      </c>
      <c r="AX179" s="24"/>
      <c r="AY179" s="24"/>
      <c r="AZ179" s="24"/>
      <c r="BA179" s="24"/>
      <c r="BC179" s="24">
        <v>46052.413159004631</v>
      </c>
      <c r="BD179" s="24">
        <v>46052.413159004631</v>
      </c>
      <c r="BE179" s="24">
        <v>46052.430762314812</v>
      </c>
      <c r="BF179" s="24">
        <v>46052.430762314812</v>
      </c>
      <c r="BG179">
        <v>1</v>
      </c>
      <c r="BH179" s="24">
        <v>46052.403321597223</v>
      </c>
      <c r="BI179" s="24">
        <v>46052.403321597223</v>
      </c>
      <c r="BJ179" s="24">
        <v>46052.403432650462</v>
      </c>
      <c r="BK179" s="24">
        <v>46052.403432650462</v>
      </c>
      <c r="BL179">
        <v>1</v>
      </c>
      <c r="BM179" s="24"/>
      <c r="BN179" s="24"/>
      <c r="BO179" s="24"/>
      <c r="BP179" s="24"/>
      <c r="BR179" s="24">
        <v>46052.409904814813</v>
      </c>
      <c r="BS179" s="24">
        <v>46052.409904814813</v>
      </c>
      <c r="BT179" s="24">
        <v>46052.413159004631</v>
      </c>
      <c r="BU179" s="24">
        <v>46052.413159004631</v>
      </c>
      <c r="BV179">
        <v>1</v>
      </c>
      <c r="BW179" s="24"/>
      <c r="BX179" s="24"/>
      <c r="BY179" s="24"/>
      <c r="BZ179" s="24"/>
      <c r="CB179" s="24"/>
      <c r="CC179" s="24"/>
      <c r="CE179" s="24">
        <v>46052.430762314812</v>
      </c>
      <c r="CF179" s="24">
        <v>46052.430762314812</v>
      </c>
      <c r="CG179">
        <v>1</v>
      </c>
      <c r="CH179" s="24"/>
      <c r="CI179" s="24"/>
      <c r="CJ179" s="24"/>
      <c r="CK179" s="24"/>
      <c r="DE179" s="24"/>
      <c r="DF179" s="24"/>
      <c r="DG179" s="24"/>
      <c r="DH179" s="24"/>
      <c r="DJ179" t="s">
        <v>149</v>
      </c>
      <c r="DK179" t="s">
        <v>149</v>
      </c>
      <c r="DM179">
        <v>1</v>
      </c>
      <c r="DN179">
        <v>1</v>
      </c>
      <c r="DQ179" t="s">
        <v>1000</v>
      </c>
      <c r="DR179" t="s">
        <v>149</v>
      </c>
      <c r="DS179" s="24">
        <v>46160.384426226854</v>
      </c>
    </row>
    <row r="180" spans="1:123" x14ac:dyDescent="0.3">
      <c r="A180" t="s">
        <v>435</v>
      </c>
      <c r="D180" t="s">
        <v>223</v>
      </c>
      <c r="E180" s="24">
        <v>46049.442974537036</v>
      </c>
      <c r="G180" t="s">
        <v>90</v>
      </c>
      <c r="H180" t="s">
        <v>155</v>
      </c>
      <c r="I180" s="24"/>
      <c r="J180" s="24"/>
      <c r="K180" s="24"/>
      <c r="L180" s="24"/>
      <c r="N180" s="24"/>
      <c r="O180" s="24"/>
      <c r="P180" s="24"/>
      <c r="Q180" s="24"/>
      <c r="V180" s="24"/>
      <c r="W180" s="24"/>
      <c r="X180" s="24"/>
      <c r="Y180" s="24"/>
      <c r="AA180" s="24">
        <v>46070.425365682873</v>
      </c>
      <c r="AB180" s="24">
        <v>46070.425365682873</v>
      </c>
      <c r="AC180" s="24">
        <v>46070.425478668978</v>
      </c>
      <c r="AD180" s="24">
        <v>46070.425478668978</v>
      </c>
      <c r="AE180">
        <v>1</v>
      </c>
      <c r="AF180" s="24"/>
      <c r="AG180" s="24"/>
      <c r="AH180" s="24"/>
      <c r="AI180" s="24"/>
      <c r="AK180" s="24"/>
      <c r="AL180" s="24"/>
      <c r="AM180" s="24"/>
      <c r="AN180" s="24"/>
      <c r="AP180" s="24"/>
      <c r="AQ180" s="24"/>
      <c r="AR180" s="24">
        <v>46070.425203333332</v>
      </c>
      <c r="AS180" s="24">
        <v>46070.425203333332</v>
      </c>
      <c r="AX180" s="24"/>
      <c r="AY180" s="24"/>
      <c r="AZ180" s="24"/>
      <c r="BA180" s="24"/>
      <c r="BC180" s="24"/>
      <c r="BD180" s="24"/>
      <c r="BE180" s="24"/>
      <c r="BF180" s="24"/>
      <c r="BH180" s="24">
        <v>46070.425203333332</v>
      </c>
      <c r="BI180" s="24">
        <v>46070.425203333332</v>
      </c>
      <c r="BJ180" s="24">
        <v>46070.425365682873</v>
      </c>
      <c r="BK180" s="24">
        <v>46070.425365682873</v>
      </c>
      <c r="BL180">
        <v>1</v>
      </c>
      <c r="BM180" s="24"/>
      <c r="BN180" s="24"/>
      <c r="BO180" s="24"/>
      <c r="BP180" s="24"/>
      <c r="BR180" s="24"/>
      <c r="BS180" s="24"/>
      <c r="BT180" s="24"/>
      <c r="BU180" s="24"/>
      <c r="BW180" s="24"/>
      <c r="BX180" s="24"/>
      <c r="BY180" s="24"/>
      <c r="BZ180" s="24"/>
      <c r="CB180" s="24"/>
      <c r="CC180" s="24"/>
      <c r="CE180" s="24">
        <v>46070.425478668978</v>
      </c>
      <c r="CF180" s="24">
        <v>46070.425478668978</v>
      </c>
      <c r="CG180">
        <v>1</v>
      </c>
      <c r="CH180" s="24"/>
      <c r="CI180" s="24"/>
      <c r="CJ180" s="24"/>
      <c r="CK180" s="24"/>
      <c r="DE180" s="24"/>
      <c r="DF180" s="24"/>
      <c r="DG180" s="24"/>
      <c r="DH180" s="24"/>
      <c r="DJ180" t="s">
        <v>149</v>
      </c>
      <c r="DK180" t="s">
        <v>149</v>
      </c>
      <c r="DM180">
        <v>1</v>
      </c>
      <c r="DN180">
        <v>1</v>
      </c>
      <c r="DQ180" t="s">
        <v>1000</v>
      </c>
      <c r="DR180" t="s">
        <v>149</v>
      </c>
      <c r="DS180" s="24">
        <v>46160.384426226854</v>
      </c>
    </row>
    <row r="181" spans="1:123" x14ac:dyDescent="0.3">
      <c r="A181" t="s">
        <v>436</v>
      </c>
      <c r="D181" t="s">
        <v>223</v>
      </c>
      <c r="E181" s="24">
        <v>46049.44189814815</v>
      </c>
      <c r="G181" t="s">
        <v>90</v>
      </c>
      <c r="H181" t="s">
        <v>155</v>
      </c>
      <c r="I181" s="24"/>
      <c r="J181" s="24"/>
      <c r="K181" s="24"/>
      <c r="L181" s="24"/>
      <c r="N181" s="24"/>
      <c r="O181" s="24"/>
      <c r="P181" s="24"/>
      <c r="Q181" s="24"/>
      <c r="V181" s="24"/>
      <c r="W181" s="24"/>
      <c r="X181" s="24"/>
      <c r="Y181" s="24"/>
      <c r="AA181" s="24">
        <v>46056.652339837965</v>
      </c>
      <c r="AB181" s="24">
        <v>46056.652339837965</v>
      </c>
      <c r="AC181" s="24">
        <v>46070.31045164352</v>
      </c>
      <c r="AD181" s="24">
        <v>46070.31045164352</v>
      </c>
      <c r="AE181">
        <v>1</v>
      </c>
      <c r="AF181" s="24">
        <v>46070.31045164352</v>
      </c>
      <c r="AG181" s="24">
        <v>46070.31045164352</v>
      </c>
      <c r="AH181" s="24">
        <v>46070.310507326387</v>
      </c>
      <c r="AI181" s="24">
        <v>46070.310507326387</v>
      </c>
      <c r="AJ181">
        <v>1</v>
      </c>
      <c r="AK181" s="24"/>
      <c r="AL181" s="24"/>
      <c r="AM181" s="24"/>
      <c r="AN181" s="24"/>
      <c r="AP181" s="24"/>
      <c r="AQ181" s="24"/>
      <c r="AR181" s="24">
        <v>46049.442209675923</v>
      </c>
      <c r="AS181" s="24">
        <v>46049.442209675923</v>
      </c>
      <c r="AX181" s="24"/>
      <c r="AY181" s="24"/>
      <c r="AZ181" s="24"/>
      <c r="BA181" s="24"/>
      <c r="BC181" s="24"/>
      <c r="BD181" s="24"/>
      <c r="BE181" s="24"/>
      <c r="BF181" s="24"/>
      <c r="BH181" s="24">
        <v>46049.442209675923</v>
      </c>
      <c r="BI181" s="24">
        <v>46049.442209675923</v>
      </c>
      <c r="BJ181" s="24">
        <v>46056.652339837965</v>
      </c>
      <c r="BK181" s="24">
        <v>46056.652339837965</v>
      </c>
      <c r="BL181">
        <v>1</v>
      </c>
      <c r="BM181" s="24"/>
      <c r="BN181" s="24"/>
      <c r="BO181" s="24"/>
      <c r="BP181" s="24"/>
      <c r="BR181" s="24">
        <v>46070.310507326387</v>
      </c>
      <c r="BS181" s="24">
        <v>46070.310507326387</v>
      </c>
      <c r="BT181" s="24">
        <v>46070.310552777781</v>
      </c>
      <c r="BU181" s="24">
        <v>46070.310552777781</v>
      </c>
      <c r="BV181">
        <v>1</v>
      </c>
      <c r="BW181" s="24"/>
      <c r="BX181" s="24"/>
      <c r="BY181" s="24"/>
      <c r="BZ181" s="24"/>
      <c r="CB181" s="24"/>
      <c r="CC181" s="24"/>
      <c r="CE181" s="24">
        <v>46070.310552777781</v>
      </c>
      <c r="CF181" s="24">
        <v>46070.310552777781</v>
      </c>
      <c r="CG181">
        <v>1</v>
      </c>
      <c r="CH181" s="24"/>
      <c r="CI181" s="24"/>
      <c r="CJ181" s="24"/>
      <c r="CK181" s="24"/>
      <c r="DE181" s="24"/>
      <c r="DF181" s="24"/>
      <c r="DG181" s="24"/>
      <c r="DH181" s="24"/>
      <c r="DJ181" t="s">
        <v>149</v>
      </c>
      <c r="DK181" t="s">
        <v>149</v>
      </c>
      <c r="DM181">
        <v>21</v>
      </c>
      <c r="DN181">
        <v>14</v>
      </c>
      <c r="DQ181" t="s">
        <v>1000</v>
      </c>
      <c r="DR181" t="s">
        <v>149</v>
      </c>
      <c r="DS181" s="24">
        <v>46160.384426226854</v>
      </c>
    </row>
    <row r="182" spans="1:123" x14ac:dyDescent="0.3">
      <c r="A182" t="s">
        <v>437</v>
      </c>
      <c r="D182" t="s">
        <v>223</v>
      </c>
      <c r="E182" s="24">
        <v>46049.41951388889</v>
      </c>
      <c r="G182" t="s">
        <v>90</v>
      </c>
      <c r="H182" t="s">
        <v>155</v>
      </c>
      <c r="I182" s="24">
        <v>46063.405470428239</v>
      </c>
      <c r="J182" s="24">
        <v>46063.405470428239</v>
      </c>
      <c r="K182" s="24">
        <v>46063.405614664349</v>
      </c>
      <c r="L182" s="24">
        <v>46063.405614664349</v>
      </c>
      <c r="M182">
        <v>1</v>
      </c>
      <c r="N182" s="24"/>
      <c r="O182" s="24"/>
      <c r="P182" s="24"/>
      <c r="Q182" s="24"/>
      <c r="V182" s="24"/>
      <c r="W182" s="24"/>
      <c r="X182" s="24"/>
      <c r="Y182" s="24"/>
      <c r="AA182" s="24">
        <v>46063.405741817129</v>
      </c>
      <c r="AB182" s="24">
        <v>46057.394764918979</v>
      </c>
      <c r="AC182" s="24">
        <v>46063.40331530093</v>
      </c>
      <c r="AD182" s="24">
        <v>46065.392298321756</v>
      </c>
      <c r="AE182">
        <v>2</v>
      </c>
      <c r="AF182" s="24">
        <v>46065.392298321756</v>
      </c>
      <c r="AG182" s="24">
        <v>46065.392298321756</v>
      </c>
      <c r="AH182" s="24">
        <v>46070.315744629632</v>
      </c>
      <c r="AI182" s="24">
        <v>46070.315744629632</v>
      </c>
      <c r="AJ182">
        <v>1</v>
      </c>
      <c r="AK182" s="24"/>
      <c r="AL182" s="24"/>
      <c r="AM182" s="24"/>
      <c r="AN182" s="24"/>
      <c r="AP182" s="24"/>
      <c r="AQ182" s="24"/>
      <c r="AR182" s="24">
        <v>46056.65207434028</v>
      </c>
      <c r="AS182" s="24">
        <v>46056.65207434028</v>
      </c>
      <c r="AX182" s="24"/>
      <c r="AY182" s="24"/>
      <c r="AZ182" s="24"/>
      <c r="BA182" s="24"/>
      <c r="BC182" s="24"/>
      <c r="BD182" s="24"/>
      <c r="BE182" s="24"/>
      <c r="BF182" s="24"/>
      <c r="BH182" s="24">
        <v>46063.405614664349</v>
      </c>
      <c r="BI182" s="24">
        <v>46056.65207434028</v>
      </c>
      <c r="BJ182" s="24">
        <v>46057.394764918979</v>
      </c>
      <c r="BK182" s="24">
        <v>46063.405741817129</v>
      </c>
      <c r="BL182">
        <v>2</v>
      </c>
      <c r="BM182" s="24"/>
      <c r="BN182" s="24"/>
      <c r="BO182" s="24"/>
      <c r="BP182" s="24"/>
      <c r="BR182" s="24">
        <v>46070.315744629632</v>
      </c>
      <c r="BS182" s="24">
        <v>46070.315744629632</v>
      </c>
      <c r="BT182" s="24">
        <v>46070.315814374997</v>
      </c>
      <c r="BU182" s="24">
        <v>46070.315814374997</v>
      </c>
      <c r="BV182">
        <v>1</v>
      </c>
      <c r="BW182" s="24"/>
      <c r="BX182" s="24"/>
      <c r="BY182" s="24"/>
      <c r="BZ182" s="24"/>
      <c r="CB182" s="24"/>
      <c r="CC182" s="24"/>
      <c r="CE182" s="24">
        <v>46070.315814374997</v>
      </c>
      <c r="CF182" s="24">
        <v>46063.40331530093</v>
      </c>
      <c r="CG182">
        <v>2</v>
      </c>
      <c r="CH182" s="24">
        <v>46063.403731273145</v>
      </c>
      <c r="CI182" s="24">
        <v>46063.403731273145</v>
      </c>
      <c r="CJ182" s="24">
        <v>46063.405470428239</v>
      </c>
      <c r="CK182" s="24">
        <v>46063.405470428239</v>
      </c>
      <c r="CL182">
        <v>1</v>
      </c>
      <c r="DE182" s="24"/>
      <c r="DF182" s="24"/>
      <c r="DG182" s="24"/>
      <c r="DH182" s="24"/>
      <c r="DJ182" t="s">
        <v>149</v>
      </c>
      <c r="DK182" t="s">
        <v>149</v>
      </c>
      <c r="DM182">
        <v>14</v>
      </c>
      <c r="DN182">
        <v>13</v>
      </c>
      <c r="DQ182" t="s">
        <v>1000</v>
      </c>
      <c r="DR182" t="s">
        <v>149</v>
      </c>
      <c r="DS182" s="24">
        <v>46160.384426226854</v>
      </c>
    </row>
    <row r="183" spans="1:123" x14ac:dyDescent="0.3">
      <c r="A183" t="s">
        <v>438</v>
      </c>
      <c r="D183" t="s">
        <v>223</v>
      </c>
      <c r="E183" s="24">
        <v>46048.619050925925</v>
      </c>
      <c r="G183" t="s">
        <v>90</v>
      </c>
      <c r="H183" t="s">
        <v>155</v>
      </c>
      <c r="I183" s="24"/>
      <c r="J183" s="24"/>
      <c r="K183" s="24"/>
      <c r="L183" s="24"/>
      <c r="N183" s="24"/>
      <c r="O183" s="24"/>
      <c r="P183" s="24"/>
      <c r="Q183" s="24"/>
      <c r="V183" s="24"/>
      <c r="W183" s="24"/>
      <c r="X183" s="24"/>
      <c r="Y183" s="24"/>
      <c r="AA183" s="24">
        <v>46057.358536053238</v>
      </c>
      <c r="AB183" s="24">
        <v>46057.358536053238</v>
      </c>
      <c r="AC183" s="24">
        <v>46058.454101550924</v>
      </c>
      <c r="AD183" s="24">
        <v>46058.454101550924</v>
      </c>
      <c r="AE183">
        <v>1</v>
      </c>
      <c r="AF183" s="24">
        <v>46058.454101550924</v>
      </c>
      <c r="AG183" s="24">
        <v>46058.454101550924</v>
      </c>
      <c r="AH183" s="24">
        <v>46059.406292465275</v>
      </c>
      <c r="AI183" s="24">
        <v>46059.406292465275</v>
      </c>
      <c r="AJ183">
        <v>1</v>
      </c>
      <c r="AK183" s="24"/>
      <c r="AL183" s="24"/>
      <c r="AM183" s="24"/>
      <c r="AN183" s="24"/>
      <c r="AP183" s="24"/>
      <c r="AQ183" s="24"/>
      <c r="AR183" s="24">
        <v>46056.652225127313</v>
      </c>
      <c r="AS183" s="24">
        <v>46056.652225127313</v>
      </c>
      <c r="AX183" s="24"/>
      <c r="AY183" s="24"/>
      <c r="AZ183" s="24"/>
      <c r="BA183" s="24"/>
      <c r="BC183" s="24"/>
      <c r="BD183" s="24"/>
      <c r="BE183" s="24"/>
      <c r="BF183" s="24"/>
      <c r="BH183" s="24">
        <v>46056.652225127313</v>
      </c>
      <c r="BI183" s="24">
        <v>46056.652225127313</v>
      </c>
      <c r="BJ183" s="24">
        <v>46057.358536053238</v>
      </c>
      <c r="BK183" s="24">
        <v>46057.358536053238</v>
      </c>
      <c r="BL183">
        <v>1</v>
      </c>
      <c r="BM183" s="24"/>
      <c r="BN183" s="24"/>
      <c r="BO183" s="24"/>
      <c r="BP183" s="24"/>
      <c r="BR183" s="24"/>
      <c r="BS183" s="24"/>
      <c r="BT183" s="24"/>
      <c r="BU183" s="24"/>
      <c r="BW183" s="24"/>
      <c r="BX183" s="24"/>
      <c r="BY183" s="24"/>
      <c r="BZ183" s="24"/>
      <c r="CB183" s="24"/>
      <c r="CC183" s="24"/>
      <c r="CE183" s="24">
        <v>46059.406292465275</v>
      </c>
      <c r="CF183" s="24">
        <v>46059.406292465275</v>
      </c>
      <c r="CG183">
        <v>1</v>
      </c>
      <c r="CH183" s="24"/>
      <c r="CI183" s="24"/>
      <c r="CJ183" s="24"/>
      <c r="CK183" s="24"/>
      <c r="DE183" s="24"/>
      <c r="DF183" s="24"/>
      <c r="DG183" s="24"/>
      <c r="DH183" s="24"/>
      <c r="DJ183" t="s">
        <v>149</v>
      </c>
      <c r="DK183" t="s">
        <v>149</v>
      </c>
      <c r="DM183">
        <v>3</v>
      </c>
      <c r="DN183">
        <v>3</v>
      </c>
      <c r="DQ183" t="s">
        <v>1000</v>
      </c>
      <c r="DR183" t="s">
        <v>149</v>
      </c>
      <c r="DS183" s="24">
        <v>46160.384426226854</v>
      </c>
    </row>
    <row r="184" spans="1:123" x14ac:dyDescent="0.3">
      <c r="A184" t="s">
        <v>439</v>
      </c>
      <c r="D184" t="s">
        <v>223</v>
      </c>
      <c r="E184" s="24">
        <v>46048.602314814816</v>
      </c>
      <c r="G184" t="s">
        <v>90</v>
      </c>
      <c r="H184" t="s">
        <v>155</v>
      </c>
      <c r="I184" s="24"/>
      <c r="J184" s="24"/>
      <c r="K184" s="24"/>
      <c r="L184" s="24"/>
      <c r="N184" s="24"/>
      <c r="O184" s="24"/>
      <c r="P184" s="24"/>
      <c r="Q184" s="24"/>
      <c r="V184" s="24"/>
      <c r="W184" s="24"/>
      <c r="X184" s="24"/>
      <c r="Y184" s="24"/>
      <c r="AA184" s="24">
        <v>46051.615872870374</v>
      </c>
      <c r="AB184" s="24">
        <v>46051.615872870374</v>
      </c>
      <c r="AC184" s="24">
        <v>46051.616003194446</v>
      </c>
      <c r="AD184" s="24">
        <v>46051.616003194446</v>
      </c>
      <c r="AE184">
        <v>1</v>
      </c>
      <c r="AF184" s="24">
        <v>46051.616003194446</v>
      </c>
      <c r="AG184" s="24">
        <v>46051.616003194446</v>
      </c>
      <c r="AH184" s="24">
        <v>46055.400863425923</v>
      </c>
      <c r="AI184" s="24">
        <v>46055.400863425923</v>
      </c>
      <c r="AJ184">
        <v>1</v>
      </c>
      <c r="AK184" s="24"/>
      <c r="AL184" s="24"/>
      <c r="AM184" s="24"/>
      <c r="AN184" s="24"/>
      <c r="AP184" s="24"/>
      <c r="AQ184" s="24"/>
      <c r="AR184" s="24">
        <v>46051.615404583332</v>
      </c>
      <c r="AS184" s="24">
        <v>46051.615404583332</v>
      </c>
      <c r="AX184" s="24"/>
      <c r="AY184" s="24"/>
      <c r="AZ184" s="24"/>
      <c r="BA184" s="24"/>
      <c r="BC184" s="24"/>
      <c r="BD184" s="24"/>
      <c r="BE184" s="24"/>
      <c r="BF184" s="24"/>
      <c r="BH184" s="24">
        <v>46051.615404583332</v>
      </c>
      <c r="BI184" s="24">
        <v>46051.615404583332</v>
      </c>
      <c r="BJ184" s="24">
        <v>46051.615872870374</v>
      </c>
      <c r="BK184" s="24">
        <v>46051.615872870374</v>
      </c>
      <c r="BL184">
        <v>1</v>
      </c>
      <c r="BM184" s="24"/>
      <c r="BN184" s="24"/>
      <c r="BO184" s="24"/>
      <c r="BP184" s="24"/>
      <c r="BR184" s="24"/>
      <c r="BS184" s="24"/>
      <c r="BT184" s="24"/>
      <c r="BU184" s="24"/>
      <c r="BW184" s="24"/>
      <c r="BX184" s="24"/>
      <c r="BY184" s="24"/>
      <c r="BZ184" s="24"/>
      <c r="CB184" s="24"/>
      <c r="CC184" s="24"/>
      <c r="CE184" s="24">
        <v>46055.400863425923</v>
      </c>
      <c r="CF184" s="24">
        <v>46055.400863425923</v>
      </c>
      <c r="CG184">
        <v>1</v>
      </c>
      <c r="CH184" s="24"/>
      <c r="CI184" s="24"/>
      <c r="CJ184" s="24"/>
      <c r="CK184" s="24"/>
      <c r="DE184" s="24"/>
      <c r="DF184" s="24"/>
      <c r="DG184" s="24"/>
      <c r="DH184" s="24"/>
      <c r="DJ184" t="s">
        <v>149</v>
      </c>
      <c r="DK184" t="s">
        <v>149</v>
      </c>
      <c r="DM184">
        <v>4</v>
      </c>
      <c r="DN184">
        <v>4</v>
      </c>
      <c r="DQ184" t="s">
        <v>1000</v>
      </c>
      <c r="DR184" t="s">
        <v>149</v>
      </c>
      <c r="DS184" s="24">
        <v>46160.384426226854</v>
      </c>
    </row>
    <row r="185" spans="1:123" x14ac:dyDescent="0.3">
      <c r="A185" t="s">
        <v>440</v>
      </c>
      <c r="D185" t="s">
        <v>223</v>
      </c>
      <c r="E185" s="24">
        <v>46048.58084490741</v>
      </c>
      <c r="G185" t="s">
        <v>150</v>
      </c>
      <c r="H185" t="s">
        <v>155</v>
      </c>
      <c r="I185" s="24"/>
      <c r="J185" s="24"/>
      <c r="K185" s="24"/>
      <c r="L185" s="24"/>
      <c r="N185" s="24"/>
      <c r="O185" s="24"/>
      <c r="P185" s="24"/>
      <c r="Q185" s="24"/>
      <c r="V185" s="24"/>
      <c r="W185" s="24"/>
      <c r="X185" s="24"/>
      <c r="Y185" s="24"/>
      <c r="AA185" s="24"/>
      <c r="AB185" s="24"/>
      <c r="AC185" s="24"/>
      <c r="AD185" s="24"/>
      <c r="AF185" s="24"/>
      <c r="AG185" s="24"/>
      <c r="AH185" s="24"/>
      <c r="AI185" s="24"/>
      <c r="AK185" s="24"/>
      <c r="AL185" s="24"/>
      <c r="AM185" s="24"/>
      <c r="AN185" s="24"/>
      <c r="AP185" s="24"/>
      <c r="AQ185" s="24"/>
      <c r="AR185" s="24">
        <v>46076.431958240741</v>
      </c>
      <c r="AS185" s="24">
        <v>46076.431958240741</v>
      </c>
      <c r="AX185" s="24"/>
      <c r="AY185" s="24"/>
      <c r="AZ185" s="24"/>
      <c r="BA185" s="24"/>
      <c r="BC185" s="24"/>
      <c r="BD185" s="24"/>
      <c r="BE185" s="24"/>
      <c r="BF185" s="24"/>
      <c r="BH185" s="24"/>
      <c r="BI185" s="24"/>
      <c r="BJ185" s="24"/>
      <c r="BK185" s="24"/>
      <c r="BM185" s="24"/>
      <c r="BN185" s="24"/>
      <c r="BO185" s="24"/>
      <c r="BP185" s="24"/>
      <c r="BR185" s="24"/>
      <c r="BS185" s="24"/>
      <c r="BT185" s="24"/>
      <c r="BU185" s="24"/>
      <c r="BW185" s="24"/>
      <c r="BX185" s="24"/>
      <c r="BY185" s="24"/>
      <c r="BZ185" s="24"/>
      <c r="CB185" s="24">
        <v>46076.431958240741</v>
      </c>
      <c r="CC185" s="24">
        <v>46076.431958240741</v>
      </c>
      <c r="CD185">
        <v>1</v>
      </c>
      <c r="CE185" s="24"/>
      <c r="CF185" s="24"/>
      <c r="CH185" s="24"/>
      <c r="CI185" s="24"/>
      <c r="CJ185" s="24"/>
      <c r="CK185" s="24"/>
      <c r="DE185" s="24"/>
      <c r="DF185" s="24"/>
      <c r="DG185" s="24"/>
      <c r="DH185" s="24"/>
      <c r="DJ185" t="s">
        <v>149</v>
      </c>
      <c r="DK185" t="s">
        <v>149</v>
      </c>
      <c r="DQ185" t="s">
        <v>1000</v>
      </c>
      <c r="DR185" t="s">
        <v>149</v>
      </c>
      <c r="DS185" s="24">
        <v>46160.384426226854</v>
      </c>
    </row>
    <row r="186" spans="1:123" x14ac:dyDescent="0.3">
      <c r="A186" t="s">
        <v>441</v>
      </c>
      <c r="D186" t="s">
        <v>223</v>
      </c>
      <c r="E186" s="24">
        <v>46048.580277777779</v>
      </c>
      <c r="G186" t="s">
        <v>90</v>
      </c>
      <c r="H186" t="s">
        <v>155</v>
      </c>
      <c r="I186" s="24"/>
      <c r="J186" s="24"/>
      <c r="K186" s="24"/>
      <c r="L186" s="24"/>
      <c r="N186" s="24"/>
      <c r="O186" s="24"/>
      <c r="P186" s="24"/>
      <c r="Q186" s="24"/>
      <c r="V186" s="24"/>
      <c r="W186" s="24"/>
      <c r="X186" s="24"/>
      <c r="Y186" s="24"/>
      <c r="AA186" s="24">
        <v>46057.437558692131</v>
      </c>
      <c r="AB186" s="24">
        <v>46057.437558692131</v>
      </c>
      <c r="AC186" s="24">
        <v>46069.568448287035</v>
      </c>
      <c r="AD186" s="24">
        <v>46069.568448287035</v>
      </c>
      <c r="AE186">
        <v>1</v>
      </c>
      <c r="AF186" s="24">
        <v>46069.568448287035</v>
      </c>
      <c r="AG186" s="24">
        <v>46069.568448287035</v>
      </c>
      <c r="AH186" s="24">
        <v>46070.315846435187</v>
      </c>
      <c r="AI186" s="24">
        <v>46070.315846435187</v>
      </c>
      <c r="AJ186">
        <v>1</v>
      </c>
      <c r="AK186" s="24"/>
      <c r="AL186" s="24"/>
      <c r="AM186" s="24"/>
      <c r="AN186" s="24"/>
      <c r="AP186" s="24"/>
      <c r="AQ186" s="24"/>
      <c r="AR186" s="24">
        <v>46057.437315439813</v>
      </c>
      <c r="AS186" s="24">
        <v>46057.437315439813</v>
      </c>
      <c r="AX186" s="24"/>
      <c r="AY186" s="24"/>
      <c r="AZ186" s="24"/>
      <c r="BA186" s="24"/>
      <c r="BC186" s="24"/>
      <c r="BD186" s="24"/>
      <c r="BE186" s="24"/>
      <c r="BF186" s="24"/>
      <c r="BH186" s="24">
        <v>46057.437315439813</v>
      </c>
      <c r="BI186" s="24">
        <v>46057.437315439813</v>
      </c>
      <c r="BJ186" s="24">
        <v>46057.437558692131</v>
      </c>
      <c r="BK186" s="24">
        <v>46057.437558692131</v>
      </c>
      <c r="BL186">
        <v>1</v>
      </c>
      <c r="BM186" s="24"/>
      <c r="BN186" s="24"/>
      <c r="BO186" s="24"/>
      <c r="BP186" s="24"/>
      <c r="BR186" s="24">
        <v>46070.315846435187</v>
      </c>
      <c r="BS186" s="24">
        <v>46070.315846435187</v>
      </c>
      <c r="BT186" s="24">
        <v>46070.315885983793</v>
      </c>
      <c r="BU186" s="24">
        <v>46070.315885983793</v>
      </c>
      <c r="BV186">
        <v>1</v>
      </c>
      <c r="BW186" s="24"/>
      <c r="BX186" s="24"/>
      <c r="BY186" s="24"/>
      <c r="BZ186" s="24"/>
      <c r="CB186" s="24"/>
      <c r="CC186" s="24"/>
      <c r="CE186" s="24">
        <v>46070.315885983793</v>
      </c>
      <c r="CF186" s="24">
        <v>46070.315885983793</v>
      </c>
      <c r="CG186">
        <v>1</v>
      </c>
      <c r="CH186" s="24"/>
      <c r="CI186" s="24"/>
      <c r="CJ186" s="24"/>
      <c r="CK186" s="24"/>
      <c r="DE186" s="24"/>
      <c r="DF186" s="24"/>
      <c r="DG186" s="24"/>
      <c r="DH186" s="24"/>
      <c r="DJ186" t="s">
        <v>149</v>
      </c>
      <c r="DK186" t="s">
        <v>149</v>
      </c>
      <c r="DM186">
        <v>13</v>
      </c>
      <c r="DN186">
        <v>13</v>
      </c>
      <c r="DQ186" t="s">
        <v>1000</v>
      </c>
      <c r="DR186" t="s">
        <v>149</v>
      </c>
      <c r="DS186" s="24">
        <v>46160.384426226854</v>
      </c>
    </row>
    <row r="187" spans="1:123" x14ac:dyDescent="0.3">
      <c r="A187" t="s">
        <v>442</v>
      </c>
      <c r="D187" t="s">
        <v>225</v>
      </c>
      <c r="E187" s="24">
        <v>46048.477071759262</v>
      </c>
      <c r="G187" t="s">
        <v>90</v>
      </c>
      <c r="H187" t="s">
        <v>155</v>
      </c>
      <c r="I187" s="24"/>
      <c r="J187" s="24"/>
      <c r="K187" s="24"/>
      <c r="L187" s="24"/>
      <c r="N187" s="24"/>
      <c r="O187" s="24"/>
      <c r="P187" s="24"/>
      <c r="Q187" s="24"/>
      <c r="V187" s="24"/>
      <c r="W187" s="24"/>
      <c r="X187" s="24"/>
      <c r="Y187" s="24"/>
      <c r="AA187" s="24">
        <v>46048.480728807874</v>
      </c>
      <c r="AB187" s="24">
        <v>46048.480728807874</v>
      </c>
      <c r="AC187" s="24">
        <v>46049.661584560185</v>
      </c>
      <c r="AD187" s="24">
        <v>46049.661584560185</v>
      </c>
      <c r="AE187">
        <v>1</v>
      </c>
      <c r="AF187" s="24">
        <v>46049.661584560185</v>
      </c>
      <c r="AG187" s="24">
        <v>46049.661584560185</v>
      </c>
      <c r="AH187" s="24">
        <v>46049.730596377318</v>
      </c>
      <c r="AI187" s="24">
        <v>46049.730596377318</v>
      </c>
      <c r="AJ187">
        <v>1</v>
      </c>
      <c r="AK187" s="24">
        <v>46049.730596377318</v>
      </c>
      <c r="AL187" s="24">
        <v>46049.730596377318</v>
      </c>
      <c r="AM187" s="24">
        <v>46050.359735370374</v>
      </c>
      <c r="AN187" s="24">
        <v>46050.359735370374</v>
      </c>
      <c r="AO187">
        <v>1</v>
      </c>
      <c r="AP187" s="24"/>
      <c r="AQ187" s="24"/>
      <c r="AR187" s="24">
        <v>46048.480606180558</v>
      </c>
      <c r="AS187" s="24">
        <v>46048.480606180558</v>
      </c>
      <c r="AX187" s="24"/>
      <c r="AY187" s="24"/>
      <c r="AZ187" s="24"/>
      <c r="BA187" s="24"/>
      <c r="BC187" s="24">
        <v>46050.407781712966</v>
      </c>
      <c r="BD187" s="24">
        <v>46050.407781712966</v>
      </c>
      <c r="BE187" s="24">
        <v>46052.430762314812</v>
      </c>
      <c r="BF187" s="24">
        <v>46052.430762314812</v>
      </c>
      <c r="BG187">
        <v>1</v>
      </c>
      <c r="BH187" s="24">
        <v>46048.480606180558</v>
      </c>
      <c r="BI187" s="24">
        <v>46048.480606180558</v>
      </c>
      <c r="BJ187" s="24">
        <v>46048.480728807874</v>
      </c>
      <c r="BK187" s="24">
        <v>46048.480728807874</v>
      </c>
      <c r="BL187">
        <v>1</v>
      </c>
      <c r="BM187" s="24"/>
      <c r="BN187" s="24"/>
      <c r="BO187" s="24"/>
      <c r="BP187" s="24"/>
      <c r="BR187" s="24">
        <v>46050.359735370374</v>
      </c>
      <c r="BS187" s="24">
        <v>46050.359735370374</v>
      </c>
      <c r="BT187" s="24">
        <v>46050.407781712966</v>
      </c>
      <c r="BU187" s="24">
        <v>46050.407781712966</v>
      </c>
      <c r="BV187">
        <v>1</v>
      </c>
      <c r="BW187" s="24"/>
      <c r="BX187" s="24"/>
      <c r="BY187" s="24"/>
      <c r="BZ187" s="24"/>
      <c r="CB187" s="24"/>
      <c r="CC187" s="24"/>
      <c r="CE187" s="24">
        <v>46052.430762314812</v>
      </c>
      <c r="CF187" s="24">
        <v>46052.430762314812</v>
      </c>
      <c r="CG187">
        <v>1</v>
      </c>
      <c r="CH187" s="24"/>
      <c r="CI187" s="24"/>
      <c r="CJ187" s="24"/>
      <c r="CK187" s="24"/>
      <c r="DE187" s="24"/>
      <c r="DF187" s="24"/>
      <c r="DG187" s="24"/>
      <c r="DH187" s="24"/>
      <c r="DJ187" t="s">
        <v>149</v>
      </c>
      <c r="DK187" t="s">
        <v>149</v>
      </c>
      <c r="DM187">
        <v>4</v>
      </c>
      <c r="DN187">
        <v>4</v>
      </c>
      <c r="DQ187" t="s">
        <v>1000</v>
      </c>
      <c r="DR187" t="s">
        <v>149</v>
      </c>
      <c r="DS187" s="24">
        <v>46160.384426226854</v>
      </c>
    </row>
    <row r="188" spans="1:123" x14ac:dyDescent="0.3">
      <c r="A188" t="s">
        <v>443</v>
      </c>
      <c r="D188" t="s">
        <v>223</v>
      </c>
      <c r="E188" s="24">
        <v>46045.448877314811</v>
      </c>
      <c r="G188" t="s">
        <v>102</v>
      </c>
      <c r="H188" t="s">
        <v>154</v>
      </c>
      <c r="I188" s="24"/>
      <c r="J188" s="24"/>
      <c r="K188" s="24"/>
      <c r="L188" s="24"/>
      <c r="N188" s="24"/>
      <c r="O188" s="24"/>
      <c r="P188" s="24"/>
      <c r="Q188" s="24"/>
      <c r="V188" s="24"/>
      <c r="W188" s="24"/>
      <c r="X188" s="24"/>
      <c r="Y188" s="24"/>
      <c r="AA188" s="24"/>
      <c r="AB188" s="24"/>
      <c r="AC188" s="24"/>
      <c r="AD188" s="24"/>
      <c r="AF188" s="24"/>
      <c r="AG188" s="24"/>
      <c r="AH188" s="24"/>
      <c r="AI188" s="24"/>
      <c r="AK188" s="24"/>
      <c r="AL188" s="24"/>
      <c r="AM188" s="24"/>
      <c r="AN188" s="24"/>
      <c r="AP188" s="24"/>
      <c r="AQ188" s="24"/>
      <c r="AR188" s="24"/>
      <c r="AS188" s="24"/>
      <c r="AX188" s="24"/>
      <c r="AY188" s="24"/>
      <c r="AZ188" s="24"/>
      <c r="BA188" s="24"/>
      <c r="BC188" s="24"/>
      <c r="BD188" s="24"/>
      <c r="BE188" s="24"/>
      <c r="BF188" s="24"/>
      <c r="BH188" s="24"/>
      <c r="BI188" s="24"/>
      <c r="BJ188" s="24"/>
      <c r="BK188" s="24"/>
      <c r="BM188" s="24"/>
      <c r="BN188" s="24"/>
      <c r="BO188" s="24"/>
      <c r="BP188" s="24"/>
      <c r="BR188" s="24"/>
      <c r="BS188" s="24"/>
      <c r="BT188" s="24"/>
      <c r="BU188" s="24"/>
      <c r="BW188" s="24"/>
      <c r="BX188" s="24"/>
      <c r="BY188" s="24"/>
      <c r="BZ188" s="24"/>
      <c r="CB188" s="24"/>
      <c r="CC188" s="24"/>
      <c r="CE188" s="24"/>
      <c r="CF188" s="24"/>
      <c r="CH188" s="24"/>
      <c r="CI188" s="24"/>
      <c r="CJ188" s="24"/>
      <c r="CK188" s="24"/>
      <c r="DE188" s="24"/>
      <c r="DF188" s="24"/>
      <c r="DG188" s="24"/>
      <c r="DH188" s="24"/>
      <c r="DJ188" t="s">
        <v>149</v>
      </c>
      <c r="DK188" t="s">
        <v>149</v>
      </c>
      <c r="DQ188" t="s">
        <v>1000</v>
      </c>
      <c r="DR188" t="s">
        <v>149</v>
      </c>
      <c r="DS188" s="24">
        <v>46160.384426226854</v>
      </c>
    </row>
    <row r="189" spans="1:123" x14ac:dyDescent="0.3">
      <c r="A189" t="s">
        <v>444</v>
      </c>
      <c r="D189" t="s">
        <v>223</v>
      </c>
      <c r="E189" s="24">
        <v>46044.679432870369</v>
      </c>
      <c r="G189" t="s">
        <v>90</v>
      </c>
      <c r="H189" t="s">
        <v>155</v>
      </c>
      <c r="I189" s="24"/>
      <c r="J189" s="24"/>
      <c r="K189" s="24"/>
      <c r="L189" s="24"/>
      <c r="N189" s="24"/>
      <c r="O189" s="24"/>
      <c r="P189" s="24"/>
      <c r="Q189" s="24"/>
      <c r="V189" s="24"/>
      <c r="W189" s="24"/>
      <c r="X189" s="24"/>
      <c r="Y189" s="24"/>
      <c r="AA189" s="24">
        <v>46044.680472870372</v>
      </c>
      <c r="AB189" s="24">
        <v>46044.680472870372</v>
      </c>
      <c r="AC189" s="24">
        <v>46044.684652557873</v>
      </c>
      <c r="AD189" s="24">
        <v>46044.684652557873</v>
      </c>
      <c r="AE189">
        <v>1</v>
      </c>
      <c r="AF189" s="24">
        <v>46044.684652557873</v>
      </c>
      <c r="AG189" s="24">
        <v>46044.684652557873</v>
      </c>
      <c r="AH189" s="24">
        <v>46045.520185543981</v>
      </c>
      <c r="AI189" s="24">
        <v>46045.520185543981</v>
      </c>
      <c r="AJ189">
        <v>1</v>
      </c>
      <c r="AK189" s="24"/>
      <c r="AL189" s="24"/>
      <c r="AM189" s="24"/>
      <c r="AN189" s="24"/>
      <c r="AP189" s="24"/>
      <c r="AQ189" s="24"/>
      <c r="AR189" s="24">
        <v>46044.680393449074</v>
      </c>
      <c r="AS189" s="24">
        <v>46044.680393449074</v>
      </c>
      <c r="AX189" s="24"/>
      <c r="AY189" s="24"/>
      <c r="AZ189" s="24"/>
      <c r="BA189" s="24"/>
      <c r="BC189" s="24"/>
      <c r="BD189" s="24"/>
      <c r="BE189" s="24"/>
      <c r="BF189" s="24"/>
      <c r="BH189" s="24">
        <v>46044.680393449074</v>
      </c>
      <c r="BI189" s="24">
        <v>46044.680393449074</v>
      </c>
      <c r="BJ189" s="24">
        <v>46044.680472870372</v>
      </c>
      <c r="BK189" s="24">
        <v>46044.680472870372</v>
      </c>
      <c r="BL189">
        <v>1</v>
      </c>
      <c r="BM189" s="24"/>
      <c r="BN189" s="24"/>
      <c r="BO189" s="24"/>
      <c r="BP189" s="24"/>
      <c r="BR189" s="24">
        <v>46045.520185543981</v>
      </c>
      <c r="BS189" s="24">
        <v>46045.520185543981</v>
      </c>
      <c r="BT189" s="24">
        <v>46048.405049398149</v>
      </c>
      <c r="BU189" s="24">
        <v>46048.405049398149</v>
      </c>
      <c r="BV189">
        <v>1</v>
      </c>
      <c r="BW189" s="24"/>
      <c r="BX189" s="24"/>
      <c r="BY189" s="24"/>
      <c r="BZ189" s="24"/>
      <c r="CB189" s="24"/>
      <c r="CC189" s="24"/>
      <c r="CE189" s="24">
        <v>46048.405049398149</v>
      </c>
      <c r="CF189" s="24">
        <v>46048.405049398149</v>
      </c>
      <c r="CG189">
        <v>1</v>
      </c>
      <c r="CH189" s="24"/>
      <c r="CI189" s="24"/>
      <c r="CJ189" s="24"/>
      <c r="CK189" s="24"/>
      <c r="DE189" s="24"/>
      <c r="DF189" s="24"/>
      <c r="DG189" s="24"/>
      <c r="DH189" s="24"/>
      <c r="DJ189" t="s">
        <v>149</v>
      </c>
      <c r="DK189" t="s">
        <v>149</v>
      </c>
      <c r="DM189">
        <v>4</v>
      </c>
      <c r="DN189">
        <v>4</v>
      </c>
      <c r="DQ189" t="s">
        <v>1000</v>
      </c>
      <c r="DR189" t="s">
        <v>149</v>
      </c>
      <c r="DS189" s="24">
        <v>46160.384426226854</v>
      </c>
    </row>
    <row r="190" spans="1:123" x14ac:dyDescent="0.3">
      <c r="A190" t="s">
        <v>445</v>
      </c>
      <c r="D190" t="s">
        <v>224</v>
      </c>
      <c r="E190" s="24">
        <v>46044.634166666663</v>
      </c>
      <c r="G190" t="s">
        <v>90</v>
      </c>
      <c r="H190" t="s">
        <v>155</v>
      </c>
      <c r="I190" s="24"/>
      <c r="J190" s="24"/>
      <c r="K190" s="24"/>
      <c r="L190" s="24"/>
      <c r="N190" s="24"/>
      <c r="O190" s="24"/>
      <c r="P190" s="24"/>
      <c r="Q190" s="24"/>
      <c r="V190" s="24"/>
      <c r="W190" s="24"/>
      <c r="X190" s="24"/>
      <c r="Y190" s="24"/>
      <c r="AA190" s="24">
        <v>46044.642030115741</v>
      </c>
      <c r="AB190" s="24">
        <v>46044.642030115741</v>
      </c>
      <c r="AC190" s="24">
        <v>46045.722085543981</v>
      </c>
      <c r="AD190" s="24">
        <v>46045.722085543981</v>
      </c>
      <c r="AE190">
        <v>1</v>
      </c>
      <c r="AF190" s="24">
        <v>46045.722085543981</v>
      </c>
      <c r="AG190" s="24">
        <v>46045.722085543981</v>
      </c>
      <c r="AH190" s="24">
        <v>46048.365666087964</v>
      </c>
      <c r="AI190" s="24">
        <v>46048.365666087964</v>
      </c>
      <c r="AJ190">
        <v>1</v>
      </c>
      <c r="AK190" s="24">
        <v>46048.365666087964</v>
      </c>
      <c r="AL190" s="24">
        <v>46048.365666087964</v>
      </c>
      <c r="AM190" s="24">
        <v>46048.632506851849</v>
      </c>
      <c r="AN190" s="24">
        <v>46048.632506851849</v>
      </c>
      <c r="AO190">
        <v>1</v>
      </c>
      <c r="AP190" s="24"/>
      <c r="AQ190" s="24"/>
      <c r="AR190" s="24">
        <v>46044.641991111108</v>
      </c>
      <c r="AS190" s="24">
        <v>46044.641991111108</v>
      </c>
      <c r="AX190" s="24"/>
      <c r="AY190" s="24"/>
      <c r="AZ190" s="24"/>
      <c r="BA190" s="24"/>
      <c r="BC190" s="24">
        <v>46048.658337928238</v>
      </c>
      <c r="BD190" s="24">
        <v>46048.647252962961</v>
      </c>
      <c r="BE190" s="24">
        <v>46048.658124374997</v>
      </c>
      <c r="BF190" s="24">
        <v>46051.408440648149</v>
      </c>
      <c r="BG190">
        <v>2</v>
      </c>
      <c r="BH190" s="24">
        <v>46044.641991111108</v>
      </c>
      <c r="BI190" s="24">
        <v>46044.641991111108</v>
      </c>
      <c r="BJ190" s="24">
        <v>46044.642030115741</v>
      </c>
      <c r="BK190" s="24">
        <v>46044.642030115741</v>
      </c>
      <c r="BL190">
        <v>1</v>
      </c>
      <c r="BM190" s="24"/>
      <c r="BN190" s="24"/>
      <c r="BO190" s="24"/>
      <c r="BP190" s="24"/>
      <c r="BR190" s="24">
        <v>46048.658124374997</v>
      </c>
      <c r="BS190" s="24">
        <v>46048.632506851849</v>
      </c>
      <c r="BT190" s="24">
        <v>46048.647252962961</v>
      </c>
      <c r="BU190" s="24">
        <v>46048.658337928238</v>
      </c>
      <c r="BV190">
        <v>2</v>
      </c>
      <c r="BW190" s="24"/>
      <c r="BX190" s="24"/>
      <c r="BY190" s="24"/>
      <c r="BZ190" s="24"/>
      <c r="CB190" s="24"/>
      <c r="CC190" s="24"/>
      <c r="CE190" s="24">
        <v>46051.408440648149</v>
      </c>
      <c r="CF190" s="24">
        <v>46051.408440648149</v>
      </c>
      <c r="CG190">
        <v>1</v>
      </c>
      <c r="CH190" s="24"/>
      <c r="CI190" s="24"/>
      <c r="CJ190" s="24"/>
      <c r="CK190" s="24"/>
      <c r="DE190" s="24"/>
      <c r="DF190" s="24"/>
      <c r="DG190" s="24"/>
      <c r="DH190" s="24"/>
      <c r="DJ190" t="s">
        <v>149</v>
      </c>
      <c r="DK190" t="s">
        <v>149</v>
      </c>
      <c r="DM190">
        <v>7</v>
      </c>
      <c r="DN190">
        <v>7</v>
      </c>
      <c r="DQ190" t="s">
        <v>1000</v>
      </c>
      <c r="DR190" t="s">
        <v>149</v>
      </c>
      <c r="DS190" s="24">
        <v>46160.384426226854</v>
      </c>
    </row>
    <row r="191" spans="1:123" x14ac:dyDescent="0.3">
      <c r="A191" t="s">
        <v>446</v>
      </c>
      <c r="D191" t="s">
        <v>223</v>
      </c>
      <c r="E191" s="24">
        <v>46043.683055555557</v>
      </c>
      <c r="G191" t="s">
        <v>90</v>
      </c>
      <c r="H191" t="s">
        <v>155</v>
      </c>
      <c r="I191" s="24"/>
      <c r="J191" s="24"/>
      <c r="K191" s="24"/>
      <c r="L191" s="24"/>
      <c r="N191" s="24"/>
      <c r="O191" s="24"/>
      <c r="P191" s="24"/>
      <c r="Q191" s="24"/>
      <c r="V191" s="24"/>
      <c r="W191" s="24"/>
      <c r="X191" s="24"/>
      <c r="Y191" s="24"/>
      <c r="AA191" s="24">
        <v>46043.692309560189</v>
      </c>
      <c r="AB191" s="24">
        <v>46043.692309560189</v>
      </c>
      <c r="AC191" s="24">
        <v>46044.539644143515</v>
      </c>
      <c r="AD191" s="24">
        <v>46044.539644143515</v>
      </c>
      <c r="AE191">
        <v>1</v>
      </c>
      <c r="AF191" s="24">
        <v>46044.539644143515</v>
      </c>
      <c r="AG191" s="24">
        <v>46044.539644143515</v>
      </c>
      <c r="AH191" s="24">
        <v>46045.511273692129</v>
      </c>
      <c r="AI191" s="24">
        <v>46045.511273692129</v>
      </c>
      <c r="AJ191">
        <v>1</v>
      </c>
      <c r="AK191" s="24"/>
      <c r="AL191" s="24"/>
      <c r="AM191" s="24"/>
      <c r="AN191" s="24"/>
      <c r="AP191" s="24"/>
      <c r="AQ191" s="24"/>
      <c r="AR191" s="24">
        <v>46043.692254861111</v>
      </c>
      <c r="AS191" s="24">
        <v>46043.692254861111</v>
      </c>
      <c r="AX191" s="24"/>
      <c r="AY191" s="24"/>
      <c r="AZ191" s="24"/>
      <c r="BA191" s="24"/>
      <c r="BC191" s="24"/>
      <c r="BD191" s="24"/>
      <c r="BE191" s="24"/>
      <c r="BF191" s="24"/>
      <c r="BH191" s="24">
        <v>46043.692254861111</v>
      </c>
      <c r="BI191" s="24">
        <v>46043.692254861111</v>
      </c>
      <c r="BJ191" s="24">
        <v>46043.692309560189</v>
      </c>
      <c r="BK191" s="24">
        <v>46043.692309560189</v>
      </c>
      <c r="BL191">
        <v>1</v>
      </c>
      <c r="BM191" s="24"/>
      <c r="BN191" s="24"/>
      <c r="BO191" s="24"/>
      <c r="BP191" s="24"/>
      <c r="BR191" s="24">
        <v>46045.511273692129</v>
      </c>
      <c r="BS191" s="24">
        <v>46045.511273692129</v>
      </c>
      <c r="BT191" s="24">
        <v>46048.406183263891</v>
      </c>
      <c r="BU191" s="24">
        <v>46048.406183263891</v>
      </c>
      <c r="BV191">
        <v>1</v>
      </c>
      <c r="BW191" s="24"/>
      <c r="BX191" s="24"/>
      <c r="BY191" s="24"/>
      <c r="BZ191" s="24"/>
      <c r="CB191" s="24"/>
      <c r="CC191" s="24"/>
      <c r="CE191" s="24">
        <v>46048.406183263891</v>
      </c>
      <c r="CF191" s="24">
        <v>46048.406183263891</v>
      </c>
      <c r="CG191">
        <v>1</v>
      </c>
      <c r="CH191" s="24"/>
      <c r="CI191" s="24"/>
      <c r="CJ191" s="24"/>
      <c r="CK191" s="24"/>
      <c r="DE191" s="24"/>
      <c r="DF191" s="24"/>
      <c r="DG191" s="24"/>
      <c r="DH191" s="24"/>
      <c r="DJ191" t="s">
        <v>149</v>
      </c>
      <c r="DK191" t="s">
        <v>149</v>
      </c>
      <c r="DM191">
        <v>5</v>
      </c>
      <c r="DN191">
        <v>5</v>
      </c>
      <c r="DQ191" t="s">
        <v>1000</v>
      </c>
      <c r="DR191" t="s">
        <v>149</v>
      </c>
      <c r="DS191" s="24">
        <v>46160.384426226854</v>
      </c>
    </row>
    <row r="192" spans="1:123" x14ac:dyDescent="0.3">
      <c r="A192" t="s">
        <v>447</v>
      </c>
      <c r="D192" t="s">
        <v>223</v>
      </c>
      <c r="E192" s="24">
        <v>46043.483159722222</v>
      </c>
      <c r="G192" t="s">
        <v>90</v>
      </c>
      <c r="H192" t="s">
        <v>155</v>
      </c>
      <c r="I192" s="24"/>
      <c r="J192" s="24"/>
      <c r="K192" s="24"/>
      <c r="L192" s="24"/>
      <c r="N192" s="24"/>
      <c r="O192" s="24"/>
      <c r="P192" s="24"/>
      <c r="Q192" s="24"/>
      <c r="V192" s="24"/>
      <c r="W192" s="24"/>
      <c r="X192" s="24"/>
      <c r="Y192" s="24"/>
      <c r="AA192" s="24">
        <v>46071.566057037038</v>
      </c>
      <c r="AB192" s="24">
        <v>46071.566057037038</v>
      </c>
      <c r="AC192" s="24">
        <v>46072.400570590275</v>
      </c>
      <c r="AD192" s="24">
        <v>46072.400570590275</v>
      </c>
      <c r="AE192">
        <v>1</v>
      </c>
      <c r="AF192" s="24"/>
      <c r="AG192" s="24"/>
      <c r="AH192" s="24"/>
      <c r="AI192" s="24"/>
      <c r="AK192" s="24"/>
      <c r="AL192" s="24"/>
      <c r="AM192" s="24"/>
      <c r="AN192" s="24"/>
      <c r="AP192" s="24"/>
      <c r="AQ192" s="24"/>
      <c r="AR192" s="24">
        <v>46070.557406145832</v>
      </c>
      <c r="AS192" s="24">
        <v>46070.557406145832</v>
      </c>
      <c r="AX192" s="24"/>
      <c r="AY192" s="24"/>
      <c r="AZ192" s="24"/>
      <c r="BA192" s="24"/>
      <c r="BC192" s="24"/>
      <c r="BD192" s="24"/>
      <c r="BE192" s="24"/>
      <c r="BF192" s="24"/>
      <c r="BH192" s="24">
        <v>46070.557406145832</v>
      </c>
      <c r="BI192" s="24">
        <v>46070.557406145832</v>
      </c>
      <c r="BJ192" s="24">
        <v>46071.566057037038</v>
      </c>
      <c r="BK192" s="24">
        <v>46071.566057037038</v>
      </c>
      <c r="BL192">
        <v>1</v>
      </c>
      <c r="BM192" s="24"/>
      <c r="BN192" s="24"/>
      <c r="BO192" s="24"/>
      <c r="BP192" s="24"/>
      <c r="BR192" s="24"/>
      <c r="BS192" s="24"/>
      <c r="BT192" s="24"/>
      <c r="BU192" s="24"/>
      <c r="BW192" s="24"/>
      <c r="BX192" s="24"/>
      <c r="BY192" s="24"/>
      <c r="BZ192" s="24"/>
      <c r="CB192" s="24"/>
      <c r="CC192" s="24"/>
      <c r="CE192" s="24">
        <v>46072.400570590275</v>
      </c>
      <c r="CF192" s="24">
        <v>46072.400570590275</v>
      </c>
      <c r="CG192">
        <v>1</v>
      </c>
      <c r="CH192" s="24"/>
      <c r="CI192" s="24"/>
      <c r="CJ192" s="24"/>
      <c r="CK192" s="24"/>
      <c r="DE192" s="24"/>
      <c r="DF192" s="24"/>
      <c r="DG192" s="24"/>
      <c r="DH192" s="24"/>
      <c r="DJ192" t="s">
        <v>149</v>
      </c>
      <c r="DK192" t="s">
        <v>149</v>
      </c>
      <c r="DM192">
        <v>2</v>
      </c>
      <c r="DN192">
        <v>1</v>
      </c>
      <c r="DQ192" t="s">
        <v>1000</v>
      </c>
      <c r="DR192" t="s">
        <v>149</v>
      </c>
      <c r="DS192" s="24">
        <v>46160.384426226854</v>
      </c>
    </row>
    <row r="193" spans="1:123" x14ac:dyDescent="0.3">
      <c r="A193" t="s">
        <v>266</v>
      </c>
      <c r="D193" t="s">
        <v>223</v>
      </c>
      <c r="E193" s="24">
        <v>46042.744120370371</v>
      </c>
      <c r="G193" t="s">
        <v>90</v>
      </c>
      <c r="H193" t="s">
        <v>155</v>
      </c>
      <c r="I193" s="24"/>
      <c r="J193" s="24"/>
      <c r="K193" s="24"/>
      <c r="L193" s="24"/>
      <c r="N193" s="24">
        <v>46071.41088383102</v>
      </c>
      <c r="O193" s="24">
        <v>46050.377483842596</v>
      </c>
      <c r="P193" s="24">
        <v>46056.710620104168</v>
      </c>
      <c r="Q193" s="24">
        <v>46079.379287847223</v>
      </c>
      <c r="R193">
        <v>2</v>
      </c>
      <c r="V193" s="24"/>
      <c r="W193" s="24"/>
      <c r="X193" s="24"/>
      <c r="Y193" s="24"/>
      <c r="AA193" s="24">
        <v>46079.379287847223</v>
      </c>
      <c r="AB193" s="24">
        <v>46048.407854247685</v>
      </c>
      <c r="AC193" s="24">
        <v>46050.377483842596</v>
      </c>
      <c r="AD193" s="24">
        <v>46079.379334189813</v>
      </c>
      <c r="AE193">
        <v>3</v>
      </c>
      <c r="AF193" s="24">
        <v>46079.379334189813</v>
      </c>
      <c r="AG193" s="24">
        <v>46079.379334189813</v>
      </c>
      <c r="AH193" s="24">
        <v>46079.379420972225</v>
      </c>
      <c r="AI193" s="24">
        <v>46079.379420972225</v>
      </c>
      <c r="AJ193">
        <v>1</v>
      </c>
      <c r="AK193" s="24"/>
      <c r="AL193" s="24"/>
      <c r="AM193" s="24"/>
      <c r="AN193" s="24"/>
      <c r="AP193" s="24"/>
      <c r="AQ193" s="24"/>
      <c r="AR193" s="24">
        <v>46048.407619386577</v>
      </c>
      <c r="AS193" s="24">
        <v>46048.407619386577</v>
      </c>
      <c r="AX193" s="24"/>
      <c r="AY193" s="24"/>
      <c r="AZ193" s="24"/>
      <c r="BA193" s="24"/>
      <c r="BC193" s="24"/>
      <c r="BD193" s="24"/>
      <c r="BE193" s="24"/>
      <c r="BF193" s="24"/>
      <c r="BH193" s="24">
        <v>46048.407619386577</v>
      </c>
      <c r="BI193" s="24">
        <v>46048.407619386577</v>
      </c>
      <c r="BJ193" s="24">
        <v>46048.407854247685</v>
      </c>
      <c r="BK193" s="24">
        <v>46048.407854247685</v>
      </c>
      <c r="BL193">
        <v>1</v>
      </c>
      <c r="BM193" s="24"/>
      <c r="BN193" s="24"/>
      <c r="BO193" s="24"/>
      <c r="BP193" s="24"/>
      <c r="BR193" s="24">
        <v>46079.379420972225</v>
      </c>
      <c r="BS193" s="24">
        <v>46079.379420972225</v>
      </c>
      <c r="BT193" s="24">
        <v>46079.379467465275</v>
      </c>
      <c r="BU193" s="24">
        <v>46079.379467465275</v>
      </c>
      <c r="BV193">
        <v>1</v>
      </c>
      <c r="BW193" s="24"/>
      <c r="BX193" s="24"/>
      <c r="BY193" s="24"/>
      <c r="BZ193" s="24"/>
      <c r="CB193" s="24"/>
      <c r="CC193" s="24"/>
      <c r="CE193" s="24">
        <v>46079.379467465275</v>
      </c>
      <c r="CF193" s="24">
        <v>46079.379467465275</v>
      </c>
      <c r="CG193">
        <v>1</v>
      </c>
      <c r="CH193" s="24"/>
      <c r="CI193" s="24"/>
      <c r="CJ193" s="24"/>
      <c r="CK193" s="24"/>
      <c r="DE193" s="24"/>
      <c r="DF193" s="24"/>
      <c r="DG193" s="24"/>
      <c r="DH193" s="24"/>
      <c r="DJ193" t="s">
        <v>149</v>
      </c>
      <c r="DK193" t="s">
        <v>149</v>
      </c>
      <c r="DL193">
        <v>14.301540277777777</v>
      </c>
      <c r="DM193">
        <v>31</v>
      </c>
      <c r="DN193">
        <v>31</v>
      </c>
      <c r="DQ193" t="s">
        <v>1000</v>
      </c>
      <c r="DR193" t="s">
        <v>149</v>
      </c>
      <c r="DS193" s="24">
        <v>46160.384426226854</v>
      </c>
    </row>
    <row r="194" spans="1:123" x14ac:dyDescent="0.3">
      <c r="A194" t="s">
        <v>448</v>
      </c>
      <c r="D194" t="s">
        <v>223</v>
      </c>
      <c r="E194" s="24">
        <v>46042.58021990741</v>
      </c>
      <c r="G194" t="s">
        <v>90</v>
      </c>
      <c r="H194" t="s">
        <v>155</v>
      </c>
      <c r="I194" s="24"/>
      <c r="J194" s="24"/>
      <c r="K194" s="24"/>
      <c r="L194" s="24"/>
      <c r="N194" s="24"/>
      <c r="O194" s="24"/>
      <c r="P194" s="24"/>
      <c r="Q194" s="24"/>
      <c r="V194" s="24"/>
      <c r="W194" s="24"/>
      <c r="X194" s="24"/>
      <c r="Y194" s="24"/>
      <c r="AA194" s="24">
        <v>46045.39969972222</v>
      </c>
      <c r="AB194" s="24">
        <v>46045.39969972222</v>
      </c>
      <c r="AC194" s="24">
        <v>46049.404463391205</v>
      </c>
      <c r="AD194" s="24">
        <v>46049.404463391205</v>
      </c>
      <c r="AE194">
        <v>1</v>
      </c>
      <c r="AF194" s="24"/>
      <c r="AG194" s="24"/>
      <c r="AH194" s="24"/>
      <c r="AI194" s="24"/>
      <c r="AK194" s="24"/>
      <c r="AL194" s="24"/>
      <c r="AM194" s="24"/>
      <c r="AN194" s="24"/>
      <c r="AP194" s="24"/>
      <c r="AQ194" s="24"/>
      <c r="AR194" s="24">
        <v>46045.399478159721</v>
      </c>
      <c r="AS194" s="24">
        <v>46045.399478159721</v>
      </c>
      <c r="AX194" s="24"/>
      <c r="AY194" s="24"/>
      <c r="AZ194" s="24"/>
      <c r="BA194" s="24"/>
      <c r="BC194" s="24"/>
      <c r="BD194" s="24"/>
      <c r="BE194" s="24"/>
      <c r="BF194" s="24"/>
      <c r="BH194" s="24">
        <v>46045.399478159721</v>
      </c>
      <c r="BI194" s="24">
        <v>46045.399478159721</v>
      </c>
      <c r="BJ194" s="24">
        <v>46045.39969972222</v>
      </c>
      <c r="BK194" s="24">
        <v>46045.39969972222</v>
      </c>
      <c r="BL194">
        <v>1</v>
      </c>
      <c r="BM194" s="24"/>
      <c r="BN194" s="24"/>
      <c r="BO194" s="24"/>
      <c r="BP194" s="24"/>
      <c r="BR194" s="24"/>
      <c r="BS194" s="24"/>
      <c r="BT194" s="24"/>
      <c r="BU194" s="24"/>
      <c r="BW194" s="24"/>
      <c r="BX194" s="24"/>
      <c r="BY194" s="24"/>
      <c r="BZ194" s="24"/>
      <c r="CB194" s="24"/>
      <c r="CC194" s="24"/>
      <c r="CE194" s="24">
        <v>46049.404463391205</v>
      </c>
      <c r="CF194" s="24">
        <v>46049.404463391205</v>
      </c>
      <c r="CG194">
        <v>1</v>
      </c>
      <c r="CH194" s="24"/>
      <c r="CI194" s="24"/>
      <c r="CJ194" s="24"/>
      <c r="CK194" s="24"/>
      <c r="DE194" s="24"/>
      <c r="DF194" s="24"/>
      <c r="DG194" s="24"/>
      <c r="DH194" s="24"/>
      <c r="DJ194" t="s">
        <v>149</v>
      </c>
      <c r="DK194" t="s">
        <v>149</v>
      </c>
      <c r="DM194">
        <v>5</v>
      </c>
      <c r="DN194">
        <v>5</v>
      </c>
      <c r="DQ194" t="s">
        <v>1000</v>
      </c>
      <c r="DR194" t="s">
        <v>149</v>
      </c>
      <c r="DS194" s="24">
        <v>46160.384426226854</v>
      </c>
    </row>
    <row r="195" spans="1:123" x14ac:dyDescent="0.3">
      <c r="A195" t="s">
        <v>449</v>
      </c>
      <c r="D195" t="s">
        <v>223</v>
      </c>
      <c r="E195" s="24">
        <v>46042.404699074075</v>
      </c>
      <c r="G195" t="s">
        <v>90</v>
      </c>
      <c r="H195" t="s">
        <v>155</v>
      </c>
      <c r="I195" s="24"/>
      <c r="J195" s="24"/>
      <c r="K195" s="24"/>
      <c r="L195" s="24"/>
      <c r="N195" s="24"/>
      <c r="O195" s="24"/>
      <c r="P195" s="24"/>
      <c r="Q195" s="24"/>
      <c r="V195" s="24"/>
      <c r="W195" s="24"/>
      <c r="X195" s="24"/>
      <c r="Y195" s="24"/>
      <c r="AA195" s="24">
        <v>46055.558550543981</v>
      </c>
      <c r="AB195" s="24">
        <v>46055.558550543981</v>
      </c>
      <c r="AC195" s="24">
        <v>46055.558582881946</v>
      </c>
      <c r="AD195" s="24">
        <v>46055.558582881946</v>
      </c>
      <c r="AE195">
        <v>1</v>
      </c>
      <c r="AF195" s="24"/>
      <c r="AG195" s="24"/>
      <c r="AH195" s="24"/>
      <c r="AI195" s="24"/>
      <c r="AK195" s="24"/>
      <c r="AL195" s="24"/>
      <c r="AM195" s="24"/>
      <c r="AN195" s="24"/>
      <c r="AP195" s="24"/>
      <c r="AQ195" s="24"/>
      <c r="AR195" s="24">
        <v>46055.558497060185</v>
      </c>
      <c r="AS195" s="24">
        <v>46055.558497060185</v>
      </c>
      <c r="AX195" s="24"/>
      <c r="AY195" s="24"/>
      <c r="AZ195" s="24"/>
      <c r="BA195" s="24"/>
      <c r="BC195" s="24"/>
      <c r="BD195" s="24"/>
      <c r="BE195" s="24"/>
      <c r="BF195" s="24"/>
      <c r="BH195" s="24">
        <v>46055.558497060185</v>
      </c>
      <c r="BI195" s="24">
        <v>46055.558497060185</v>
      </c>
      <c r="BJ195" s="24">
        <v>46055.558550543981</v>
      </c>
      <c r="BK195" s="24">
        <v>46055.558550543981</v>
      </c>
      <c r="BL195">
        <v>1</v>
      </c>
      <c r="BM195" s="24"/>
      <c r="BN195" s="24"/>
      <c r="BO195" s="24"/>
      <c r="BP195" s="24"/>
      <c r="BR195" s="24"/>
      <c r="BS195" s="24"/>
      <c r="BT195" s="24"/>
      <c r="BU195" s="24"/>
      <c r="BW195" s="24"/>
      <c r="BX195" s="24"/>
      <c r="BY195" s="24"/>
      <c r="BZ195" s="24"/>
      <c r="CB195" s="24"/>
      <c r="CC195" s="24"/>
      <c r="CE195" s="24">
        <v>46055.558582881946</v>
      </c>
      <c r="CF195" s="24">
        <v>46055.558582881946</v>
      </c>
      <c r="CG195">
        <v>1</v>
      </c>
      <c r="CH195" s="24"/>
      <c r="CI195" s="24"/>
      <c r="CJ195" s="24"/>
      <c r="CK195" s="24"/>
      <c r="DE195" s="24"/>
      <c r="DF195" s="24"/>
      <c r="DG195" s="24"/>
      <c r="DH195" s="24"/>
      <c r="DJ195" t="s">
        <v>149</v>
      </c>
      <c r="DK195" t="s">
        <v>149</v>
      </c>
      <c r="DM195">
        <v>1</v>
      </c>
      <c r="DN195">
        <v>1</v>
      </c>
      <c r="DQ195" t="s">
        <v>1000</v>
      </c>
      <c r="DR195" t="s">
        <v>149</v>
      </c>
      <c r="DS195" s="24">
        <v>46160.384426226854</v>
      </c>
    </row>
    <row r="196" spans="1:123" x14ac:dyDescent="0.3">
      <c r="A196" t="s">
        <v>450</v>
      </c>
      <c r="D196" t="s">
        <v>223</v>
      </c>
      <c r="E196" s="24">
        <v>46042.327407407407</v>
      </c>
      <c r="G196" t="s">
        <v>90</v>
      </c>
      <c r="H196" t="s">
        <v>155</v>
      </c>
      <c r="I196" s="24"/>
      <c r="J196" s="24"/>
      <c r="K196" s="24"/>
      <c r="L196" s="24"/>
      <c r="N196" s="24"/>
      <c r="O196" s="24"/>
      <c r="P196" s="24"/>
      <c r="Q196" s="24"/>
      <c r="V196" s="24"/>
      <c r="W196" s="24"/>
      <c r="X196" s="24"/>
      <c r="Y196" s="24"/>
      <c r="AA196" s="24">
        <v>46043.315808321757</v>
      </c>
      <c r="AB196" s="24">
        <v>46043.315808321757</v>
      </c>
      <c r="AC196" s="24">
        <v>46051.665692650466</v>
      </c>
      <c r="AD196" s="24">
        <v>46051.665692650466</v>
      </c>
      <c r="AE196">
        <v>1</v>
      </c>
      <c r="AF196" s="24"/>
      <c r="AG196" s="24"/>
      <c r="AH196" s="24"/>
      <c r="AI196" s="24"/>
      <c r="AK196" s="24"/>
      <c r="AL196" s="24"/>
      <c r="AM196" s="24"/>
      <c r="AN196" s="24"/>
      <c r="AP196" s="24"/>
      <c r="AQ196" s="24"/>
      <c r="AR196" s="24">
        <v>46042.330021932874</v>
      </c>
      <c r="AS196" s="24">
        <v>46042.330021932874</v>
      </c>
      <c r="AX196" s="24"/>
      <c r="AY196" s="24"/>
      <c r="AZ196" s="24"/>
      <c r="BA196" s="24"/>
      <c r="BC196" s="24"/>
      <c r="BD196" s="24"/>
      <c r="BE196" s="24"/>
      <c r="BF196" s="24"/>
      <c r="BH196" s="24">
        <v>46042.330021932874</v>
      </c>
      <c r="BI196" s="24">
        <v>46042.330021932874</v>
      </c>
      <c r="BJ196" s="24">
        <v>46043.315808321757</v>
      </c>
      <c r="BK196" s="24">
        <v>46043.315808321757</v>
      </c>
      <c r="BL196">
        <v>1</v>
      </c>
      <c r="BM196" s="24"/>
      <c r="BN196" s="24"/>
      <c r="BO196" s="24"/>
      <c r="BP196" s="24"/>
      <c r="BR196" s="24">
        <v>46051.665692650466</v>
      </c>
      <c r="BS196" s="24">
        <v>46051.665692650466</v>
      </c>
      <c r="BT196" s="24">
        <v>46052.327504733796</v>
      </c>
      <c r="BU196" s="24">
        <v>46052.327504733796</v>
      </c>
      <c r="BV196">
        <v>1</v>
      </c>
      <c r="BW196" s="24"/>
      <c r="BX196" s="24"/>
      <c r="BY196" s="24"/>
      <c r="BZ196" s="24"/>
      <c r="CB196" s="24"/>
      <c r="CC196" s="24"/>
      <c r="CE196" s="24">
        <v>46052.327504733796</v>
      </c>
      <c r="CF196" s="24">
        <v>46052.327504733796</v>
      </c>
      <c r="CG196">
        <v>1</v>
      </c>
      <c r="CH196" s="24"/>
      <c r="CI196" s="24"/>
      <c r="CJ196" s="24"/>
      <c r="CK196" s="24"/>
      <c r="DE196" s="24"/>
      <c r="DF196" s="24"/>
      <c r="DG196" s="24"/>
      <c r="DH196" s="24"/>
      <c r="DJ196" t="s">
        <v>149</v>
      </c>
      <c r="DK196" t="s">
        <v>149</v>
      </c>
      <c r="DM196">
        <v>10</v>
      </c>
      <c r="DN196">
        <v>10</v>
      </c>
      <c r="DQ196" t="s">
        <v>1000</v>
      </c>
      <c r="DR196" t="s">
        <v>149</v>
      </c>
      <c r="DS196" s="24">
        <v>46160.384426226854</v>
      </c>
    </row>
    <row r="197" spans="1:123" x14ac:dyDescent="0.3">
      <c r="A197" t="s">
        <v>451</v>
      </c>
      <c r="D197" t="s">
        <v>223</v>
      </c>
      <c r="E197" s="24">
        <v>46041.415902777779</v>
      </c>
      <c r="G197" t="s">
        <v>90</v>
      </c>
      <c r="H197" t="s">
        <v>155</v>
      </c>
      <c r="I197" s="24"/>
      <c r="J197" s="24"/>
      <c r="K197" s="24"/>
      <c r="L197" s="24"/>
      <c r="N197" s="24"/>
      <c r="O197" s="24"/>
      <c r="P197" s="24"/>
      <c r="Q197" s="24"/>
      <c r="V197" s="24"/>
      <c r="W197" s="24"/>
      <c r="X197" s="24"/>
      <c r="Y197" s="24"/>
      <c r="AA197" s="24">
        <v>46043.386196041669</v>
      </c>
      <c r="AB197" s="24">
        <v>46043.386196041669</v>
      </c>
      <c r="AC197" s="24">
        <v>46051.567655023151</v>
      </c>
      <c r="AD197" s="24">
        <v>46051.567655023151</v>
      </c>
      <c r="AE197">
        <v>1</v>
      </c>
      <c r="AF197" s="24">
        <v>46051.567655023151</v>
      </c>
      <c r="AG197" s="24">
        <v>46051.567655023151</v>
      </c>
      <c r="AH197" s="24">
        <v>46056.466923032407</v>
      </c>
      <c r="AI197" s="24">
        <v>46056.466923032407</v>
      </c>
      <c r="AJ197">
        <v>1</v>
      </c>
      <c r="AK197" s="24"/>
      <c r="AL197" s="24"/>
      <c r="AM197" s="24"/>
      <c r="AN197" s="24"/>
      <c r="AP197" s="24"/>
      <c r="AQ197" s="24"/>
      <c r="AR197" s="24">
        <v>46042.477702337965</v>
      </c>
      <c r="AS197" s="24">
        <v>46042.477702337965</v>
      </c>
      <c r="AX197" s="24"/>
      <c r="AY197" s="24"/>
      <c r="AZ197" s="24"/>
      <c r="BA197" s="24"/>
      <c r="BC197" s="24"/>
      <c r="BD197" s="24"/>
      <c r="BE197" s="24"/>
      <c r="BF197" s="24"/>
      <c r="BH197" s="24">
        <v>46042.477702337965</v>
      </c>
      <c r="BI197" s="24">
        <v>46042.477702337965</v>
      </c>
      <c r="BJ197" s="24">
        <v>46043.386196041669</v>
      </c>
      <c r="BK197" s="24">
        <v>46043.386196041669</v>
      </c>
      <c r="BL197">
        <v>1</v>
      </c>
      <c r="BM197" s="24"/>
      <c r="BN197" s="24"/>
      <c r="BO197" s="24"/>
      <c r="BP197" s="24"/>
      <c r="BR197" s="24">
        <v>46056.466923032407</v>
      </c>
      <c r="BS197" s="24">
        <v>46056.466923032407</v>
      </c>
      <c r="BT197" s="24">
        <v>46056.470227685182</v>
      </c>
      <c r="BU197" s="24">
        <v>46056.470227685182</v>
      </c>
      <c r="BV197">
        <v>1</v>
      </c>
      <c r="BW197" s="24"/>
      <c r="BX197" s="24"/>
      <c r="BY197" s="24"/>
      <c r="BZ197" s="24"/>
      <c r="CB197" s="24"/>
      <c r="CC197" s="24"/>
      <c r="CE197" s="24">
        <v>46056.470227685182</v>
      </c>
      <c r="CF197" s="24">
        <v>46056.470227685182</v>
      </c>
      <c r="CG197">
        <v>1</v>
      </c>
      <c r="CH197" s="24"/>
      <c r="CI197" s="24"/>
      <c r="CJ197" s="24"/>
      <c r="CK197" s="24"/>
      <c r="DE197" s="24"/>
      <c r="DF197" s="24"/>
      <c r="DG197" s="24"/>
      <c r="DH197" s="24"/>
      <c r="DJ197" t="s">
        <v>149</v>
      </c>
      <c r="DK197" t="s">
        <v>149</v>
      </c>
      <c r="DM197">
        <v>14</v>
      </c>
      <c r="DN197">
        <v>14</v>
      </c>
      <c r="DQ197" t="s">
        <v>1000</v>
      </c>
      <c r="DR197" t="s">
        <v>149</v>
      </c>
      <c r="DS197" s="24">
        <v>46160.384426226854</v>
      </c>
    </row>
    <row r="198" spans="1:123" x14ac:dyDescent="0.3">
      <c r="A198" t="s">
        <v>452</v>
      </c>
      <c r="D198" t="s">
        <v>225</v>
      </c>
      <c r="E198" s="24">
        <v>46037.578287037039</v>
      </c>
      <c r="G198" t="s">
        <v>90</v>
      </c>
      <c r="H198" t="s">
        <v>155</v>
      </c>
      <c r="I198" s="24"/>
      <c r="J198" s="24"/>
      <c r="K198" s="24"/>
      <c r="L198" s="24"/>
      <c r="N198" s="24"/>
      <c r="O198" s="24"/>
      <c r="P198" s="24"/>
      <c r="Q198" s="24"/>
      <c r="V198" s="24"/>
      <c r="W198" s="24"/>
      <c r="X198" s="24"/>
      <c r="Y198" s="24"/>
      <c r="AA198" s="24">
        <v>46050.378100057867</v>
      </c>
      <c r="AB198" s="24">
        <v>46050.378100057867</v>
      </c>
      <c r="AC198" s="24">
        <v>46050.438657372688</v>
      </c>
      <c r="AD198" s="24">
        <v>46050.438657372688</v>
      </c>
      <c r="AE198">
        <v>1</v>
      </c>
      <c r="AF198" s="24">
        <v>46050.438657372688</v>
      </c>
      <c r="AG198" s="24">
        <v>46050.438657372688</v>
      </c>
      <c r="AH198" s="24">
        <v>46050.472463842591</v>
      </c>
      <c r="AI198" s="24">
        <v>46050.472463842591</v>
      </c>
      <c r="AJ198">
        <v>1</v>
      </c>
      <c r="AK198" s="24">
        <v>46050.472463842591</v>
      </c>
      <c r="AL198" s="24">
        <v>46050.472463842591</v>
      </c>
      <c r="AM198" s="24">
        <v>46050.545050277775</v>
      </c>
      <c r="AN198" s="24">
        <v>46050.545050277775</v>
      </c>
      <c r="AO198">
        <v>1</v>
      </c>
      <c r="AP198" s="24"/>
      <c r="AQ198" s="24"/>
      <c r="AR198" s="24">
        <v>46050.378039236108</v>
      </c>
      <c r="AS198" s="24">
        <v>46050.378039236108</v>
      </c>
      <c r="AX198" s="24"/>
      <c r="AY198" s="24"/>
      <c r="AZ198" s="24"/>
      <c r="BA198" s="24"/>
      <c r="BC198" s="24">
        <v>46052.567016550929</v>
      </c>
      <c r="BD198" s="24">
        <v>46051.404536898146</v>
      </c>
      <c r="BE198" s="24">
        <v>46052.566884375003</v>
      </c>
      <c r="BF198" s="24">
        <v>46058.552307731479</v>
      </c>
      <c r="BG198">
        <v>2</v>
      </c>
      <c r="BH198" s="24">
        <v>46050.378039236108</v>
      </c>
      <c r="BI198" s="24">
        <v>46050.378039236108</v>
      </c>
      <c r="BJ198" s="24">
        <v>46050.378100057867</v>
      </c>
      <c r="BK198" s="24">
        <v>46050.378100057867</v>
      </c>
      <c r="BL198">
        <v>1</v>
      </c>
      <c r="BM198" s="24"/>
      <c r="BN198" s="24"/>
      <c r="BO198" s="24"/>
      <c r="BP198" s="24"/>
      <c r="BR198" s="24">
        <v>46052.566884375003</v>
      </c>
      <c r="BS198" s="24">
        <v>46050.545050277775</v>
      </c>
      <c r="BT198" s="24">
        <v>46051.404536898146</v>
      </c>
      <c r="BU198" s="24">
        <v>46052.567016550929</v>
      </c>
      <c r="BV198">
        <v>2</v>
      </c>
      <c r="BW198" s="24"/>
      <c r="BX198" s="24"/>
      <c r="BY198" s="24"/>
      <c r="BZ198" s="24"/>
      <c r="CB198" s="24"/>
      <c r="CC198" s="24"/>
      <c r="CE198" s="24">
        <v>46058.552307731479</v>
      </c>
      <c r="CF198" s="24">
        <v>46058.552307731479</v>
      </c>
      <c r="CG198">
        <v>1</v>
      </c>
      <c r="CH198" s="24"/>
      <c r="CI198" s="24"/>
      <c r="CJ198" s="24"/>
      <c r="CK198" s="24"/>
      <c r="DE198" s="24"/>
      <c r="DF198" s="24"/>
      <c r="DG198" s="24"/>
      <c r="DH198" s="24"/>
      <c r="DJ198" t="s">
        <v>149</v>
      </c>
      <c r="DK198" t="s">
        <v>149</v>
      </c>
      <c r="DM198">
        <v>9</v>
      </c>
      <c r="DN198">
        <v>9</v>
      </c>
      <c r="DQ198" t="s">
        <v>1000</v>
      </c>
      <c r="DR198" t="s">
        <v>149</v>
      </c>
      <c r="DS198" s="24">
        <v>46160.384426226854</v>
      </c>
    </row>
    <row r="199" spans="1:123" x14ac:dyDescent="0.3">
      <c r="A199" t="s">
        <v>453</v>
      </c>
      <c r="D199" t="s">
        <v>225</v>
      </c>
      <c r="E199" s="24">
        <v>46037.541064814817</v>
      </c>
      <c r="G199" t="s">
        <v>90</v>
      </c>
      <c r="H199" t="s">
        <v>155</v>
      </c>
      <c r="I199" s="24"/>
      <c r="J199" s="24"/>
      <c r="K199" s="24"/>
      <c r="L199" s="24"/>
      <c r="N199" s="24"/>
      <c r="O199" s="24"/>
      <c r="P199" s="24"/>
      <c r="Q199" s="24"/>
      <c r="V199" s="24"/>
      <c r="W199" s="24"/>
      <c r="X199" s="24"/>
      <c r="Y199" s="24"/>
      <c r="AA199" s="24">
        <v>46037.554284594909</v>
      </c>
      <c r="AB199" s="24">
        <v>46037.554284594909</v>
      </c>
      <c r="AC199" s="24">
        <v>46037.586046064818</v>
      </c>
      <c r="AD199" s="24">
        <v>46037.586046064818</v>
      </c>
      <c r="AE199">
        <v>1</v>
      </c>
      <c r="AF199" s="24">
        <v>46037.586046064818</v>
      </c>
      <c r="AG199" s="24">
        <v>46037.586046064818</v>
      </c>
      <c r="AH199" s="24">
        <v>46038.371272395831</v>
      </c>
      <c r="AI199" s="24">
        <v>46038.371272395831</v>
      </c>
      <c r="AJ199">
        <v>1</v>
      </c>
      <c r="AK199" s="24">
        <v>46038.371272395831</v>
      </c>
      <c r="AL199" s="24">
        <v>46038.371272395831</v>
      </c>
      <c r="AM199" s="24">
        <v>46038.419647893519</v>
      </c>
      <c r="AN199" s="24">
        <v>46038.419647893519</v>
      </c>
      <c r="AO199">
        <v>1</v>
      </c>
      <c r="AP199" s="24"/>
      <c r="AQ199" s="24"/>
      <c r="AR199" s="24">
        <v>46037.541836249999</v>
      </c>
      <c r="AS199" s="24">
        <v>46037.541836249999</v>
      </c>
      <c r="AX199" s="24"/>
      <c r="AY199" s="24"/>
      <c r="AZ199" s="24"/>
      <c r="BA199" s="24"/>
      <c r="BC199" s="24">
        <v>46038.419824895835</v>
      </c>
      <c r="BD199" s="24">
        <v>46038.419824895835</v>
      </c>
      <c r="BE199" s="24">
        <v>46041.620751064816</v>
      </c>
      <c r="BF199" s="24">
        <v>46041.620751064816</v>
      </c>
      <c r="BG199">
        <v>1</v>
      </c>
      <c r="BH199" s="24">
        <v>46037.541836249999</v>
      </c>
      <c r="BI199" s="24">
        <v>46037.541836249999</v>
      </c>
      <c r="BJ199" s="24">
        <v>46037.554284594909</v>
      </c>
      <c r="BK199" s="24">
        <v>46037.554284594909</v>
      </c>
      <c r="BL199">
        <v>1</v>
      </c>
      <c r="BM199" s="24"/>
      <c r="BN199" s="24"/>
      <c r="BO199" s="24"/>
      <c r="BP199" s="24"/>
      <c r="BR199" s="24">
        <v>46038.419647893519</v>
      </c>
      <c r="BS199" s="24">
        <v>46038.419647893519</v>
      </c>
      <c r="BT199" s="24">
        <v>46038.419824895835</v>
      </c>
      <c r="BU199" s="24">
        <v>46038.419824895835</v>
      </c>
      <c r="BV199">
        <v>1</v>
      </c>
      <c r="BW199" s="24"/>
      <c r="BX199" s="24"/>
      <c r="BY199" s="24"/>
      <c r="BZ199" s="24"/>
      <c r="CB199" s="24"/>
      <c r="CC199" s="24"/>
      <c r="CE199" s="24">
        <v>46041.620751064816</v>
      </c>
      <c r="CF199" s="24">
        <v>46041.620751064816</v>
      </c>
      <c r="CG199">
        <v>1</v>
      </c>
      <c r="CH199" s="24"/>
      <c r="CI199" s="24"/>
      <c r="CJ199" s="24"/>
      <c r="CK199" s="24"/>
      <c r="DE199" s="24"/>
      <c r="DF199" s="24"/>
      <c r="DG199" s="24"/>
      <c r="DH199" s="24"/>
      <c r="DJ199" t="s">
        <v>149</v>
      </c>
      <c r="DK199" t="s">
        <v>149</v>
      </c>
      <c r="DM199">
        <v>5</v>
      </c>
      <c r="DN199">
        <v>5</v>
      </c>
      <c r="DQ199" t="s">
        <v>1000</v>
      </c>
      <c r="DR199" t="s">
        <v>149</v>
      </c>
      <c r="DS199" s="24">
        <v>46160.384426226854</v>
      </c>
    </row>
    <row r="200" spans="1:123" x14ac:dyDescent="0.3">
      <c r="A200" t="s">
        <v>454</v>
      </c>
      <c r="D200" t="s">
        <v>225</v>
      </c>
      <c r="E200" s="24">
        <v>46035.397476851853</v>
      </c>
      <c r="G200" t="s">
        <v>150</v>
      </c>
      <c r="H200" t="s">
        <v>155</v>
      </c>
      <c r="I200" s="24"/>
      <c r="J200" s="24"/>
      <c r="K200" s="24"/>
      <c r="L200" s="24"/>
      <c r="N200" s="24"/>
      <c r="O200" s="24"/>
      <c r="P200" s="24"/>
      <c r="Q200" s="24"/>
      <c r="V200" s="24"/>
      <c r="W200" s="24"/>
      <c r="X200" s="24"/>
      <c r="Y200" s="24"/>
      <c r="AA200" s="24"/>
      <c r="AB200" s="24"/>
      <c r="AC200" s="24"/>
      <c r="AD200" s="24"/>
      <c r="AF200" s="24"/>
      <c r="AG200" s="24"/>
      <c r="AH200" s="24"/>
      <c r="AI200" s="24"/>
      <c r="AK200" s="24"/>
      <c r="AL200" s="24"/>
      <c r="AM200" s="24"/>
      <c r="AN200" s="24"/>
      <c r="AP200" s="24"/>
      <c r="AQ200" s="24"/>
      <c r="AR200" s="24">
        <v>46073.353222731479</v>
      </c>
      <c r="AS200" s="24">
        <v>46073.353222731479</v>
      </c>
      <c r="AX200" s="24"/>
      <c r="AY200" s="24"/>
      <c r="AZ200" s="24"/>
      <c r="BA200" s="24"/>
      <c r="BC200" s="24"/>
      <c r="BD200" s="24"/>
      <c r="BE200" s="24"/>
      <c r="BF200" s="24"/>
      <c r="BH200" s="24"/>
      <c r="BI200" s="24"/>
      <c r="BJ200" s="24"/>
      <c r="BK200" s="24"/>
      <c r="BM200" s="24"/>
      <c r="BN200" s="24"/>
      <c r="BO200" s="24"/>
      <c r="BP200" s="24"/>
      <c r="BR200" s="24"/>
      <c r="BS200" s="24"/>
      <c r="BT200" s="24"/>
      <c r="BU200" s="24"/>
      <c r="BW200" s="24"/>
      <c r="BX200" s="24"/>
      <c r="BY200" s="24"/>
      <c r="BZ200" s="24"/>
      <c r="CB200" s="24">
        <v>46073.353222731479</v>
      </c>
      <c r="CC200" s="24">
        <v>46073.353222731479</v>
      </c>
      <c r="CD200">
        <v>1</v>
      </c>
      <c r="CE200" s="24"/>
      <c r="CF200" s="24"/>
      <c r="CH200" s="24"/>
      <c r="CI200" s="24"/>
      <c r="CJ200" s="24"/>
      <c r="CK200" s="24"/>
      <c r="DE200" s="24"/>
      <c r="DF200" s="24"/>
      <c r="DG200" s="24"/>
      <c r="DH200" s="24"/>
      <c r="DJ200" t="s">
        <v>149</v>
      </c>
      <c r="DK200" t="s">
        <v>149</v>
      </c>
      <c r="DQ200" t="s">
        <v>1000</v>
      </c>
      <c r="DR200" t="s">
        <v>149</v>
      </c>
      <c r="DS200" s="24">
        <v>46160.384426226854</v>
      </c>
    </row>
    <row r="201" spans="1:123" x14ac:dyDescent="0.3">
      <c r="A201" t="s">
        <v>455</v>
      </c>
      <c r="D201" t="s">
        <v>223</v>
      </c>
      <c r="E201" s="24">
        <v>46035.342997685184</v>
      </c>
      <c r="G201" t="s">
        <v>102</v>
      </c>
      <c r="H201" t="s">
        <v>154</v>
      </c>
      <c r="I201" s="24"/>
      <c r="J201" s="24"/>
      <c r="K201" s="24"/>
      <c r="L201" s="24"/>
      <c r="N201" s="24"/>
      <c r="O201" s="24"/>
      <c r="P201" s="24"/>
      <c r="Q201" s="24"/>
      <c r="V201" s="24"/>
      <c r="W201" s="24"/>
      <c r="X201" s="24"/>
      <c r="Y201" s="24"/>
      <c r="AA201" s="24"/>
      <c r="AB201" s="24"/>
      <c r="AC201" s="24"/>
      <c r="AD201" s="24"/>
      <c r="AF201" s="24"/>
      <c r="AG201" s="24"/>
      <c r="AH201" s="24"/>
      <c r="AI201" s="24"/>
      <c r="AK201" s="24"/>
      <c r="AL201" s="24"/>
      <c r="AM201" s="24"/>
      <c r="AN201" s="24"/>
      <c r="AP201" s="24"/>
      <c r="AQ201" s="24"/>
      <c r="AR201" s="24"/>
      <c r="AS201" s="24"/>
      <c r="AX201" s="24"/>
      <c r="AY201" s="24"/>
      <c r="AZ201" s="24"/>
      <c r="BA201" s="24"/>
      <c r="BC201" s="24"/>
      <c r="BD201" s="24"/>
      <c r="BE201" s="24"/>
      <c r="BF201" s="24"/>
      <c r="BH201" s="24"/>
      <c r="BI201" s="24"/>
      <c r="BJ201" s="24"/>
      <c r="BK201" s="24"/>
      <c r="BM201" s="24"/>
      <c r="BN201" s="24"/>
      <c r="BO201" s="24"/>
      <c r="BP201" s="24"/>
      <c r="BR201" s="24"/>
      <c r="BS201" s="24"/>
      <c r="BT201" s="24"/>
      <c r="BU201" s="24"/>
      <c r="BW201" s="24"/>
      <c r="BX201" s="24"/>
      <c r="BY201" s="24"/>
      <c r="BZ201" s="24"/>
      <c r="CB201" s="24"/>
      <c r="CC201" s="24"/>
      <c r="CE201" s="24"/>
      <c r="CF201" s="24"/>
      <c r="CH201" s="24"/>
      <c r="CI201" s="24"/>
      <c r="CJ201" s="24"/>
      <c r="CK201" s="24"/>
      <c r="DE201" s="24"/>
      <c r="DF201" s="24"/>
      <c r="DG201" s="24"/>
      <c r="DH201" s="24"/>
      <c r="DJ201" t="s">
        <v>149</v>
      </c>
      <c r="DK201" t="s">
        <v>149</v>
      </c>
      <c r="DQ201" t="s">
        <v>1000</v>
      </c>
      <c r="DR201" t="s">
        <v>149</v>
      </c>
      <c r="DS201" s="24">
        <v>46160.384426226854</v>
      </c>
    </row>
    <row r="202" spans="1:123" x14ac:dyDescent="0.3">
      <c r="A202" t="s">
        <v>456</v>
      </c>
      <c r="D202" t="s">
        <v>225</v>
      </c>
      <c r="E202" s="24">
        <v>46034.622650462959</v>
      </c>
      <c r="G202" t="s">
        <v>90</v>
      </c>
      <c r="H202" t="s">
        <v>155</v>
      </c>
      <c r="I202" s="24"/>
      <c r="J202" s="24"/>
      <c r="K202" s="24"/>
      <c r="L202" s="24"/>
      <c r="N202" s="24"/>
      <c r="O202" s="24"/>
      <c r="P202" s="24"/>
      <c r="Q202" s="24"/>
      <c r="V202" s="24"/>
      <c r="W202" s="24"/>
      <c r="X202" s="24"/>
      <c r="Y202" s="24"/>
      <c r="AA202" s="24">
        <v>46034.700326944447</v>
      </c>
      <c r="AB202" s="24">
        <v>46034.700326944447</v>
      </c>
      <c r="AC202" s="24">
        <v>46037.583293912037</v>
      </c>
      <c r="AD202" s="24">
        <v>46037.583293912037</v>
      </c>
      <c r="AE202">
        <v>1</v>
      </c>
      <c r="AF202" s="24">
        <v>46037.583293912037</v>
      </c>
      <c r="AG202" s="24">
        <v>46037.583293912037</v>
      </c>
      <c r="AH202" s="24">
        <v>46037.58333483796</v>
      </c>
      <c r="AI202" s="24">
        <v>46037.58333483796</v>
      </c>
      <c r="AJ202">
        <v>1</v>
      </c>
      <c r="AK202" s="24">
        <v>46037.58333483796</v>
      </c>
      <c r="AL202" s="24">
        <v>46037.58333483796</v>
      </c>
      <c r="AM202" s="24">
        <v>46038.41961636574</v>
      </c>
      <c r="AN202" s="24">
        <v>46038.41961636574</v>
      </c>
      <c r="AO202">
        <v>1</v>
      </c>
      <c r="AP202" s="24"/>
      <c r="AQ202" s="24"/>
      <c r="AR202" s="24">
        <v>46034.700261469909</v>
      </c>
      <c r="AS202" s="24">
        <v>46034.700261469909</v>
      </c>
      <c r="AX202" s="24"/>
      <c r="AY202" s="24"/>
      <c r="AZ202" s="24"/>
      <c r="BA202" s="24"/>
      <c r="BC202" s="24">
        <v>46038.419757476855</v>
      </c>
      <c r="BD202" s="24">
        <v>46038.419757476855</v>
      </c>
      <c r="BE202" s="24">
        <v>46041.620751122682</v>
      </c>
      <c r="BF202" s="24">
        <v>46041.620751122682</v>
      </c>
      <c r="BG202">
        <v>1</v>
      </c>
      <c r="BH202" s="24">
        <v>46034.700261469909</v>
      </c>
      <c r="BI202" s="24">
        <v>46034.700261469909</v>
      </c>
      <c r="BJ202" s="24">
        <v>46034.700326944447</v>
      </c>
      <c r="BK202" s="24">
        <v>46034.700326944447</v>
      </c>
      <c r="BL202">
        <v>1</v>
      </c>
      <c r="BM202" s="24"/>
      <c r="BN202" s="24"/>
      <c r="BO202" s="24"/>
      <c r="BP202" s="24"/>
      <c r="BR202" s="24">
        <v>46038.41961636574</v>
      </c>
      <c r="BS202" s="24">
        <v>46038.41961636574</v>
      </c>
      <c r="BT202" s="24">
        <v>46038.419757476855</v>
      </c>
      <c r="BU202" s="24">
        <v>46038.419757476855</v>
      </c>
      <c r="BV202">
        <v>1</v>
      </c>
      <c r="BW202" s="24"/>
      <c r="BX202" s="24"/>
      <c r="BY202" s="24"/>
      <c r="BZ202" s="24"/>
      <c r="CB202" s="24"/>
      <c r="CC202" s="24"/>
      <c r="CE202" s="24">
        <v>46041.620751122682</v>
      </c>
      <c r="CF202" s="24">
        <v>46041.620751122682</v>
      </c>
      <c r="CG202">
        <v>1</v>
      </c>
      <c r="CH202" s="24"/>
      <c r="CI202" s="24"/>
      <c r="CJ202" s="24"/>
      <c r="CK202" s="24"/>
      <c r="DE202" s="24"/>
      <c r="DF202" s="24"/>
      <c r="DG202" s="24"/>
      <c r="DH202" s="24"/>
      <c r="DJ202" t="s">
        <v>149</v>
      </c>
      <c r="DK202" t="s">
        <v>149</v>
      </c>
      <c r="DM202">
        <v>7</v>
      </c>
      <c r="DN202">
        <v>7</v>
      </c>
      <c r="DQ202" t="s">
        <v>1000</v>
      </c>
      <c r="DR202" t="s">
        <v>149</v>
      </c>
      <c r="DS202" s="24">
        <v>46160.384426226854</v>
      </c>
    </row>
    <row r="203" spans="1:123" x14ac:dyDescent="0.3">
      <c r="A203" t="s">
        <v>267</v>
      </c>
      <c r="D203" t="s">
        <v>223</v>
      </c>
      <c r="E203" s="24">
        <v>46034.504479166666</v>
      </c>
      <c r="G203" t="s">
        <v>90</v>
      </c>
      <c r="H203" t="s">
        <v>155</v>
      </c>
      <c r="I203" s="24"/>
      <c r="J203" s="24"/>
      <c r="K203" s="24"/>
      <c r="L203" s="24"/>
      <c r="N203" s="24">
        <v>46093.409928738423</v>
      </c>
      <c r="O203" s="24">
        <v>46093.409928738423</v>
      </c>
      <c r="P203" s="24">
        <v>46097.408468437498</v>
      </c>
      <c r="Q203" s="24">
        <v>46097.408468437498</v>
      </c>
      <c r="R203">
        <v>1</v>
      </c>
      <c r="V203" s="24"/>
      <c r="W203" s="24"/>
      <c r="X203" s="24"/>
      <c r="Y203" s="24"/>
      <c r="AA203" s="24">
        <v>46097.408468437498</v>
      </c>
      <c r="AB203" s="24">
        <v>46084.565677858795</v>
      </c>
      <c r="AC203" s="24">
        <v>46085.371785868054</v>
      </c>
      <c r="AD203" s="24">
        <v>46104.627460219905</v>
      </c>
      <c r="AE203">
        <v>3</v>
      </c>
      <c r="AF203" s="24">
        <v>46085.371785868054</v>
      </c>
      <c r="AG203" s="24">
        <v>46085.371785868054</v>
      </c>
      <c r="AH203" s="24">
        <v>46093.409586631948</v>
      </c>
      <c r="AI203" s="24">
        <v>46093.409586631948</v>
      </c>
      <c r="AJ203">
        <v>1</v>
      </c>
      <c r="AK203" s="24"/>
      <c r="AL203" s="24"/>
      <c r="AM203" s="24"/>
      <c r="AN203" s="24"/>
      <c r="AP203" s="24"/>
      <c r="AQ203" s="24"/>
      <c r="AR203" s="24">
        <v>46084.56564666667</v>
      </c>
      <c r="AS203" s="24">
        <v>46084.56564666667</v>
      </c>
      <c r="AX203" s="24"/>
      <c r="AY203" s="24"/>
      <c r="AZ203" s="24"/>
      <c r="BA203" s="24"/>
      <c r="BC203" s="24"/>
      <c r="BD203" s="24"/>
      <c r="BE203" s="24"/>
      <c r="BF203" s="24"/>
      <c r="BH203" s="24">
        <v>46084.56564666667</v>
      </c>
      <c r="BI203" s="24">
        <v>46084.56564666667</v>
      </c>
      <c r="BJ203" s="24">
        <v>46084.565677858795</v>
      </c>
      <c r="BK203" s="24">
        <v>46084.565677858795</v>
      </c>
      <c r="BL203">
        <v>1</v>
      </c>
      <c r="BM203" s="24"/>
      <c r="BN203" s="24"/>
      <c r="BO203" s="24"/>
      <c r="BP203" s="24"/>
      <c r="BR203" s="24">
        <v>46104.627460219905</v>
      </c>
      <c r="BS203" s="24">
        <v>46104.627460219905</v>
      </c>
      <c r="BT203" s="24">
        <v>46105.403457361113</v>
      </c>
      <c r="BU203" s="24">
        <v>46105.403457361113</v>
      </c>
      <c r="BV203">
        <v>1</v>
      </c>
      <c r="BW203" s="24"/>
      <c r="BX203" s="24"/>
      <c r="BY203" s="24"/>
      <c r="BZ203" s="24"/>
      <c r="CB203" s="24"/>
      <c r="CC203" s="24"/>
      <c r="CE203" s="24">
        <v>46105.403457361113</v>
      </c>
      <c r="CF203" s="24">
        <v>46105.403457361113</v>
      </c>
      <c r="CG203">
        <v>1</v>
      </c>
      <c r="CH203" s="24"/>
      <c r="CI203" s="24"/>
      <c r="CJ203" s="24"/>
      <c r="CK203" s="24"/>
      <c r="DE203" s="24"/>
      <c r="DF203" s="24"/>
      <c r="DG203" s="24"/>
      <c r="DH203" s="24"/>
      <c r="DJ203" t="s">
        <v>149</v>
      </c>
      <c r="DK203" t="s">
        <v>149</v>
      </c>
      <c r="DL203">
        <v>3.9985396990740742</v>
      </c>
      <c r="DM203">
        <v>21</v>
      </c>
      <c r="DN203">
        <v>21</v>
      </c>
      <c r="DQ203" t="s">
        <v>1000</v>
      </c>
      <c r="DR203" t="s">
        <v>149</v>
      </c>
      <c r="DS203" s="24">
        <v>46160.384426226854</v>
      </c>
    </row>
    <row r="204" spans="1:123" x14ac:dyDescent="0.3">
      <c r="A204" t="s">
        <v>457</v>
      </c>
      <c r="D204" t="s">
        <v>223</v>
      </c>
      <c r="E204" s="24">
        <v>46034.478715277779</v>
      </c>
      <c r="G204" t="s">
        <v>90</v>
      </c>
      <c r="H204" t="s">
        <v>155</v>
      </c>
      <c r="I204" s="24"/>
      <c r="J204" s="24"/>
      <c r="K204" s="24"/>
      <c r="L204" s="24"/>
      <c r="N204" s="24"/>
      <c r="O204" s="24"/>
      <c r="P204" s="24"/>
      <c r="Q204" s="24"/>
      <c r="V204" s="24"/>
      <c r="W204" s="24"/>
      <c r="X204" s="24"/>
      <c r="Y204" s="24"/>
      <c r="AA204" s="24">
        <v>46057.573557118056</v>
      </c>
      <c r="AB204" s="24">
        <v>46057.573557118056</v>
      </c>
      <c r="AC204" s="24">
        <v>46070.323042372685</v>
      </c>
      <c r="AD204" s="24">
        <v>46070.323042372685</v>
      </c>
      <c r="AE204">
        <v>1</v>
      </c>
      <c r="AF204" s="24">
        <v>46070.323042372685</v>
      </c>
      <c r="AG204" s="24">
        <v>46070.323042372685</v>
      </c>
      <c r="AH204" s="24">
        <v>46070.323088611112</v>
      </c>
      <c r="AI204" s="24">
        <v>46070.323088611112</v>
      </c>
      <c r="AJ204">
        <v>1</v>
      </c>
      <c r="AK204" s="24"/>
      <c r="AL204" s="24"/>
      <c r="AM204" s="24"/>
      <c r="AN204" s="24"/>
      <c r="AP204" s="24"/>
      <c r="AQ204" s="24"/>
      <c r="AR204" s="24">
        <v>46056.652446099535</v>
      </c>
      <c r="AS204" s="24">
        <v>46056.652446099535</v>
      </c>
      <c r="AX204" s="24"/>
      <c r="AY204" s="24"/>
      <c r="AZ204" s="24"/>
      <c r="BA204" s="24"/>
      <c r="BC204" s="24"/>
      <c r="BD204" s="24"/>
      <c r="BE204" s="24"/>
      <c r="BF204" s="24"/>
      <c r="BH204" s="24">
        <v>46056.652446099535</v>
      </c>
      <c r="BI204" s="24">
        <v>46056.652446099535</v>
      </c>
      <c r="BJ204" s="24">
        <v>46057.573557118056</v>
      </c>
      <c r="BK204" s="24">
        <v>46057.573557118056</v>
      </c>
      <c r="BL204">
        <v>1</v>
      </c>
      <c r="BM204" s="24"/>
      <c r="BN204" s="24"/>
      <c r="BO204" s="24"/>
      <c r="BP204" s="24"/>
      <c r="BR204" s="24"/>
      <c r="BS204" s="24"/>
      <c r="BT204" s="24"/>
      <c r="BU204" s="24"/>
      <c r="BW204" s="24"/>
      <c r="BX204" s="24"/>
      <c r="BY204" s="24"/>
      <c r="BZ204" s="24"/>
      <c r="CB204" s="24"/>
      <c r="CC204" s="24"/>
      <c r="CE204" s="24">
        <v>46070.323088611112</v>
      </c>
      <c r="CF204" s="24">
        <v>46070.323088611112</v>
      </c>
      <c r="CG204">
        <v>1</v>
      </c>
      <c r="CH204" s="24"/>
      <c r="CI204" s="24"/>
      <c r="CJ204" s="24"/>
      <c r="CK204" s="24"/>
      <c r="DE204" s="24"/>
      <c r="DF204" s="24"/>
      <c r="DG204" s="24"/>
      <c r="DH204" s="24"/>
      <c r="DJ204" t="s">
        <v>149</v>
      </c>
      <c r="DK204" t="s">
        <v>149</v>
      </c>
      <c r="DM204">
        <v>14</v>
      </c>
      <c r="DN204">
        <v>13</v>
      </c>
      <c r="DQ204" t="s">
        <v>1000</v>
      </c>
      <c r="DR204" t="s">
        <v>149</v>
      </c>
      <c r="DS204" s="24">
        <v>46160.384426226854</v>
      </c>
    </row>
    <row r="205" spans="1:123" x14ac:dyDescent="0.3">
      <c r="A205" t="s">
        <v>458</v>
      </c>
      <c r="D205" t="s">
        <v>223</v>
      </c>
      <c r="E205" s="24">
        <v>46031.472280092596</v>
      </c>
      <c r="G205" t="s">
        <v>90</v>
      </c>
      <c r="H205" t="s">
        <v>155</v>
      </c>
      <c r="I205" s="24"/>
      <c r="J205" s="24"/>
      <c r="K205" s="24"/>
      <c r="L205" s="24"/>
      <c r="N205" s="24"/>
      <c r="O205" s="24"/>
      <c r="P205" s="24"/>
      <c r="Q205" s="24"/>
      <c r="V205" s="24"/>
      <c r="W205" s="24"/>
      <c r="X205" s="24"/>
      <c r="Y205" s="24"/>
      <c r="AA205" s="24">
        <v>46035.53326783565</v>
      </c>
      <c r="AB205" s="24">
        <v>46035.53326783565</v>
      </c>
      <c r="AC205" s="24">
        <v>46035.571054537038</v>
      </c>
      <c r="AD205" s="24">
        <v>46035.571054537038</v>
      </c>
      <c r="AE205">
        <v>1</v>
      </c>
      <c r="AF205" s="24">
        <v>46035.571054537038</v>
      </c>
      <c r="AG205" s="24">
        <v>46035.571054537038</v>
      </c>
      <c r="AH205" s="24">
        <v>46036.411276284722</v>
      </c>
      <c r="AI205" s="24">
        <v>46036.411276284722</v>
      </c>
      <c r="AJ205">
        <v>1</v>
      </c>
      <c r="AK205" s="24"/>
      <c r="AL205" s="24"/>
      <c r="AM205" s="24"/>
      <c r="AN205" s="24"/>
      <c r="AP205" s="24"/>
      <c r="AQ205" s="24"/>
      <c r="AR205" s="24">
        <v>46035.53267828704</v>
      </c>
      <c r="AS205" s="24">
        <v>46035.53267828704</v>
      </c>
      <c r="AX205" s="24"/>
      <c r="AY205" s="24"/>
      <c r="AZ205" s="24"/>
      <c r="BA205" s="24"/>
      <c r="BC205" s="24"/>
      <c r="BD205" s="24"/>
      <c r="BE205" s="24"/>
      <c r="BF205" s="24"/>
      <c r="BH205" s="24">
        <v>46035.53267828704</v>
      </c>
      <c r="BI205" s="24">
        <v>46035.53267828704</v>
      </c>
      <c r="BJ205" s="24">
        <v>46035.53326783565</v>
      </c>
      <c r="BK205" s="24">
        <v>46035.53326783565</v>
      </c>
      <c r="BL205">
        <v>1</v>
      </c>
      <c r="BM205" s="24"/>
      <c r="BN205" s="24"/>
      <c r="BO205" s="24"/>
      <c r="BP205" s="24"/>
      <c r="BR205" s="24">
        <v>46036.411276284722</v>
      </c>
      <c r="BS205" s="24">
        <v>46036.411276284722</v>
      </c>
      <c r="BT205" s="24">
        <v>46037.401297303244</v>
      </c>
      <c r="BU205" s="24">
        <v>46037.401297303244</v>
      </c>
      <c r="BV205">
        <v>1</v>
      </c>
      <c r="BW205" s="24"/>
      <c r="BX205" s="24"/>
      <c r="BY205" s="24"/>
      <c r="BZ205" s="24"/>
      <c r="CB205" s="24"/>
      <c r="CC205" s="24"/>
      <c r="CE205" s="24">
        <v>46037.401297303244</v>
      </c>
      <c r="CF205" s="24">
        <v>46037.401297303244</v>
      </c>
      <c r="CG205">
        <v>1</v>
      </c>
      <c r="CH205" s="24"/>
      <c r="CI205" s="24"/>
      <c r="CJ205" s="24"/>
      <c r="CK205" s="24"/>
      <c r="DE205" s="24"/>
      <c r="DF205" s="24"/>
      <c r="DG205" s="24"/>
      <c r="DH205" s="24"/>
      <c r="DJ205" t="s">
        <v>149</v>
      </c>
      <c r="DK205" t="s">
        <v>149</v>
      </c>
      <c r="DM205">
        <v>2</v>
      </c>
      <c r="DN205">
        <v>2</v>
      </c>
      <c r="DQ205" t="s">
        <v>1000</v>
      </c>
      <c r="DR205" t="s">
        <v>149</v>
      </c>
      <c r="DS205" s="24">
        <v>46160.384426226854</v>
      </c>
    </row>
    <row r="206" spans="1:123" x14ac:dyDescent="0.3">
      <c r="A206" t="s">
        <v>459</v>
      </c>
      <c r="D206" t="s">
        <v>223</v>
      </c>
      <c r="E206" s="24">
        <v>46030.5546412037</v>
      </c>
      <c r="G206" t="s">
        <v>90</v>
      </c>
      <c r="H206" t="s">
        <v>155</v>
      </c>
      <c r="I206" s="24"/>
      <c r="J206" s="24"/>
      <c r="K206" s="24"/>
      <c r="L206" s="24"/>
      <c r="N206" s="24"/>
      <c r="O206" s="24"/>
      <c r="P206" s="24"/>
      <c r="Q206" s="24"/>
      <c r="V206" s="24"/>
      <c r="W206" s="24"/>
      <c r="X206" s="24"/>
      <c r="Y206" s="24"/>
      <c r="AA206" s="24">
        <v>46043.402943217596</v>
      </c>
      <c r="AB206" s="24">
        <v>46043.402943217596</v>
      </c>
      <c r="AC206" s="24">
        <v>46044.379097858793</v>
      </c>
      <c r="AD206" s="24">
        <v>46044.379097858793</v>
      </c>
      <c r="AE206">
        <v>1</v>
      </c>
      <c r="AF206" s="24">
        <v>46044.379097858793</v>
      </c>
      <c r="AG206" s="24">
        <v>46044.379097858793</v>
      </c>
      <c r="AH206" s="24">
        <v>46044.40794125</v>
      </c>
      <c r="AI206" s="24">
        <v>46044.40794125</v>
      </c>
      <c r="AJ206">
        <v>1</v>
      </c>
      <c r="AK206" s="24"/>
      <c r="AL206" s="24"/>
      <c r="AM206" s="24"/>
      <c r="AN206" s="24"/>
      <c r="AP206" s="24"/>
      <c r="AQ206" s="24"/>
      <c r="AR206" s="24">
        <v>46043.325188344905</v>
      </c>
      <c r="AS206" s="24">
        <v>46043.325188344905</v>
      </c>
      <c r="AX206" s="24"/>
      <c r="AY206" s="24"/>
      <c r="AZ206" s="24"/>
      <c r="BA206" s="24"/>
      <c r="BC206" s="24"/>
      <c r="BD206" s="24"/>
      <c r="BE206" s="24"/>
      <c r="BF206" s="24"/>
      <c r="BH206" s="24">
        <v>46043.325188344905</v>
      </c>
      <c r="BI206" s="24">
        <v>46043.325188344905</v>
      </c>
      <c r="BJ206" s="24">
        <v>46043.402943217596</v>
      </c>
      <c r="BK206" s="24">
        <v>46043.402943217596</v>
      </c>
      <c r="BL206">
        <v>1</v>
      </c>
      <c r="BM206" s="24"/>
      <c r="BN206" s="24"/>
      <c r="BO206" s="24"/>
      <c r="BP206" s="24"/>
      <c r="BR206" s="24"/>
      <c r="BS206" s="24"/>
      <c r="BT206" s="24"/>
      <c r="BU206" s="24"/>
      <c r="BW206" s="24"/>
      <c r="BX206" s="24"/>
      <c r="BY206" s="24"/>
      <c r="BZ206" s="24"/>
      <c r="CB206" s="24"/>
      <c r="CC206" s="24"/>
      <c r="CE206" s="24">
        <v>46044.40794125</v>
      </c>
      <c r="CF206" s="24">
        <v>46044.40794125</v>
      </c>
      <c r="CG206">
        <v>1</v>
      </c>
      <c r="CH206" s="24"/>
      <c r="CI206" s="24"/>
      <c r="CJ206" s="24"/>
      <c r="CK206" s="24"/>
      <c r="DE206" s="24"/>
      <c r="DF206" s="24"/>
      <c r="DG206" s="24"/>
      <c r="DH206" s="24"/>
      <c r="DJ206" t="s">
        <v>149</v>
      </c>
      <c r="DK206" t="s">
        <v>149</v>
      </c>
      <c r="DM206">
        <v>2</v>
      </c>
      <c r="DN206">
        <v>2</v>
      </c>
      <c r="DQ206" t="s">
        <v>1000</v>
      </c>
      <c r="DR206" t="s">
        <v>149</v>
      </c>
      <c r="DS206" s="24">
        <v>46160.384426226854</v>
      </c>
    </row>
    <row r="207" spans="1:123" x14ac:dyDescent="0.3">
      <c r="A207" t="s">
        <v>460</v>
      </c>
      <c r="D207" t="s">
        <v>223</v>
      </c>
      <c r="E207" s="24">
        <v>46030.539050925923</v>
      </c>
      <c r="G207" t="s">
        <v>90</v>
      </c>
      <c r="H207" t="s">
        <v>155</v>
      </c>
      <c r="I207" s="24"/>
      <c r="J207" s="24"/>
      <c r="K207" s="24"/>
      <c r="L207" s="24"/>
      <c r="N207" s="24"/>
      <c r="O207" s="24"/>
      <c r="P207" s="24"/>
      <c r="Q207" s="24"/>
      <c r="V207" s="24"/>
      <c r="W207" s="24"/>
      <c r="X207" s="24"/>
      <c r="Y207" s="24"/>
      <c r="AA207" s="24">
        <v>46043.401598518518</v>
      </c>
      <c r="AB207" s="24">
        <v>46043.401598518518</v>
      </c>
      <c r="AC207" s="24">
        <v>46056.456145949072</v>
      </c>
      <c r="AD207" s="24">
        <v>46056.456145949072</v>
      </c>
      <c r="AE207">
        <v>1</v>
      </c>
      <c r="AF207" s="24"/>
      <c r="AG207" s="24"/>
      <c r="AH207" s="24"/>
      <c r="AI207" s="24"/>
      <c r="AK207" s="24"/>
      <c r="AL207" s="24"/>
      <c r="AM207" s="24"/>
      <c r="AN207" s="24"/>
      <c r="AP207" s="24"/>
      <c r="AQ207" s="24"/>
      <c r="AR207" s="24">
        <v>46030.53955833333</v>
      </c>
      <c r="AS207" s="24">
        <v>46030.53955833333</v>
      </c>
      <c r="AX207" s="24"/>
      <c r="AY207" s="24"/>
      <c r="AZ207" s="24"/>
      <c r="BA207" s="24"/>
      <c r="BC207" s="24"/>
      <c r="BD207" s="24"/>
      <c r="BE207" s="24"/>
      <c r="BF207" s="24"/>
      <c r="BH207" s="24">
        <v>46030.53955833333</v>
      </c>
      <c r="BI207" s="24">
        <v>46030.53955833333</v>
      </c>
      <c r="BJ207" s="24">
        <v>46043.401598518518</v>
      </c>
      <c r="BK207" s="24">
        <v>46043.401598518518</v>
      </c>
      <c r="BL207">
        <v>1</v>
      </c>
      <c r="BM207" s="24"/>
      <c r="BN207" s="24"/>
      <c r="BO207" s="24"/>
      <c r="BP207" s="24"/>
      <c r="BR207" s="24">
        <v>46056.456145949072</v>
      </c>
      <c r="BS207" s="24">
        <v>46056.456145949072</v>
      </c>
      <c r="BT207" s="24">
        <v>46056.466880659726</v>
      </c>
      <c r="BU207" s="24">
        <v>46056.466880659726</v>
      </c>
      <c r="BV207">
        <v>1</v>
      </c>
      <c r="BW207" s="24"/>
      <c r="BX207" s="24"/>
      <c r="BY207" s="24"/>
      <c r="BZ207" s="24"/>
      <c r="CB207" s="24"/>
      <c r="CC207" s="24"/>
      <c r="CE207" s="24">
        <v>46056.466880659726</v>
      </c>
      <c r="CF207" s="24">
        <v>46056.466880659726</v>
      </c>
      <c r="CG207">
        <v>1</v>
      </c>
      <c r="CH207" s="24"/>
      <c r="CI207" s="24"/>
      <c r="CJ207" s="24"/>
      <c r="CK207" s="24"/>
      <c r="DE207" s="24"/>
      <c r="DF207" s="24"/>
      <c r="DG207" s="24"/>
      <c r="DH207" s="24"/>
      <c r="DJ207" t="s">
        <v>149</v>
      </c>
      <c r="DK207" t="s">
        <v>149</v>
      </c>
      <c r="DM207">
        <v>26</v>
      </c>
      <c r="DN207">
        <v>14</v>
      </c>
      <c r="DQ207" t="s">
        <v>1000</v>
      </c>
      <c r="DR207" t="s">
        <v>149</v>
      </c>
      <c r="DS207" s="24">
        <v>46160.384426226854</v>
      </c>
    </row>
    <row r="208" spans="1:123" x14ac:dyDescent="0.3">
      <c r="A208" t="s">
        <v>268</v>
      </c>
      <c r="D208" t="s">
        <v>223</v>
      </c>
      <c r="E208" s="24">
        <v>46028.426076388889</v>
      </c>
      <c r="G208" t="s">
        <v>90</v>
      </c>
      <c r="H208" t="s">
        <v>155</v>
      </c>
      <c r="I208" s="24">
        <v>46058.483845104165</v>
      </c>
      <c r="J208" s="24">
        <v>46058.483845104165</v>
      </c>
      <c r="K208" s="24">
        <v>46058.483991319445</v>
      </c>
      <c r="L208" s="24">
        <v>46058.483991319445</v>
      </c>
      <c r="M208">
        <v>1</v>
      </c>
      <c r="N208" s="24">
        <v>46034.407658611111</v>
      </c>
      <c r="O208" s="24">
        <v>46034.407658611111</v>
      </c>
      <c r="P208" s="24">
        <v>46058.483845104165</v>
      </c>
      <c r="Q208" s="24">
        <v>46058.483845104165</v>
      </c>
      <c r="R208">
        <v>1</v>
      </c>
      <c r="V208" s="24"/>
      <c r="W208" s="24"/>
      <c r="X208" s="24"/>
      <c r="Y208" s="24"/>
      <c r="AA208" s="24">
        <v>46085.32053503472</v>
      </c>
      <c r="AB208" s="24">
        <v>46029.404076388892</v>
      </c>
      <c r="AC208" s="24">
        <v>46034.407658611111</v>
      </c>
      <c r="AD208" s="24">
        <v>46087.344268148147</v>
      </c>
      <c r="AE208">
        <v>2</v>
      </c>
      <c r="AF208" s="24"/>
      <c r="AG208" s="24"/>
      <c r="AH208" s="24"/>
      <c r="AI208" s="24"/>
      <c r="AK208" s="24"/>
      <c r="AL208" s="24"/>
      <c r="AM208" s="24"/>
      <c r="AN208" s="24"/>
      <c r="AP208" s="24"/>
      <c r="AQ208" s="24"/>
      <c r="AR208" s="24">
        <v>46028.428712766203</v>
      </c>
      <c r="AS208" s="24">
        <v>46028.428712766203</v>
      </c>
      <c r="AX208" s="24"/>
      <c r="AY208" s="24"/>
      <c r="AZ208" s="24"/>
      <c r="BA208" s="24"/>
      <c r="BC208" s="24"/>
      <c r="BD208" s="24"/>
      <c r="BE208" s="24"/>
      <c r="BF208" s="24"/>
      <c r="BH208" s="24">
        <v>46063.35664302083</v>
      </c>
      <c r="BI208" s="24">
        <v>46028.428712766203</v>
      </c>
      <c r="BJ208" s="24">
        <v>46029.404076388892</v>
      </c>
      <c r="BK208" s="24">
        <v>46085.32053503472</v>
      </c>
      <c r="BL208">
        <v>2</v>
      </c>
      <c r="BM208" s="24"/>
      <c r="BN208" s="24"/>
      <c r="BO208" s="24"/>
      <c r="BP208" s="24"/>
      <c r="BR208" s="24">
        <v>46087.344268148147</v>
      </c>
      <c r="BS208" s="24">
        <v>46087.344268148147</v>
      </c>
      <c r="BT208" s="24">
        <v>46087.561450659719</v>
      </c>
      <c r="BU208" s="24">
        <v>46087.561450659719</v>
      </c>
      <c r="BV208">
        <v>1</v>
      </c>
      <c r="BW208" s="24">
        <v>46058.483991319445</v>
      </c>
      <c r="BX208" s="24">
        <v>46058.483991319445</v>
      </c>
      <c r="BY208" s="24">
        <v>46063.35664302083</v>
      </c>
      <c r="BZ208" s="24">
        <v>46063.35664302083</v>
      </c>
      <c r="CA208">
        <v>1</v>
      </c>
      <c r="CB208" s="24"/>
      <c r="CC208" s="24"/>
      <c r="CE208" s="24">
        <v>46087.561450659719</v>
      </c>
      <c r="CF208" s="24">
        <v>46087.561450659719</v>
      </c>
      <c r="CG208">
        <v>1</v>
      </c>
      <c r="CH208" s="24"/>
      <c r="CI208" s="24"/>
      <c r="CJ208" s="24"/>
      <c r="CK208" s="24"/>
      <c r="DE208" s="24"/>
      <c r="DF208" s="24"/>
      <c r="DG208" s="24"/>
      <c r="DH208" s="24"/>
      <c r="DJ208" t="s">
        <v>149</v>
      </c>
      <c r="DK208" t="s">
        <v>149</v>
      </c>
      <c r="DL208">
        <v>24.076186458333332</v>
      </c>
      <c r="DM208">
        <v>60</v>
      </c>
      <c r="DN208">
        <v>59</v>
      </c>
      <c r="DQ208" t="s">
        <v>1000</v>
      </c>
      <c r="DR208" t="s">
        <v>149</v>
      </c>
      <c r="DS208" s="24">
        <v>46160.384426226854</v>
      </c>
    </row>
    <row r="209" spans="1:123" x14ac:dyDescent="0.3">
      <c r="A209" t="s">
        <v>461</v>
      </c>
      <c r="D209" t="s">
        <v>223</v>
      </c>
      <c r="E209" s="24">
        <v>46028.354930555557</v>
      </c>
      <c r="G209" t="s">
        <v>90</v>
      </c>
      <c r="H209" t="s">
        <v>155</v>
      </c>
      <c r="I209" s="24"/>
      <c r="J209" s="24"/>
      <c r="K209" s="24"/>
      <c r="L209" s="24"/>
      <c r="N209" s="24"/>
      <c r="O209" s="24"/>
      <c r="P209" s="24"/>
      <c r="Q209" s="24"/>
      <c r="V209" s="24"/>
      <c r="W209" s="24"/>
      <c r="X209" s="24"/>
      <c r="Y209" s="24"/>
      <c r="AA209" s="24">
        <v>46029.381689236114</v>
      </c>
      <c r="AB209" s="24">
        <v>46029.381689236114</v>
      </c>
      <c r="AC209" s="24">
        <v>46042.400417534722</v>
      </c>
      <c r="AD209" s="24">
        <v>46042.400417534722</v>
      </c>
      <c r="AE209">
        <v>1</v>
      </c>
      <c r="AF209" s="24"/>
      <c r="AG209" s="24"/>
      <c r="AH209" s="24"/>
      <c r="AI209" s="24"/>
      <c r="AK209" s="24"/>
      <c r="AL209" s="24"/>
      <c r="AM209" s="24"/>
      <c r="AN209" s="24"/>
      <c r="AP209" s="24"/>
      <c r="AQ209" s="24"/>
      <c r="AR209" s="24">
        <v>46028.355340023147</v>
      </c>
      <c r="AS209" s="24">
        <v>46028.355340023147</v>
      </c>
      <c r="AX209" s="24"/>
      <c r="AY209" s="24"/>
      <c r="AZ209" s="24"/>
      <c r="BA209" s="24"/>
      <c r="BC209" s="24"/>
      <c r="BD209" s="24"/>
      <c r="BE209" s="24"/>
      <c r="BF209" s="24"/>
      <c r="BH209" s="24">
        <v>46028.355340023147</v>
      </c>
      <c r="BI209" s="24">
        <v>46028.355340023147</v>
      </c>
      <c r="BJ209" s="24">
        <v>46029.381689236114</v>
      </c>
      <c r="BK209" s="24">
        <v>46029.381689236114</v>
      </c>
      <c r="BL209">
        <v>1</v>
      </c>
      <c r="BM209" s="24"/>
      <c r="BN209" s="24"/>
      <c r="BO209" s="24"/>
      <c r="BP209" s="24"/>
      <c r="BR209" s="24"/>
      <c r="BS209" s="24"/>
      <c r="BT209" s="24"/>
      <c r="BU209" s="24"/>
      <c r="BW209" s="24"/>
      <c r="BX209" s="24"/>
      <c r="BY209" s="24"/>
      <c r="BZ209" s="24"/>
      <c r="CB209" s="24"/>
      <c r="CC209" s="24"/>
      <c r="CE209" s="24">
        <v>46042.400417534722</v>
      </c>
      <c r="CF209" s="24">
        <v>46042.400417534722</v>
      </c>
      <c r="CG209">
        <v>1</v>
      </c>
      <c r="CH209" s="24"/>
      <c r="CI209" s="24"/>
      <c r="CJ209" s="24"/>
      <c r="CK209" s="24"/>
      <c r="DE209" s="24"/>
      <c r="DF209" s="24"/>
      <c r="DG209" s="24"/>
      <c r="DH209" s="24"/>
      <c r="DJ209" t="s">
        <v>149</v>
      </c>
      <c r="DK209" t="s">
        <v>149</v>
      </c>
      <c r="DM209">
        <v>15</v>
      </c>
      <c r="DN209">
        <v>14</v>
      </c>
      <c r="DQ209" t="s">
        <v>1000</v>
      </c>
      <c r="DR209" t="s">
        <v>149</v>
      </c>
      <c r="DS209" s="24">
        <v>46160.384426226854</v>
      </c>
    </row>
    <row r="210" spans="1:123" x14ac:dyDescent="0.3">
      <c r="A210" t="s">
        <v>462</v>
      </c>
      <c r="D210" t="s">
        <v>223</v>
      </c>
      <c r="E210" s="24">
        <v>46028.337233796294</v>
      </c>
      <c r="G210" t="s">
        <v>90</v>
      </c>
      <c r="H210" t="s">
        <v>155</v>
      </c>
      <c r="I210" s="24"/>
      <c r="J210" s="24"/>
      <c r="K210" s="24"/>
      <c r="L210" s="24"/>
      <c r="N210" s="24"/>
      <c r="O210" s="24"/>
      <c r="P210" s="24"/>
      <c r="Q210" s="24"/>
      <c r="V210" s="24"/>
      <c r="W210" s="24"/>
      <c r="X210" s="24"/>
      <c r="Y210" s="24"/>
      <c r="AA210" s="24">
        <v>46059.529003333337</v>
      </c>
      <c r="AB210" s="24">
        <v>46051.504458692129</v>
      </c>
      <c r="AC210" s="24">
        <v>46059.528706851852</v>
      </c>
      <c r="AD210" s="24">
        <v>46073.390185034725</v>
      </c>
      <c r="AE210">
        <v>2</v>
      </c>
      <c r="AF210" s="24">
        <v>46073.390185034725</v>
      </c>
      <c r="AG210" s="24">
        <v>46059.528706851852</v>
      </c>
      <c r="AH210" s="24">
        <v>46059.529003333337</v>
      </c>
      <c r="AI210" s="24">
        <v>46073.390755034721</v>
      </c>
      <c r="AJ210">
        <v>2</v>
      </c>
      <c r="AK210" s="24"/>
      <c r="AL210" s="24"/>
      <c r="AM210" s="24"/>
      <c r="AN210" s="24"/>
      <c r="AP210" s="24"/>
      <c r="AQ210" s="24"/>
      <c r="AR210" s="24">
        <v>46028.338880104166</v>
      </c>
      <c r="AS210" s="24">
        <v>46028.338880104166</v>
      </c>
      <c r="AX210" s="24"/>
      <c r="AY210" s="24"/>
      <c r="AZ210" s="24"/>
      <c r="BA210" s="24"/>
      <c r="BC210" s="24"/>
      <c r="BD210" s="24"/>
      <c r="BE210" s="24"/>
      <c r="BF210" s="24"/>
      <c r="BH210" s="24">
        <v>46028.338880104166</v>
      </c>
      <c r="BI210" s="24">
        <v>46028.338880104166</v>
      </c>
      <c r="BJ210" s="24">
        <v>46051.504458692129</v>
      </c>
      <c r="BK210" s="24">
        <v>46051.504458692129</v>
      </c>
      <c r="BL210">
        <v>1</v>
      </c>
      <c r="BM210" s="24"/>
      <c r="BN210" s="24"/>
      <c r="BO210" s="24"/>
      <c r="BP210" s="24"/>
      <c r="BR210" s="24">
        <v>46073.390755034721</v>
      </c>
      <c r="BS210" s="24">
        <v>46073.390755034721</v>
      </c>
      <c r="BT210" s="24">
        <v>46073.397664201388</v>
      </c>
      <c r="BU210" s="24">
        <v>46073.397664201388</v>
      </c>
      <c r="BV210">
        <v>1</v>
      </c>
      <c r="BW210" s="24"/>
      <c r="BX210" s="24"/>
      <c r="BY210" s="24"/>
      <c r="BZ210" s="24"/>
      <c r="CB210" s="24"/>
      <c r="CC210" s="24"/>
      <c r="CE210" s="24">
        <v>46073.397664201388</v>
      </c>
      <c r="CF210" s="24">
        <v>46073.397664201388</v>
      </c>
      <c r="CG210">
        <v>1</v>
      </c>
      <c r="CH210" s="24"/>
      <c r="CI210" s="24"/>
      <c r="CJ210" s="24"/>
      <c r="CK210" s="24"/>
      <c r="DE210" s="24"/>
      <c r="DF210" s="24"/>
      <c r="DG210" s="24"/>
      <c r="DH210" s="24"/>
      <c r="DJ210" t="s">
        <v>149</v>
      </c>
      <c r="DK210" t="s">
        <v>149</v>
      </c>
      <c r="DM210">
        <v>46</v>
      </c>
      <c r="DN210">
        <v>22</v>
      </c>
      <c r="DQ210" t="s">
        <v>1000</v>
      </c>
      <c r="DR210" t="s">
        <v>149</v>
      </c>
      <c r="DS210" s="24">
        <v>46160.384426226854</v>
      </c>
    </row>
    <row r="211" spans="1:123" x14ac:dyDescent="0.3">
      <c r="A211" t="s">
        <v>463</v>
      </c>
      <c r="D211" t="s">
        <v>223</v>
      </c>
      <c r="E211" s="24">
        <v>46027.718981481485</v>
      </c>
      <c r="G211" t="s">
        <v>90</v>
      </c>
      <c r="H211" t="s">
        <v>155</v>
      </c>
      <c r="I211" s="24"/>
      <c r="J211" s="24"/>
      <c r="K211" s="24"/>
      <c r="L211" s="24"/>
      <c r="N211" s="24"/>
      <c r="O211" s="24"/>
      <c r="P211" s="24"/>
      <c r="Q211" s="24"/>
      <c r="V211" s="24"/>
      <c r="W211" s="24"/>
      <c r="X211" s="24"/>
      <c r="Y211" s="24"/>
      <c r="AA211" s="24">
        <v>46030.411252557868</v>
      </c>
      <c r="AB211" s="24">
        <v>46030.411252557868</v>
      </c>
      <c r="AC211" s="24">
        <v>46034.598880497688</v>
      </c>
      <c r="AD211" s="24">
        <v>46034.598880497688</v>
      </c>
      <c r="AE211">
        <v>1</v>
      </c>
      <c r="AF211" s="24"/>
      <c r="AG211" s="24"/>
      <c r="AH211" s="24"/>
      <c r="AI211" s="24"/>
      <c r="AK211" s="24"/>
      <c r="AL211" s="24"/>
      <c r="AM211" s="24"/>
      <c r="AN211" s="24"/>
      <c r="AP211" s="24"/>
      <c r="AQ211" s="24"/>
      <c r="AR211" s="24">
        <v>46029.330857395835</v>
      </c>
      <c r="AS211" s="24">
        <v>46029.330857395835</v>
      </c>
      <c r="AX211" s="24"/>
      <c r="AY211" s="24"/>
      <c r="AZ211" s="24"/>
      <c r="BA211" s="24"/>
      <c r="BC211" s="24"/>
      <c r="BD211" s="24"/>
      <c r="BE211" s="24"/>
      <c r="BF211" s="24"/>
      <c r="BH211" s="24">
        <v>46029.330857395835</v>
      </c>
      <c r="BI211" s="24">
        <v>46029.330857395835</v>
      </c>
      <c r="BJ211" s="24">
        <v>46030.411252557868</v>
      </c>
      <c r="BK211" s="24">
        <v>46030.411252557868</v>
      </c>
      <c r="BL211">
        <v>1</v>
      </c>
      <c r="BM211" s="24"/>
      <c r="BN211" s="24"/>
      <c r="BO211" s="24"/>
      <c r="BP211" s="24"/>
      <c r="BR211" s="24">
        <v>46034.598880497688</v>
      </c>
      <c r="BS211" s="24">
        <v>46034.598880497688</v>
      </c>
      <c r="BT211" s="24">
        <v>46035.398715497686</v>
      </c>
      <c r="BU211" s="24">
        <v>46035.398715497686</v>
      </c>
      <c r="BV211">
        <v>1</v>
      </c>
      <c r="BW211" s="24"/>
      <c r="BX211" s="24"/>
      <c r="BY211" s="24"/>
      <c r="BZ211" s="24"/>
      <c r="CB211" s="24"/>
      <c r="CC211" s="24"/>
      <c r="CE211" s="24">
        <v>46035.398715497686</v>
      </c>
      <c r="CF211" s="24">
        <v>46035.398715497686</v>
      </c>
      <c r="CG211">
        <v>1</v>
      </c>
      <c r="CH211" s="24"/>
      <c r="CI211" s="24"/>
      <c r="CJ211" s="24"/>
      <c r="CK211" s="24"/>
      <c r="DE211" s="24"/>
      <c r="DF211" s="24"/>
      <c r="DG211" s="24"/>
      <c r="DH211" s="24"/>
      <c r="DJ211" t="s">
        <v>149</v>
      </c>
      <c r="DK211" t="s">
        <v>149</v>
      </c>
      <c r="DM211">
        <v>7</v>
      </c>
      <c r="DN211">
        <v>5</v>
      </c>
      <c r="DQ211" t="s">
        <v>1000</v>
      </c>
      <c r="DR211" t="s">
        <v>149</v>
      </c>
      <c r="DS211" s="24">
        <v>46160.384426226854</v>
      </c>
    </row>
    <row r="212" spans="1:123" x14ac:dyDescent="0.3">
      <c r="A212" t="s">
        <v>269</v>
      </c>
      <c r="D212" t="s">
        <v>223</v>
      </c>
      <c r="E212" s="24">
        <v>46027.71429398148</v>
      </c>
      <c r="G212" t="s">
        <v>107</v>
      </c>
      <c r="H212" t="s">
        <v>154</v>
      </c>
      <c r="I212" s="24">
        <v>46073.351504768521</v>
      </c>
      <c r="J212" s="24">
        <v>46073.351504768521</v>
      </c>
      <c r="K212" s="24">
        <v>46073.363441805559</v>
      </c>
      <c r="L212" s="24">
        <v>46073.363441805559</v>
      </c>
      <c r="M212">
        <v>1</v>
      </c>
      <c r="N212" s="24">
        <v>46036.337963217593</v>
      </c>
      <c r="O212" s="24">
        <v>46036.337963217593</v>
      </c>
      <c r="P212" s="24">
        <v>46073.351504768521</v>
      </c>
      <c r="Q212" s="24">
        <v>46073.351504768521</v>
      </c>
      <c r="R212">
        <v>1</v>
      </c>
      <c r="V212" s="24"/>
      <c r="W212" s="24"/>
      <c r="X212" s="24"/>
      <c r="Y212" s="24"/>
      <c r="AA212" s="24">
        <v>46029.379224594908</v>
      </c>
      <c r="AB212" s="24">
        <v>46029.379224594908</v>
      </c>
      <c r="AC212" s="24">
        <v>46036.337963217593</v>
      </c>
      <c r="AD212" s="24">
        <v>46036.337963217593</v>
      </c>
      <c r="AE212">
        <v>1</v>
      </c>
      <c r="AF212" s="24"/>
      <c r="AG212" s="24"/>
      <c r="AH212" s="24"/>
      <c r="AI212" s="24"/>
      <c r="AK212" s="24"/>
      <c r="AL212" s="24"/>
      <c r="AM212" s="24"/>
      <c r="AN212" s="24"/>
      <c r="AP212" s="24"/>
      <c r="AQ212" s="24"/>
      <c r="AR212" s="24">
        <v>46029.330655300924</v>
      </c>
      <c r="AS212" s="24">
        <v>46029.330655300924</v>
      </c>
      <c r="AX212" s="24"/>
      <c r="AY212" s="24"/>
      <c r="AZ212" s="24"/>
      <c r="BA212" s="24"/>
      <c r="BC212" s="24"/>
      <c r="BD212" s="24"/>
      <c r="BE212" s="24"/>
      <c r="BF212" s="24"/>
      <c r="BH212" s="24">
        <v>46154.559394791664</v>
      </c>
      <c r="BI212" s="24">
        <v>46029.330655300924</v>
      </c>
      <c r="BJ212" s="24">
        <v>46029.379224594908</v>
      </c>
      <c r="BK212" s="24">
        <v>46029.379224594908</v>
      </c>
      <c r="BL212">
        <v>2</v>
      </c>
      <c r="BM212" s="24"/>
      <c r="BN212" s="24"/>
      <c r="BO212" s="24"/>
      <c r="BP212" s="24"/>
      <c r="BR212" s="24"/>
      <c r="BS212" s="24"/>
      <c r="BT212" s="24"/>
      <c r="BU212" s="24"/>
      <c r="BW212" s="24">
        <v>46073.363441805559</v>
      </c>
      <c r="BX212" s="24">
        <v>46073.363441805559</v>
      </c>
      <c r="BY212" s="24">
        <v>46154.559394791664</v>
      </c>
      <c r="BZ212" s="24">
        <v>46154.559394791664</v>
      </c>
      <c r="CA212">
        <v>1</v>
      </c>
      <c r="CB212" s="24"/>
      <c r="CC212" s="24"/>
      <c r="CE212" s="24"/>
      <c r="CF212" s="24"/>
      <c r="CH212" s="24"/>
      <c r="CI212" s="24"/>
      <c r="CJ212" s="24"/>
      <c r="CK212" s="24"/>
      <c r="DE212" s="24"/>
      <c r="DF212" s="24"/>
      <c r="DG212" s="24"/>
      <c r="DH212" s="24"/>
      <c r="DJ212" t="s">
        <v>149</v>
      </c>
      <c r="DK212" t="s">
        <v>149</v>
      </c>
      <c r="DO212">
        <v>132</v>
      </c>
      <c r="DP212">
        <v>6</v>
      </c>
      <c r="DQ212" t="s">
        <v>1000</v>
      </c>
      <c r="DR212" t="s">
        <v>149</v>
      </c>
      <c r="DS212" s="24">
        <v>46160.384426226854</v>
      </c>
    </row>
    <row r="213" spans="1:123" x14ac:dyDescent="0.3">
      <c r="A213" t="s">
        <v>464</v>
      </c>
      <c r="D213" t="s">
        <v>223</v>
      </c>
      <c r="E213" s="24">
        <v>46027.603912037041</v>
      </c>
      <c r="G213" t="s">
        <v>90</v>
      </c>
      <c r="H213" t="s">
        <v>155</v>
      </c>
      <c r="I213" s="24"/>
      <c r="J213" s="24"/>
      <c r="K213" s="24"/>
      <c r="L213" s="24"/>
      <c r="N213" s="24"/>
      <c r="O213" s="24"/>
      <c r="P213" s="24"/>
      <c r="Q213" s="24"/>
      <c r="V213" s="24"/>
      <c r="W213" s="24"/>
      <c r="X213" s="24"/>
      <c r="Y213" s="24"/>
      <c r="AA213" s="24">
        <v>46038.325230787035</v>
      </c>
      <c r="AB213" s="24">
        <v>46038.325230787035</v>
      </c>
      <c r="AC213" s="24">
        <v>46055.404633136575</v>
      </c>
      <c r="AD213" s="24">
        <v>46055.404633136575</v>
      </c>
      <c r="AE213">
        <v>1</v>
      </c>
      <c r="AF213" s="24">
        <v>46055.404633136575</v>
      </c>
      <c r="AG213" s="24">
        <v>46055.404633136575</v>
      </c>
      <c r="AH213" s="24">
        <v>46055.405675497685</v>
      </c>
      <c r="AI213" s="24">
        <v>46055.405675497685</v>
      </c>
      <c r="AJ213">
        <v>1</v>
      </c>
      <c r="AK213" s="24"/>
      <c r="AL213" s="24"/>
      <c r="AM213" s="24"/>
      <c r="AN213" s="24"/>
      <c r="AP213" s="24"/>
      <c r="AQ213" s="24"/>
      <c r="AR213" s="24">
        <v>46038.32508959491</v>
      </c>
      <c r="AS213" s="24">
        <v>46038.32508959491</v>
      </c>
      <c r="AX213" s="24"/>
      <c r="AY213" s="24"/>
      <c r="AZ213" s="24"/>
      <c r="BA213" s="24"/>
      <c r="BC213" s="24"/>
      <c r="BD213" s="24"/>
      <c r="BE213" s="24"/>
      <c r="BF213" s="24"/>
      <c r="BH213" s="24">
        <v>46038.32508959491</v>
      </c>
      <c r="BI213" s="24">
        <v>46038.32508959491</v>
      </c>
      <c r="BJ213" s="24">
        <v>46038.325230787035</v>
      </c>
      <c r="BK213" s="24">
        <v>46038.325230787035</v>
      </c>
      <c r="BL213">
        <v>1</v>
      </c>
      <c r="BM213" s="24"/>
      <c r="BN213" s="24"/>
      <c r="BO213" s="24"/>
      <c r="BP213" s="24"/>
      <c r="BR213" s="24">
        <v>46055.405675497685</v>
      </c>
      <c r="BS213" s="24">
        <v>46055.405675497685</v>
      </c>
      <c r="BT213" s="24">
        <v>46055.405779837965</v>
      </c>
      <c r="BU213" s="24">
        <v>46055.405779837965</v>
      </c>
      <c r="BV213">
        <v>1</v>
      </c>
      <c r="BW213" s="24"/>
      <c r="BX213" s="24"/>
      <c r="BY213" s="24"/>
      <c r="BZ213" s="24"/>
      <c r="CB213" s="24"/>
      <c r="CC213" s="24"/>
      <c r="CE213" s="24">
        <v>46055.405779837965</v>
      </c>
      <c r="CF213" s="24">
        <v>46055.405779837965</v>
      </c>
      <c r="CG213">
        <v>1</v>
      </c>
      <c r="CH213" s="24"/>
      <c r="CI213" s="24"/>
      <c r="CJ213" s="24"/>
      <c r="CK213" s="24"/>
      <c r="DE213" s="24"/>
      <c r="DF213" s="24"/>
      <c r="DG213" s="24"/>
      <c r="DH213" s="24"/>
      <c r="DJ213" t="s">
        <v>149</v>
      </c>
      <c r="DK213" t="s">
        <v>149</v>
      </c>
      <c r="DM213">
        <v>18</v>
      </c>
      <c r="DN213">
        <v>18</v>
      </c>
      <c r="DQ213" t="s">
        <v>1000</v>
      </c>
      <c r="DR213" t="s">
        <v>149</v>
      </c>
      <c r="DS213" s="24">
        <v>46160.384426226854</v>
      </c>
    </row>
    <row r="214" spans="1:123" x14ac:dyDescent="0.3">
      <c r="A214" t="s">
        <v>465</v>
      </c>
      <c r="D214" t="s">
        <v>223</v>
      </c>
      <c r="E214" s="24">
        <v>46027.590868055559</v>
      </c>
      <c r="G214" t="s">
        <v>90</v>
      </c>
      <c r="H214" t="s">
        <v>155</v>
      </c>
      <c r="I214" s="24"/>
      <c r="J214" s="24"/>
      <c r="K214" s="24"/>
      <c r="L214" s="24"/>
      <c r="N214" s="24"/>
      <c r="O214" s="24"/>
      <c r="P214" s="24"/>
      <c r="Q214" s="24"/>
      <c r="V214" s="24"/>
      <c r="W214" s="24"/>
      <c r="X214" s="24"/>
      <c r="Y214" s="24"/>
      <c r="AA214" s="24">
        <v>46029.379283483795</v>
      </c>
      <c r="AB214" s="24">
        <v>46029.379283483795</v>
      </c>
      <c r="AC214" s="24">
        <v>46042.367477488428</v>
      </c>
      <c r="AD214" s="24">
        <v>46042.367477488428</v>
      </c>
      <c r="AE214">
        <v>1</v>
      </c>
      <c r="AF214" s="24"/>
      <c r="AG214" s="24"/>
      <c r="AH214" s="24"/>
      <c r="AI214" s="24"/>
      <c r="AK214" s="24"/>
      <c r="AL214" s="24"/>
      <c r="AM214" s="24"/>
      <c r="AN214" s="24"/>
      <c r="AP214" s="24"/>
      <c r="AQ214" s="24"/>
      <c r="AR214" s="24">
        <v>46028.469130972226</v>
      </c>
      <c r="AS214" s="24">
        <v>46028.469130972226</v>
      </c>
      <c r="AX214" s="24"/>
      <c r="AY214" s="24"/>
      <c r="AZ214" s="24"/>
      <c r="BA214" s="24"/>
      <c r="BC214" s="24"/>
      <c r="BD214" s="24"/>
      <c r="BE214" s="24"/>
      <c r="BF214" s="24"/>
      <c r="BH214" s="24">
        <v>46028.469130972226</v>
      </c>
      <c r="BI214" s="24">
        <v>46028.469130972226</v>
      </c>
      <c r="BJ214" s="24">
        <v>46029.379283483795</v>
      </c>
      <c r="BK214" s="24">
        <v>46029.379283483795</v>
      </c>
      <c r="BL214">
        <v>1</v>
      </c>
      <c r="BM214" s="24"/>
      <c r="BN214" s="24"/>
      <c r="BO214" s="24"/>
      <c r="BP214" s="24"/>
      <c r="BR214" s="24">
        <v>46042.367477488428</v>
      </c>
      <c r="BS214" s="24">
        <v>46042.367477488428</v>
      </c>
      <c r="BT214" s="24">
        <v>46042.399894722221</v>
      </c>
      <c r="BU214" s="24">
        <v>46042.399894722221</v>
      </c>
      <c r="BV214">
        <v>1</v>
      </c>
      <c r="BW214" s="24"/>
      <c r="BX214" s="24"/>
      <c r="BY214" s="24"/>
      <c r="BZ214" s="24"/>
      <c r="CB214" s="24"/>
      <c r="CC214" s="24"/>
      <c r="CE214" s="24">
        <v>46042.399894722221</v>
      </c>
      <c r="CF214" s="24">
        <v>46042.399894722221</v>
      </c>
      <c r="CG214">
        <v>1</v>
      </c>
      <c r="CH214" s="24"/>
      <c r="CI214" s="24"/>
      <c r="CJ214" s="24"/>
      <c r="CK214" s="24"/>
      <c r="DE214" s="24"/>
      <c r="DF214" s="24"/>
      <c r="DG214" s="24"/>
      <c r="DH214" s="24"/>
      <c r="DJ214" t="s">
        <v>149</v>
      </c>
      <c r="DK214" t="s">
        <v>149</v>
      </c>
      <c r="DM214">
        <v>14</v>
      </c>
      <c r="DN214">
        <v>14</v>
      </c>
      <c r="DQ214" t="s">
        <v>1000</v>
      </c>
      <c r="DR214" t="s">
        <v>149</v>
      </c>
      <c r="DS214" s="24">
        <v>46160.384426226854</v>
      </c>
    </row>
    <row r="215" spans="1:123" x14ac:dyDescent="0.3">
      <c r="A215" t="s">
        <v>466</v>
      </c>
      <c r="D215" t="s">
        <v>225</v>
      </c>
      <c r="E215" s="24">
        <v>46020.548078703701</v>
      </c>
      <c r="G215" t="s">
        <v>90</v>
      </c>
      <c r="H215" t="s">
        <v>155</v>
      </c>
      <c r="I215" s="24"/>
      <c r="J215" s="24"/>
      <c r="K215" s="24"/>
      <c r="L215" s="24"/>
      <c r="N215" s="24"/>
      <c r="O215" s="24"/>
      <c r="P215" s="24"/>
      <c r="Q215" s="24"/>
      <c r="V215" s="24"/>
      <c r="W215" s="24"/>
      <c r="X215" s="24"/>
      <c r="Y215" s="24"/>
      <c r="AA215" s="24">
        <v>46020.558359432871</v>
      </c>
      <c r="AB215" s="24">
        <v>46020.558359432871</v>
      </c>
      <c r="AC215" s="24">
        <v>46031.563466956017</v>
      </c>
      <c r="AD215" s="24">
        <v>46031.563466956017</v>
      </c>
      <c r="AE215">
        <v>1</v>
      </c>
      <c r="AF215" s="24">
        <v>46031.563466956017</v>
      </c>
      <c r="AG215" s="24">
        <v>46031.563466956017</v>
      </c>
      <c r="AH215" s="24">
        <v>46036.38285037037</v>
      </c>
      <c r="AI215" s="24">
        <v>46036.38285037037</v>
      </c>
      <c r="AJ215">
        <v>1</v>
      </c>
      <c r="AK215" s="24">
        <v>46036.38285037037</v>
      </c>
      <c r="AL215" s="24">
        <v>46036.38285037037</v>
      </c>
      <c r="AM215" s="24">
        <v>46038.42326236111</v>
      </c>
      <c r="AN215" s="24">
        <v>46038.42326236111</v>
      </c>
      <c r="AO215">
        <v>1</v>
      </c>
      <c r="AP215" s="24"/>
      <c r="AQ215" s="24"/>
      <c r="AR215" s="24">
        <v>46020.558271134258</v>
      </c>
      <c r="AS215" s="24">
        <v>46020.558271134258</v>
      </c>
      <c r="AX215" s="24"/>
      <c r="AY215" s="24"/>
      <c r="AZ215" s="24"/>
      <c r="BA215" s="24"/>
      <c r="BC215" s="24">
        <v>46038.423385034723</v>
      </c>
      <c r="BD215" s="24">
        <v>46038.423385034723</v>
      </c>
      <c r="BE215" s="24">
        <v>46041.620751087961</v>
      </c>
      <c r="BF215" s="24">
        <v>46041.620751087961</v>
      </c>
      <c r="BG215">
        <v>1</v>
      </c>
      <c r="BH215" s="24">
        <v>46020.558271134258</v>
      </c>
      <c r="BI215" s="24">
        <v>46020.558271134258</v>
      </c>
      <c r="BJ215" s="24">
        <v>46020.558359432871</v>
      </c>
      <c r="BK215" s="24">
        <v>46020.558359432871</v>
      </c>
      <c r="BL215">
        <v>1</v>
      </c>
      <c r="BM215" s="24"/>
      <c r="BN215" s="24"/>
      <c r="BO215" s="24"/>
      <c r="BP215" s="24"/>
      <c r="BR215" s="24">
        <v>46038.42326236111</v>
      </c>
      <c r="BS215" s="24">
        <v>46038.42326236111</v>
      </c>
      <c r="BT215" s="24">
        <v>46038.423385034723</v>
      </c>
      <c r="BU215" s="24">
        <v>46038.423385034723</v>
      </c>
      <c r="BV215">
        <v>1</v>
      </c>
      <c r="BW215" s="24"/>
      <c r="BX215" s="24"/>
      <c r="BY215" s="24"/>
      <c r="BZ215" s="24"/>
      <c r="CB215" s="24"/>
      <c r="CC215" s="24"/>
      <c r="CE215" s="24">
        <v>46041.620751087961</v>
      </c>
      <c r="CF215" s="24">
        <v>46041.620751087961</v>
      </c>
      <c r="CG215">
        <v>1</v>
      </c>
      <c r="CH215" s="24"/>
      <c r="CI215" s="24"/>
      <c r="CJ215" s="24"/>
      <c r="CK215" s="24"/>
      <c r="DE215" s="24"/>
      <c r="DF215" s="24"/>
      <c r="DG215" s="24"/>
      <c r="DH215" s="24"/>
      <c r="DJ215" t="s">
        <v>149</v>
      </c>
      <c r="DK215" t="s">
        <v>149</v>
      </c>
      <c r="DM215">
        <v>22</v>
      </c>
      <c r="DN215">
        <v>22</v>
      </c>
      <c r="DQ215" t="s">
        <v>1000</v>
      </c>
      <c r="DR215" t="s">
        <v>149</v>
      </c>
      <c r="DS215" s="24">
        <v>46160.384426226854</v>
      </c>
    </row>
    <row r="216" spans="1:123" x14ac:dyDescent="0.3">
      <c r="A216" t="s">
        <v>467</v>
      </c>
      <c r="D216" t="s">
        <v>225</v>
      </c>
      <c r="E216" s="24">
        <v>46008.717835648145</v>
      </c>
      <c r="G216" t="s">
        <v>102</v>
      </c>
      <c r="H216" t="s">
        <v>154</v>
      </c>
      <c r="I216" s="24"/>
      <c r="J216" s="24"/>
      <c r="K216" s="24"/>
      <c r="L216" s="24"/>
      <c r="N216" s="24"/>
      <c r="O216" s="24"/>
      <c r="P216" s="24"/>
      <c r="Q216" s="24"/>
      <c r="V216" s="24"/>
      <c r="W216" s="24"/>
      <c r="X216" s="24"/>
      <c r="Y216" s="24"/>
      <c r="AA216" s="24"/>
      <c r="AB216" s="24"/>
      <c r="AC216" s="24"/>
      <c r="AD216" s="24"/>
      <c r="AF216" s="24"/>
      <c r="AG216" s="24"/>
      <c r="AH216" s="24"/>
      <c r="AI216" s="24"/>
      <c r="AK216" s="24"/>
      <c r="AL216" s="24"/>
      <c r="AM216" s="24"/>
      <c r="AN216" s="24"/>
      <c r="AP216" s="24"/>
      <c r="AQ216" s="24"/>
      <c r="AR216" s="24"/>
      <c r="AS216" s="24"/>
      <c r="AX216" s="24"/>
      <c r="AY216" s="24"/>
      <c r="AZ216" s="24"/>
      <c r="BA216" s="24"/>
      <c r="BC216" s="24"/>
      <c r="BD216" s="24"/>
      <c r="BE216" s="24"/>
      <c r="BF216" s="24"/>
      <c r="BH216" s="24"/>
      <c r="BI216" s="24"/>
      <c r="BJ216" s="24"/>
      <c r="BK216" s="24"/>
      <c r="BM216" s="24"/>
      <c r="BN216" s="24"/>
      <c r="BO216" s="24"/>
      <c r="BP216" s="24"/>
      <c r="BR216" s="24"/>
      <c r="BS216" s="24"/>
      <c r="BT216" s="24"/>
      <c r="BU216" s="24"/>
      <c r="BW216" s="24"/>
      <c r="BX216" s="24"/>
      <c r="BY216" s="24"/>
      <c r="BZ216" s="24"/>
      <c r="CB216" s="24"/>
      <c r="CC216" s="24"/>
      <c r="CE216" s="24"/>
      <c r="CF216" s="24"/>
      <c r="CH216" s="24"/>
      <c r="CI216" s="24"/>
      <c r="CJ216" s="24"/>
      <c r="CK216" s="24"/>
      <c r="DE216" s="24"/>
      <c r="DF216" s="24"/>
      <c r="DG216" s="24"/>
      <c r="DH216" s="24"/>
      <c r="DJ216" t="s">
        <v>149</v>
      </c>
      <c r="DK216" t="s">
        <v>149</v>
      </c>
      <c r="DQ216" t="s">
        <v>1000</v>
      </c>
      <c r="DR216" t="s">
        <v>149</v>
      </c>
      <c r="DS216" s="24">
        <v>46160.384426226854</v>
      </c>
    </row>
    <row r="217" spans="1:123" x14ac:dyDescent="0.3">
      <c r="A217" t="s">
        <v>468</v>
      </c>
      <c r="D217" t="s">
        <v>224</v>
      </c>
      <c r="E217" s="24">
        <v>46007.507037037038</v>
      </c>
      <c r="G217" t="s">
        <v>90</v>
      </c>
      <c r="H217" t="s">
        <v>155</v>
      </c>
      <c r="I217" s="24"/>
      <c r="J217" s="24"/>
      <c r="K217" s="24"/>
      <c r="L217" s="24"/>
      <c r="N217" s="24"/>
      <c r="O217" s="24"/>
      <c r="P217" s="24"/>
      <c r="Q217" s="24"/>
      <c r="V217" s="24"/>
      <c r="W217" s="24"/>
      <c r="X217" s="24"/>
      <c r="Y217" s="24"/>
      <c r="AA217" s="24">
        <v>46008.412751736112</v>
      </c>
      <c r="AB217" s="24">
        <v>46008.412751736112</v>
      </c>
      <c r="AC217" s="24">
        <v>46008.542679293983</v>
      </c>
      <c r="AD217" s="24">
        <v>46008.542679293983</v>
      </c>
      <c r="AE217">
        <v>1</v>
      </c>
      <c r="AF217" s="24">
        <v>46008.542679293983</v>
      </c>
      <c r="AG217" s="24">
        <v>46008.542679293983</v>
      </c>
      <c r="AH217" s="24">
        <v>46008.54375128472</v>
      </c>
      <c r="AI217" s="24">
        <v>46008.54375128472</v>
      </c>
      <c r="AJ217">
        <v>1</v>
      </c>
      <c r="AK217" s="24">
        <v>46008.54375128472</v>
      </c>
      <c r="AL217" s="24">
        <v>46008.54375128472</v>
      </c>
      <c r="AM217" s="24">
        <v>46008.544010613427</v>
      </c>
      <c r="AN217" s="24">
        <v>46008.544010613427</v>
      </c>
      <c r="AO217">
        <v>1</v>
      </c>
      <c r="AP217" s="24"/>
      <c r="AQ217" s="24"/>
      <c r="AR217" s="24">
        <v>46007.698757986109</v>
      </c>
      <c r="AS217" s="24">
        <v>46007.698757986109</v>
      </c>
      <c r="AX217" s="24"/>
      <c r="AY217" s="24"/>
      <c r="AZ217" s="24"/>
      <c r="BA217" s="24"/>
      <c r="BC217" s="24">
        <v>46008.546835995374</v>
      </c>
      <c r="BD217" s="24">
        <v>46008.544253275461</v>
      </c>
      <c r="BE217" s="24">
        <v>46008.546546134261</v>
      </c>
      <c r="BF217" s="24">
        <v>46008.652026400465</v>
      </c>
      <c r="BG217">
        <v>2</v>
      </c>
      <c r="BH217" s="24">
        <v>46007.698757986109</v>
      </c>
      <c r="BI217" s="24">
        <v>46007.698757986109</v>
      </c>
      <c r="BJ217" s="24">
        <v>46008.412751736112</v>
      </c>
      <c r="BK217" s="24">
        <v>46008.412751736112</v>
      </c>
      <c r="BL217">
        <v>1</v>
      </c>
      <c r="BM217" s="24"/>
      <c r="BN217" s="24"/>
      <c r="BO217" s="24"/>
      <c r="BP217" s="24"/>
      <c r="BR217" s="24">
        <v>46008.546546134261</v>
      </c>
      <c r="BS217" s="24">
        <v>46008.544010613427</v>
      </c>
      <c r="BT217" s="24">
        <v>46008.544253275461</v>
      </c>
      <c r="BU217" s="24">
        <v>46008.546835995374</v>
      </c>
      <c r="BV217">
        <v>2</v>
      </c>
      <c r="BW217" s="24"/>
      <c r="BX217" s="24"/>
      <c r="BY217" s="24"/>
      <c r="BZ217" s="24"/>
      <c r="CB217" s="24"/>
      <c r="CC217" s="24"/>
      <c r="CE217" s="24">
        <v>46008.652026400465</v>
      </c>
      <c r="CF217" s="24">
        <v>46008.652026400465</v>
      </c>
      <c r="CG217">
        <v>1</v>
      </c>
      <c r="CH217" s="24"/>
      <c r="CI217" s="24"/>
      <c r="CJ217" s="24"/>
      <c r="CK217" s="24"/>
      <c r="DE217" s="24"/>
      <c r="DF217" s="24"/>
      <c r="DG217" s="24"/>
      <c r="DH217" s="24"/>
      <c r="DJ217" t="s">
        <v>149</v>
      </c>
      <c r="DK217" t="s">
        <v>149</v>
      </c>
      <c r="DM217">
        <v>1</v>
      </c>
      <c r="DN217">
        <v>1</v>
      </c>
      <c r="DQ217" t="s">
        <v>1000</v>
      </c>
      <c r="DR217" t="s">
        <v>149</v>
      </c>
      <c r="DS217" s="24">
        <v>46160.384426226854</v>
      </c>
    </row>
    <row r="218" spans="1:123" x14ac:dyDescent="0.3">
      <c r="A218" t="s">
        <v>469</v>
      </c>
      <c r="D218" t="s">
        <v>223</v>
      </c>
      <c r="E218" s="24">
        <v>46006.577986111108</v>
      </c>
      <c r="G218" t="s">
        <v>102</v>
      </c>
      <c r="H218" t="s">
        <v>154</v>
      </c>
      <c r="I218" s="24"/>
      <c r="J218" s="24"/>
      <c r="K218" s="24"/>
      <c r="L218" s="24"/>
      <c r="N218" s="24"/>
      <c r="O218" s="24"/>
      <c r="P218" s="24"/>
      <c r="Q218" s="24"/>
      <c r="V218" s="24"/>
      <c r="W218" s="24"/>
      <c r="X218" s="24"/>
      <c r="Y218" s="24"/>
      <c r="AA218" s="24"/>
      <c r="AB218" s="24"/>
      <c r="AC218" s="24"/>
      <c r="AD218" s="24"/>
      <c r="AF218" s="24"/>
      <c r="AG218" s="24"/>
      <c r="AH218" s="24"/>
      <c r="AI218" s="24"/>
      <c r="AK218" s="24"/>
      <c r="AL218" s="24"/>
      <c r="AM218" s="24"/>
      <c r="AN218" s="24"/>
      <c r="AP218" s="24"/>
      <c r="AQ218" s="24"/>
      <c r="AR218" s="24"/>
      <c r="AS218" s="24"/>
      <c r="AX218" s="24"/>
      <c r="AY218" s="24"/>
      <c r="AZ218" s="24"/>
      <c r="BA218" s="24"/>
      <c r="BC218" s="24"/>
      <c r="BD218" s="24"/>
      <c r="BE218" s="24"/>
      <c r="BF218" s="24"/>
      <c r="BH218" s="24"/>
      <c r="BI218" s="24"/>
      <c r="BJ218" s="24"/>
      <c r="BK218" s="24"/>
      <c r="BM218" s="24"/>
      <c r="BN218" s="24"/>
      <c r="BO218" s="24"/>
      <c r="BP218" s="24"/>
      <c r="BR218" s="24"/>
      <c r="BS218" s="24"/>
      <c r="BT218" s="24"/>
      <c r="BU218" s="24"/>
      <c r="BW218" s="24"/>
      <c r="BX218" s="24"/>
      <c r="BY218" s="24"/>
      <c r="BZ218" s="24"/>
      <c r="CB218" s="24"/>
      <c r="CC218" s="24"/>
      <c r="CE218" s="24"/>
      <c r="CF218" s="24"/>
      <c r="CH218" s="24"/>
      <c r="CI218" s="24"/>
      <c r="CJ218" s="24"/>
      <c r="CK218" s="24"/>
      <c r="DE218" s="24"/>
      <c r="DF218" s="24"/>
      <c r="DG218" s="24"/>
      <c r="DH218" s="24"/>
      <c r="DJ218" t="s">
        <v>149</v>
      </c>
      <c r="DK218" t="s">
        <v>149</v>
      </c>
      <c r="DQ218" t="s">
        <v>1000</v>
      </c>
      <c r="DR218" t="s">
        <v>149</v>
      </c>
      <c r="DS218" s="24">
        <v>46160.384426226854</v>
      </c>
    </row>
    <row r="219" spans="1:123" x14ac:dyDescent="0.3">
      <c r="A219" t="s">
        <v>470</v>
      </c>
      <c r="D219" t="s">
        <v>223</v>
      </c>
      <c r="E219" s="24">
        <v>46003.522303240738</v>
      </c>
      <c r="G219" t="s">
        <v>90</v>
      </c>
      <c r="H219" t="s">
        <v>155</v>
      </c>
      <c r="I219" s="24"/>
      <c r="J219" s="24"/>
      <c r="K219" s="24"/>
      <c r="L219" s="24"/>
      <c r="N219" s="24"/>
      <c r="O219" s="24"/>
      <c r="P219" s="24"/>
      <c r="Q219" s="24"/>
      <c r="V219" s="24"/>
      <c r="W219" s="24"/>
      <c r="X219" s="24"/>
      <c r="Y219" s="24"/>
      <c r="AA219" s="24">
        <v>46091.404993090277</v>
      </c>
      <c r="AB219" s="24">
        <v>46091.404993090277</v>
      </c>
      <c r="AC219" s="24">
        <v>46112.429179629631</v>
      </c>
      <c r="AD219" s="24">
        <v>46112.429179629631</v>
      </c>
      <c r="AE219">
        <v>1</v>
      </c>
      <c r="AF219" s="24"/>
      <c r="AG219" s="24"/>
      <c r="AH219" s="24"/>
      <c r="AI219" s="24"/>
      <c r="AK219" s="24"/>
      <c r="AL219" s="24"/>
      <c r="AM219" s="24"/>
      <c r="AN219" s="24"/>
      <c r="AP219" s="24"/>
      <c r="AQ219" s="24"/>
      <c r="AR219" s="24">
        <v>46085.321359270834</v>
      </c>
      <c r="AS219" s="24">
        <v>46085.321359270834</v>
      </c>
      <c r="AX219" s="24"/>
      <c r="AY219" s="24"/>
      <c r="AZ219" s="24"/>
      <c r="BA219" s="24"/>
      <c r="BC219" s="24"/>
      <c r="BD219" s="24"/>
      <c r="BE219" s="24"/>
      <c r="BF219" s="24"/>
      <c r="BH219" s="24">
        <v>46085.321359270834</v>
      </c>
      <c r="BI219" s="24">
        <v>46085.321359270834</v>
      </c>
      <c r="BJ219" s="24">
        <v>46091.404993090277</v>
      </c>
      <c r="BK219" s="24">
        <v>46091.404993090277</v>
      </c>
      <c r="BL219">
        <v>1</v>
      </c>
      <c r="BM219" s="24"/>
      <c r="BN219" s="24"/>
      <c r="BO219" s="24"/>
      <c r="BP219" s="24"/>
      <c r="BR219" s="24">
        <v>46112.429179629631</v>
      </c>
      <c r="BS219" s="24">
        <v>46112.429179629631</v>
      </c>
      <c r="BT219" s="24">
        <v>46112.429224097221</v>
      </c>
      <c r="BU219" s="24">
        <v>46112.429224097221</v>
      </c>
      <c r="BV219">
        <v>1</v>
      </c>
      <c r="BW219" s="24"/>
      <c r="BX219" s="24"/>
      <c r="BY219" s="24"/>
      <c r="BZ219" s="24"/>
      <c r="CB219" s="24"/>
      <c r="CC219" s="24"/>
      <c r="CE219" s="24">
        <v>46112.429224097221</v>
      </c>
      <c r="CF219" s="24">
        <v>46112.429224097221</v>
      </c>
      <c r="CG219">
        <v>1</v>
      </c>
      <c r="CH219" s="24"/>
      <c r="CI219" s="24"/>
      <c r="CJ219" s="24"/>
      <c r="CK219" s="24"/>
      <c r="DE219" s="24"/>
      <c r="DF219" s="24"/>
      <c r="DG219" s="24"/>
      <c r="DH219" s="24"/>
      <c r="DJ219" t="s">
        <v>149</v>
      </c>
      <c r="DK219" t="s">
        <v>149</v>
      </c>
      <c r="DM219">
        <v>28</v>
      </c>
      <c r="DN219">
        <v>22</v>
      </c>
      <c r="DQ219" t="s">
        <v>1000</v>
      </c>
      <c r="DR219" t="s">
        <v>149</v>
      </c>
      <c r="DS219" s="24">
        <v>46160.384426226854</v>
      </c>
    </row>
    <row r="220" spans="1:123" x14ac:dyDescent="0.3">
      <c r="A220" t="s">
        <v>471</v>
      </c>
      <c r="D220" t="s">
        <v>223</v>
      </c>
      <c r="E220" s="24">
        <v>46003.502222222225</v>
      </c>
      <c r="G220" t="s">
        <v>90</v>
      </c>
      <c r="H220" t="s">
        <v>155</v>
      </c>
      <c r="I220" s="24"/>
      <c r="J220" s="24"/>
      <c r="K220" s="24"/>
      <c r="L220" s="24"/>
      <c r="N220" s="24"/>
      <c r="O220" s="24"/>
      <c r="P220" s="24"/>
      <c r="Q220" s="24"/>
      <c r="V220" s="24"/>
      <c r="W220" s="24"/>
      <c r="X220" s="24"/>
      <c r="Y220" s="24"/>
      <c r="AA220" s="24">
        <v>46006.641333912034</v>
      </c>
      <c r="AB220" s="24">
        <v>46006.641333912034</v>
      </c>
      <c r="AC220" s="24">
        <v>46006.681289976848</v>
      </c>
      <c r="AD220" s="24">
        <v>46006.681289976848</v>
      </c>
      <c r="AE220">
        <v>1</v>
      </c>
      <c r="AF220" s="24">
        <v>46006.681289976848</v>
      </c>
      <c r="AG220" s="24">
        <v>46006.681289976848</v>
      </c>
      <c r="AH220" s="24">
        <v>46008.411850243057</v>
      </c>
      <c r="AI220" s="24">
        <v>46008.411850243057</v>
      </c>
      <c r="AJ220">
        <v>1</v>
      </c>
      <c r="AK220" s="24"/>
      <c r="AL220" s="24"/>
      <c r="AM220" s="24"/>
      <c r="AN220" s="24"/>
      <c r="AP220" s="24"/>
      <c r="AQ220" s="24"/>
      <c r="AR220" s="24">
        <v>46006.633310578705</v>
      </c>
      <c r="AS220" s="24">
        <v>46006.633310578705</v>
      </c>
      <c r="AX220" s="24"/>
      <c r="AY220" s="24"/>
      <c r="AZ220" s="24"/>
      <c r="BA220" s="24"/>
      <c r="BC220" s="24"/>
      <c r="BD220" s="24"/>
      <c r="BE220" s="24"/>
      <c r="BF220" s="24"/>
      <c r="BH220" s="24">
        <v>46006.633310578705</v>
      </c>
      <c r="BI220" s="24">
        <v>46006.633310578705</v>
      </c>
      <c r="BJ220" s="24">
        <v>46006.641333912034</v>
      </c>
      <c r="BK220" s="24">
        <v>46006.641333912034</v>
      </c>
      <c r="BL220">
        <v>1</v>
      </c>
      <c r="BM220" s="24"/>
      <c r="BN220" s="24"/>
      <c r="BO220" s="24"/>
      <c r="BP220" s="24"/>
      <c r="BR220" s="24">
        <v>46008.411850243057</v>
      </c>
      <c r="BS220" s="24">
        <v>46008.411850243057</v>
      </c>
      <c r="BT220" s="24">
        <v>46008.411885185182</v>
      </c>
      <c r="BU220" s="24">
        <v>46008.411885185182</v>
      </c>
      <c r="BV220">
        <v>1</v>
      </c>
      <c r="BW220" s="24"/>
      <c r="BX220" s="24"/>
      <c r="BY220" s="24"/>
      <c r="BZ220" s="24"/>
      <c r="CB220" s="24"/>
      <c r="CC220" s="24"/>
      <c r="CE220" s="24">
        <v>46008.411885185182</v>
      </c>
      <c r="CF220" s="24">
        <v>46008.411885185182</v>
      </c>
      <c r="CG220">
        <v>1</v>
      </c>
      <c r="CH220" s="24"/>
      <c r="CI220" s="24"/>
      <c r="CJ220" s="24"/>
      <c r="CK220" s="24"/>
      <c r="DE220" s="24"/>
      <c r="DF220" s="24"/>
      <c r="DG220" s="24"/>
      <c r="DH220" s="24"/>
      <c r="DJ220" t="s">
        <v>149</v>
      </c>
      <c r="DK220" t="s">
        <v>149</v>
      </c>
      <c r="DM220">
        <v>2</v>
      </c>
      <c r="DN220">
        <v>2</v>
      </c>
      <c r="DQ220" t="s">
        <v>1000</v>
      </c>
      <c r="DR220" t="s">
        <v>149</v>
      </c>
      <c r="DS220" s="24">
        <v>46160.384426226854</v>
      </c>
    </row>
    <row r="221" spans="1:123" x14ac:dyDescent="0.3">
      <c r="A221" t="s">
        <v>472</v>
      </c>
      <c r="D221" t="s">
        <v>223</v>
      </c>
      <c r="E221" s="24">
        <v>46003.444513888891</v>
      </c>
      <c r="G221" t="s">
        <v>90</v>
      </c>
      <c r="H221" t="s">
        <v>155</v>
      </c>
      <c r="I221" s="24"/>
      <c r="J221" s="24"/>
      <c r="K221" s="24"/>
      <c r="L221" s="24"/>
      <c r="N221" s="24"/>
      <c r="O221" s="24"/>
      <c r="P221" s="24"/>
      <c r="Q221" s="24"/>
      <c r="V221" s="24"/>
      <c r="W221" s="24"/>
      <c r="X221" s="24"/>
      <c r="Y221" s="24"/>
      <c r="AA221" s="24">
        <v>46006.643633148145</v>
      </c>
      <c r="AB221" s="24">
        <v>46006.643633148145</v>
      </c>
      <c r="AC221" s="24">
        <v>46006.675602060182</v>
      </c>
      <c r="AD221" s="24">
        <v>46006.675602060182</v>
      </c>
      <c r="AE221">
        <v>1</v>
      </c>
      <c r="AF221" s="24">
        <v>46006.675602060182</v>
      </c>
      <c r="AG221" s="24">
        <v>46006.675602060182</v>
      </c>
      <c r="AH221" s="24">
        <v>46008.412397245367</v>
      </c>
      <c r="AI221" s="24">
        <v>46008.412397245367</v>
      </c>
      <c r="AJ221">
        <v>1</v>
      </c>
      <c r="AK221" s="24"/>
      <c r="AL221" s="24"/>
      <c r="AM221" s="24"/>
      <c r="AN221" s="24"/>
      <c r="AP221" s="24"/>
      <c r="AQ221" s="24"/>
      <c r="AR221" s="24">
        <v>46003.520890312502</v>
      </c>
      <c r="AS221" s="24">
        <v>46003.520890312502</v>
      </c>
      <c r="AX221" s="24"/>
      <c r="AY221" s="24"/>
      <c r="AZ221" s="24"/>
      <c r="BA221" s="24"/>
      <c r="BC221" s="24"/>
      <c r="BD221" s="24"/>
      <c r="BE221" s="24"/>
      <c r="BF221" s="24"/>
      <c r="BH221" s="24">
        <v>46003.520890312502</v>
      </c>
      <c r="BI221" s="24">
        <v>46003.520890312502</v>
      </c>
      <c r="BJ221" s="24">
        <v>46006.643633148145</v>
      </c>
      <c r="BK221" s="24">
        <v>46006.643633148145</v>
      </c>
      <c r="BL221">
        <v>1</v>
      </c>
      <c r="BM221" s="24"/>
      <c r="BN221" s="24"/>
      <c r="BO221" s="24"/>
      <c r="BP221" s="24"/>
      <c r="BR221" s="24">
        <v>46008.412397245367</v>
      </c>
      <c r="BS221" s="24">
        <v>46008.412397245367</v>
      </c>
      <c r="BT221" s="24">
        <v>46008.412432048608</v>
      </c>
      <c r="BU221" s="24">
        <v>46008.412432048608</v>
      </c>
      <c r="BV221">
        <v>1</v>
      </c>
      <c r="BW221" s="24"/>
      <c r="BX221" s="24"/>
      <c r="BY221" s="24"/>
      <c r="BZ221" s="24"/>
      <c r="CB221" s="24"/>
      <c r="CC221" s="24"/>
      <c r="CE221" s="24">
        <v>46008.412432048608</v>
      </c>
      <c r="CF221" s="24">
        <v>46008.412432048608</v>
      </c>
      <c r="CG221">
        <v>1</v>
      </c>
      <c r="CH221" s="24"/>
      <c r="CI221" s="24"/>
      <c r="CJ221" s="24"/>
      <c r="CK221" s="24"/>
      <c r="DE221" s="24"/>
      <c r="DF221" s="24"/>
      <c r="DG221" s="24"/>
      <c r="DH221" s="24"/>
      <c r="DJ221" t="s">
        <v>149</v>
      </c>
      <c r="DK221" t="s">
        <v>149</v>
      </c>
      <c r="DM221">
        <v>5</v>
      </c>
      <c r="DN221">
        <v>2</v>
      </c>
      <c r="DQ221" t="s">
        <v>1000</v>
      </c>
      <c r="DR221" t="s">
        <v>149</v>
      </c>
      <c r="DS221" s="24">
        <v>46160.384426226854</v>
      </c>
    </row>
    <row r="222" spans="1:123" x14ac:dyDescent="0.3">
      <c r="A222" t="s">
        <v>473</v>
      </c>
      <c r="D222" t="s">
        <v>223</v>
      </c>
      <c r="E222" s="24">
        <v>46003.429236111115</v>
      </c>
      <c r="G222" t="s">
        <v>150</v>
      </c>
      <c r="H222" t="s">
        <v>155</v>
      </c>
      <c r="I222" s="24"/>
      <c r="J222" s="24"/>
      <c r="K222" s="24"/>
      <c r="L222" s="24"/>
      <c r="N222" s="24"/>
      <c r="O222" s="24"/>
      <c r="P222" s="24"/>
      <c r="Q222" s="24"/>
      <c r="V222" s="24"/>
      <c r="W222" s="24"/>
      <c r="X222" s="24"/>
      <c r="Y222" s="24"/>
      <c r="AA222" s="24"/>
      <c r="AB222" s="24"/>
      <c r="AC222" s="24"/>
      <c r="AD222" s="24"/>
      <c r="AF222" s="24"/>
      <c r="AG222" s="24"/>
      <c r="AH222" s="24"/>
      <c r="AI222" s="24"/>
      <c r="AK222" s="24"/>
      <c r="AL222" s="24"/>
      <c r="AM222" s="24"/>
      <c r="AN222" s="24"/>
      <c r="AP222" s="24"/>
      <c r="AQ222" s="24"/>
      <c r="AR222" s="24">
        <v>46073.620735752316</v>
      </c>
      <c r="AS222" s="24">
        <v>46073.620735752316</v>
      </c>
      <c r="AX222" s="24"/>
      <c r="AY222" s="24"/>
      <c r="AZ222" s="24"/>
      <c r="BA222" s="24"/>
      <c r="BC222" s="24"/>
      <c r="BD222" s="24"/>
      <c r="BE222" s="24"/>
      <c r="BF222" s="24"/>
      <c r="BH222" s="24"/>
      <c r="BI222" s="24"/>
      <c r="BJ222" s="24"/>
      <c r="BK222" s="24"/>
      <c r="BM222" s="24"/>
      <c r="BN222" s="24"/>
      <c r="BO222" s="24"/>
      <c r="BP222" s="24"/>
      <c r="BR222" s="24"/>
      <c r="BS222" s="24"/>
      <c r="BT222" s="24"/>
      <c r="BU222" s="24"/>
      <c r="BW222" s="24"/>
      <c r="BX222" s="24"/>
      <c r="BY222" s="24"/>
      <c r="BZ222" s="24"/>
      <c r="CB222" s="24">
        <v>46073.620735752316</v>
      </c>
      <c r="CC222" s="24">
        <v>46073.620735752316</v>
      </c>
      <c r="CD222">
        <v>1</v>
      </c>
      <c r="CE222" s="24"/>
      <c r="CF222" s="24"/>
      <c r="CH222" s="24"/>
      <c r="CI222" s="24"/>
      <c r="CJ222" s="24"/>
      <c r="CK222" s="24"/>
      <c r="DE222" s="24"/>
      <c r="DF222" s="24"/>
      <c r="DG222" s="24"/>
      <c r="DH222" s="24"/>
      <c r="DJ222" t="s">
        <v>149</v>
      </c>
      <c r="DK222" t="s">
        <v>149</v>
      </c>
      <c r="DQ222" t="s">
        <v>1000</v>
      </c>
      <c r="DR222" t="s">
        <v>149</v>
      </c>
      <c r="DS222" s="24">
        <v>46160.384426226854</v>
      </c>
    </row>
    <row r="223" spans="1:123" x14ac:dyDescent="0.3">
      <c r="A223" t="s">
        <v>474</v>
      </c>
      <c r="D223" t="s">
        <v>225</v>
      </c>
      <c r="E223" s="24">
        <v>46003.398958333331</v>
      </c>
      <c r="G223" t="s">
        <v>90</v>
      </c>
      <c r="H223" t="s">
        <v>155</v>
      </c>
      <c r="I223" s="24"/>
      <c r="J223" s="24"/>
      <c r="K223" s="24"/>
      <c r="L223" s="24"/>
      <c r="N223" s="24"/>
      <c r="O223" s="24"/>
      <c r="P223" s="24"/>
      <c r="Q223" s="24"/>
      <c r="V223" s="24"/>
      <c r="W223" s="24"/>
      <c r="X223" s="24"/>
      <c r="Y223" s="24"/>
      <c r="AA223" s="24">
        <v>46006.439257118058</v>
      </c>
      <c r="AB223" s="24">
        <v>46006.439257118058</v>
      </c>
      <c r="AC223" s="24">
        <v>46006.441863321757</v>
      </c>
      <c r="AD223" s="24">
        <v>46006.441863321757</v>
      </c>
      <c r="AE223">
        <v>1</v>
      </c>
      <c r="AF223" s="24">
        <v>46006.441863321757</v>
      </c>
      <c r="AG223" s="24">
        <v>46006.441863321757</v>
      </c>
      <c r="AH223" s="24">
        <v>46006.4418997338</v>
      </c>
      <c r="AI223" s="24">
        <v>46006.4418997338</v>
      </c>
      <c r="AJ223">
        <v>1</v>
      </c>
      <c r="AK223" s="24">
        <v>46006.4418997338</v>
      </c>
      <c r="AL223" s="24">
        <v>46006.4418997338</v>
      </c>
      <c r="AM223" s="24">
        <v>46006.441934456016</v>
      </c>
      <c r="AN223" s="24">
        <v>46006.441934456016</v>
      </c>
      <c r="AO223">
        <v>1</v>
      </c>
      <c r="AP223" s="24"/>
      <c r="AQ223" s="24"/>
      <c r="AR223" s="24">
        <v>46006.363665798614</v>
      </c>
      <c r="AS223" s="24">
        <v>46006.363665798614</v>
      </c>
      <c r="AX223" s="24"/>
      <c r="AY223" s="24"/>
      <c r="AZ223" s="24"/>
      <c r="BA223" s="24"/>
      <c r="BC223" s="24">
        <v>46006.442293298613</v>
      </c>
      <c r="BD223" s="24">
        <v>46006.442293298613</v>
      </c>
      <c r="BE223" s="24">
        <v>46008.549859155093</v>
      </c>
      <c r="BF223" s="24">
        <v>46008.549859155093</v>
      </c>
      <c r="BG223">
        <v>1</v>
      </c>
      <c r="BH223" s="24">
        <v>46006.363665798614</v>
      </c>
      <c r="BI223" s="24">
        <v>46006.363665798614</v>
      </c>
      <c r="BJ223" s="24">
        <v>46006.439257118058</v>
      </c>
      <c r="BK223" s="24">
        <v>46006.439257118058</v>
      </c>
      <c r="BL223">
        <v>1</v>
      </c>
      <c r="BM223" s="24"/>
      <c r="BN223" s="24"/>
      <c r="BO223" s="24"/>
      <c r="BP223" s="24"/>
      <c r="BR223" s="24">
        <v>46006.441934456016</v>
      </c>
      <c r="BS223" s="24">
        <v>46006.441934456016</v>
      </c>
      <c r="BT223" s="24">
        <v>46006.442293298613</v>
      </c>
      <c r="BU223" s="24">
        <v>46006.442293298613</v>
      </c>
      <c r="BV223">
        <v>1</v>
      </c>
      <c r="BW223" s="24"/>
      <c r="BX223" s="24"/>
      <c r="BY223" s="24"/>
      <c r="BZ223" s="24"/>
      <c r="CB223" s="24"/>
      <c r="CC223" s="24"/>
      <c r="CE223" s="24">
        <v>46008.549859155093</v>
      </c>
      <c r="CF223" s="24">
        <v>46008.549859155093</v>
      </c>
      <c r="CG223">
        <v>1</v>
      </c>
      <c r="CH223" s="24"/>
      <c r="CI223" s="24"/>
      <c r="CJ223" s="24"/>
      <c r="CK223" s="24"/>
      <c r="DE223" s="24"/>
      <c r="DF223" s="24"/>
      <c r="DG223" s="24"/>
      <c r="DH223" s="24"/>
      <c r="DJ223" t="s">
        <v>149</v>
      </c>
      <c r="DK223" t="s">
        <v>149</v>
      </c>
      <c r="DM223">
        <v>3</v>
      </c>
      <c r="DN223">
        <v>3</v>
      </c>
      <c r="DQ223" t="s">
        <v>1000</v>
      </c>
      <c r="DR223" t="s">
        <v>149</v>
      </c>
      <c r="DS223" s="24">
        <v>46160.384426226854</v>
      </c>
    </row>
    <row r="224" spans="1:123" x14ac:dyDescent="0.3">
      <c r="A224" t="s">
        <v>475</v>
      </c>
      <c r="D224" t="s">
        <v>223</v>
      </c>
      <c r="E224" s="24">
        <v>46003.372824074075</v>
      </c>
      <c r="G224" t="s">
        <v>90</v>
      </c>
      <c r="H224" t="s">
        <v>155</v>
      </c>
      <c r="I224" s="24"/>
      <c r="J224" s="24"/>
      <c r="K224" s="24"/>
      <c r="L224" s="24"/>
      <c r="N224" s="24"/>
      <c r="O224" s="24"/>
      <c r="P224" s="24"/>
      <c r="Q224" s="24"/>
      <c r="V224" s="24"/>
      <c r="W224" s="24"/>
      <c r="X224" s="24"/>
      <c r="Y224" s="24"/>
      <c r="AA224" s="24">
        <v>46073.578614861108</v>
      </c>
      <c r="AB224" s="24">
        <v>46073.578614861108</v>
      </c>
      <c r="AC224" s="24">
        <v>46080.387673599536</v>
      </c>
      <c r="AD224" s="24">
        <v>46080.387673599536</v>
      </c>
      <c r="AE224">
        <v>1</v>
      </c>
      <c r="AF224" s="24">
        <v>46080.387673599536</v>
      </c>
      <c r="AG224" s="24">
        <v>46080.387673599536</v>
      </c>
      <c r="AH224" s="24">
        <v>46083.549080173609</v>
      </c>
      <c r="AI224" s="24">
        <v>46083.549080173609</v>
      </c>
      <c r="AJ224">
        <v>1</v>
      </c>
      <c r="AK224" s="24"/>
      <c r="AL224" s="24"/>
      <c r="AM224" s="24"/>
      <c r="AN224" s="24"/>
      <c r="AP224" s="24"/>
      <c r="AQ224" s="24"/>
      <c r="AR224" s="24">
        <v>46029.329727557873</v>
      </c>
      <c r="AS224" s="24">
        <v>46029.329727557873</v>
      </c>
      <c r="AX224" s="24"/>
      <c r="AY224" s="24"/>
      <c r="AZ224" s="24"/>
      <c r="BA224" s="24"/>
      <c r="BC224" s="24"/>
      <c r="BD224" s="24"/>
      <c r="BE224" s="24"/>
      <c r="BF224" s="24"/>
      <c r="BH224" s="24">
        <v>46029.329727557873</v>
      </c>
      <c r="BI224" s="24">
        <v>46029.329727557873</v>
      </c>
      <c r="BJ224" s="24">
        <v>46073.578614861108</v>
      </c>
      <c r="BK224" s="24">
        <v>46073.578614861108</v>
      </c>
      <c r="BL224">
        <v>1</v>
      </c>
      <c r="BM224" s="24"/>
      <c r="BN224" s="24"/>
      <c r="BO224" s="24"/>
      <c r="BP224" s="24"/>
      <c r="BR224" s="24">
        <v>46083.549080173609</v>
      </c>
      <c r="BS224" s="24">
        <v>46083.549080173609</v>
      </c>
      <c r="BT224" s="24">
        <v>46083.589816400461</v>
      </c>
      <c r="BU224" s="24">
        <v>46083.589816400461</v>
      </c>
      <c r="BV224">
        <v>1</v>
      </c>
      <c r="BW224" s="24"/>
      <c r="BX224" s="24"/>
      <c r="BY224" s="24"/>
      <c r="BZ224" s="24"/>
      <c r="CB224" s="24"/>
      <c r="CC224" s="24"/>
      <c r="CE224" s="24">
        <v>46083.589816400461</v>
      </c>
      <c r="CF224" s="24">
        <v>46083.589816400461</v>
      </c>
      <c r="CG224">
        <v>1</v>
      </c>
      <c r="CH224" s="24"/>
      <c r="CI224" s="24"/>
      <c r="CJ224" s="24"/>
      <c r="CK224" s="24"/>
      <c r="DE224" s="24"/>
      <c r="DF224" s="24"/>
      <c r="DG224" s="24"/>
      <c r="DH224" s="24"/>
      <c r="DJ224" t="s">
        <v>149</v>
      </c>
      <c r="DK224" t="s">
        <v>149</v>
      </c>
      <c r="DM224">
        <v>55</v>
      </c>
      <c r="DN224">
        <v>11</v>
      </c>
      <c r="DQ224" t="s">
        <v>1000</v>
      </c>
      <c r="DR224" t="s">
        <v>149</v>
      </c>
      <c r="DS224" s="24">
        <v>46160.384426226854</v>
      </c>
    </row>
    <row r="225" spans="1:123" x14ac:dyDescent="0.3">
      <c r="A225" t="s">
        <v>476</v>
      </c>
      <c r="D225" t="s">
        <v>223</v>
      </c>
      <c r="E225" s="24">
        <v>46000.432372685187</v>
      </c>
      <c r="G225" t="s">
        <v>90</v>
      </c>
      <c r="H225" t="s">
        <v>155</v>
      </c>
      <c r="I225" s="24"/>
      <c r="J225" s="24"/>
      <c r="K225" s="24"/>
      <c r="L225" s="24"/>
      <c r="N225" s="24"/>
      <c r="O225" s="24"/>
      <c r="P225" s="24"/>
      <c r="Q225" s="24"/>
      <c r="V225" s="24"/>
      <c r="W225" s="24"/>
      <c r="X225" s="24"/>
      <c r="Y225" s="24"/>
      <c r="AA225" s="24">
        <v>46029.381289502315</v>
      </c>
      <c r="AB225" s="24">
        <v>46029.381289502315</v>
      </c>
      <c r="AC225" s="24">
        <v>46030.346340960648</v>
      </c>
      <c r="AD225" s="24">
        <v>46030.346340960648</v>
      </c>
      <c r="AE225">
        <v>1</v>
      </c>
      <c r="AF225" s="24">
        <v>46030.346340960648</v>
      </c>
      <c r="AG225" s="24">
        <v>46030.346340960648</v>
      </c>
      <c r="AH225" s="24">
        <v>46031.399226886577</v>
      </c>
      <c r="AI225" s="24">
        <v>46031.399226886577</v>
      </c>
      <c r="AJ225">
        <v>1</v>
      </c>
      <c r="AK225" s="24"/>
      <c r="AL225" s="24"/>
      <c r="AM225" s="24"/>
      <c r="AN225" s="24"/>
      <c r="AP225" s="24"/>
      <c r="AQ225" s="24"/>
      <c r="AR225" s="24">
        <v>46028.473530092589</v>
      </c>
      <c r="AS225" s="24">
        <v>46028.473530092589</v>
      </c>
      <c r="AX225" s="24"/>
      <c r="AY225" s="24"/>
      <c r="AZ225" s="24"/>
      <c r="BA225" s="24"/>
      <c r="BC225" s="24"/>
      <c r="BD225" s="24"/>
      <c r="BE225" s="24"/>
      <c r="BF225" s="24"/>
      <c r="BH225" s="24">
        <v>46028.473530092589</v>
      </c>
      <c r="BI225" s="24">
        <v>46028.473530092589</v>
      </c>
      <c r="BJ225" s="24">
        <v>46029.381289502315</v>
      </c>
      <c r="BK225" s="24">
        <v>46029.381289502315</v>
      </c>
      <c r="BL225">
        <v>1</v>
      </c>
      <c r="BM225" s="24"/>
      <c r="BN225" s="24"/>
      <c r="BO225" s="24"/>
      <c r="BP225" s="24"/>
      <c r="BR225" s="24">
        <v>46031.399226886577</v>
      </c>
      <c r="BS225" s="24">
        <v>46031.399226886577</v>
      </c>
      <c r="BT225" s="24">
        <v>46031.39929040509</v>
      </c>
      <c r="BU225" s="24">
        <v>46031.39929040509</v>
      </c>
      <c r="BV225">
        <v>1</v>
      </c>
      <c r="BW225" s="24"/>
      <c r="BX225" s="24"/>
      <c r="BY225" s="24"/>
      <c r="BZ225" s="24"/>
      <c r="CB225" s="24"/>
      <c r="CC225" s="24"/>
      <c r="CE225" s="24">
        <v>46031.39929040509</v>
      </c>
      <c r="CF225" s="24">
        <v>46031.39929040509</v>
      </c>
      <c r="CG225">
        <v>1</v>
      </c>
      <c r="CH225" s="24"/>
      <c r="CI225" s="24"/>
      <c r="CJ225" s="24"/>
      <c r="CK225" s="24"/>
      <c r="DE225" s="24"/>
      <c r="DF225" s="24"/>
      <c r="DG225" s="24"/>
      <c r="DH225" s="24"/>
      <c r="DJ225" t="s">
        <v>149</v>
      </c>
      <c r="DK225" t="s">
        <v>149</v>
      </c>
      <c r="DM225">
        <v>3</v>
      </c>
      <c r="DN225">
        <v>3</v>
      </c>
      <c r="DQ225" t="s">
        <v>1000</v>
      </c>
      <c r="DR225" t="s">
        <v>149</v>
      </c>
      <c r="DS225" s="24">
        <v>46160.384426226854</v>
      </c>
    </row>
    <row r="226" spans="1:123" x14ac:dyDescent="0.3">
      <c r="A226" t="s">
        <v>477</v>
      </c>
      <c r="D226" t="s">
        <v>223</v>
      </c>
      <c r="E226" s="24">
        <v>46000.405601851853</v>
      </c>
      <c r="G226" t="s">
        <v>90</v>
      </c>
      <c r="H226" t="s">
        <v>155</v>
      </c>
      <c r="I226" s="24"/>
      <c r="J226" s="24"/>
      <c r="K226" s="24"/>
      <c r="L226" s="24"/>
      <c r="N226" s="24"/>
      <c r="O226" s="24"/>
      <c r="P226" s="24"/>
      <c r="Q226" s="24"/>
      <c r="V226" s="24"/>
      <c r="W226" s="24"/>
      <c r="X226" s="24"/>
      <c r="Y226" s="24"/>
      <c r="AA226" s="24">
        <v>46001.37534914352</v>
      </c>
      <c r="AB226" s="24">
        <v>46001.37534914352</v>
      </c>
      <c r="AC226" s="24">
        <v>46008.413905138892</v>
      </c>
      <c r="AD226" s="24">
        <v>46008.413905138892</v>
      </c>
      <c r="AE226">
        <v>1</v>
      </c>
      <c r="AF226" s="24">
        <v>46008.413905138892</v>
      </c>
      <c r="AG226" s="24">
        <v>46008.413905138892</v>
      </c>
      <c r="AH226" s="24">
        <v>46008.414024224534</v>
      </c>
      <c r="AI226" s="24">
        <v>46008.414024224534</v>
      </c>
      <c r="AJ226">
        <v>1</v>
      </c>
      <c r="AK226" s="24"/>
      <c r="AL226" s="24"/>
      <c r="AM226" s="24"/>
      <c r="AN226" s="24"/>
      <c r="AP226" s="24"/>
      <c r="AQ226" s="24"/>
      <c r="AR226" s="24">
        <v>46000.650855254629</v>
      </c>
      <c r="AS226" s="24">
        <v>46000.650855254629</v>
      </c>
      <c r="AX226" s="24"/>
      <c r="AY226" s="24"/>
      <c r="AZ226" s="24"/>
      <c r="BA226" s="24"/>
      <c r="BC226" s="24"/>
      <c r="BD226" s="24"/>
      <c r="BE226" s="24"/>
      <c r="BF226" s="24"/>
      <c r="BH226" s="24">
        <v>46000.650855254629</v>
      </c>
      <c r="BI226" s="24">
        <v>46000.650855254629</v>
      </c>
      <c r="BJ226" s="24">
        <v>46001.37534914352</v>
      </c>
      <c r="BK226" s="24">
        <v>46001.37534914352</v>
      </c>
      <c r="BL226">
        <v>1</v>
      </c>
      <c r="BM226" s="24"/>
      <c r="BN226" s="24"/>
      <c r="BO226" s="24"/>
      <c r="BP226" s="24"/>
      <c r="BR226" s="24">
        <v>46008.414024224534</v>
      </c>
      <c r="BS226" s="24">
        <v>46008.414024224534</v>
      </c>
      <c r="BT226" s="24">
        <v>46008.414143530092</v>
      </c>
      <c r="BU226" s="24">
        <v>46008.414143530092</v>
      </c>
      <c r="BV226">
        <v>1</v>
      </c>
      <c r="BW226" s="24"/>
      <c r="BX226" s="24"/>
      <c r="BY226" s="24"/>
      <c r="BZ226" s="24"/>
      <c r="CB226" s="24"/>
      <c r="CC226" s="24"/>
      <c r="CE226" s="24">
        <v>46008.414143530092</v>
      </c>
      <c r="CF226" s="24">
        <v>46008.414143530092</v>
      </c>
      <c r="CG226">
        <v>1</v>
      </c>
      <c r="CH226" s="24"/>
      <c r="CI226" s="24"/>
      <c r="CJ226" s="24"/>
      <c r="CK226" s="24"/>
      <c r="DE226" s="24"/>
      <c r="DF226" s="24"/>
      <c r="DG226" s="24"/>
      <c r="DH226" s="24"/>
      <c r="DJ226" t="s">
        <v>149</v>
      </c>
      <c r="DK226" t="s">
        <v>149</v>
      </c>
      <c r="DM226">
        <v>8</v>
      </c>
      <c r="DN226">
        <v>8</v>
      </c>
      <c r="DQ226" t="s">
        <v>1000</v>
      </c>
      <c r="DR226" t="s">
        <v>149</v>
      </c>
      <c r="DS226" s="24">
        <v>46160.384426226854</v>
      </c>
    </row>
    <row r="227" spans="1:123" x14ac:dyDescent="0.3">
      <c r="A227" t="s">
        <v>478</v>
      </c>
      <c r="D227" t="s">
        <v>223</v>
      </c>
      <c r="E227" s="24">
        <v>46000.350682870368</v>
      </c>
      <c r="G227" t="s">
        <v>90</v>
      </c>
      <c r="H227" t="s">
        <v>155</v>
      </c>
      <c r="I227" s="24"/>
      <c r="J227" s="24"/>
      <c r="K227" s="24"/>
      <c r="L227" s="24"/>
      <c r="N227" s="24"/>
      <c r="O227" s="24"/>
      <c r="P227" s="24"/>
      <c r="Q227" s="24"/>
      <c r="V227" s="24"/>
      <c r="W227" s="24"/>
      <c r="X227" s="24"/>
      <c r="Y227" s="24"/>
      <c r="AA227" s="24">
        <v>46085.315808912041</v>
      </c>
      <c r="AB227" s="24">
        <v>46085.315808912041</v>
      </c>
      <c r="AC227" s="24">
        <v>46094.652763993057</v>
      </c>
      <c r="AD227" s="24">
        <v>46094.652763993057</v>
      </c>
      <c r="AE227">
        <v>1</v>
      </c>
      <c r="AF227" s="24">
        <v>46094.652763993057</v>
      </c>
      <c r="AG227" s="24">
        <v>46094.652763993057</v>
      </c>
      <c r="AH227" s="24">
        <v>46098.366182175923</v>
      </c>
      <c r="AI227" s="24">
        <v>46098.366182175923</v>
      </c>
      <c r="AJ227">
        <v>1</v>
      </c>
      <c r="AK227" s="24"/>
      <c r="AL227" s="24"/>
      <c r="AM227" s="24"/>
      <c r="AN227" s="24"/>
      <c r="AP227" s="24"/>
      <c r="AQ227" s="24"/>
      <c r="AR227" s="24">
        <v>46084.603861446762</v>
      </c>
      <c r="AS227" s="24">
        <v>46084.603861446762</v>
      </c>
      <c r="AX227" s="24"/>
      <c r="AY227" s="24"/>
      <c r="AZ227" s="24"/>
      <c r="BA227" s="24"/>
      <c r="BC227" s="24"/>
      <c r="BD227" s="24"/>
      <c r="BE227" s="24"/>
      <c r="BF227" s="24"/>
      <c r="BH227" s="24">
        <v>46084.603861446762</v>
      </c>
      <c r="BI227" s="24">
        <v>46084.603861446762</v>
      </c>
      <c r="BJ227" s="24">
        <v>46085.315808912041</v>
      </c>
      <c r="BK227" s="24">
        <v>46085.315808912041</v>
      </c>
      <c r="BL227">
        <v>1</v>
      </c>
      <c r="BM227" s="24"/>
      <c r="BN227" s="24"/>
      <c r="BO227" s="24"/>
      <c r="BP227" s="24"/>
      <c r="BR227" s="24">
        <v>46098.366182175923</v>
      </c>
      <c r="BS227" s="24">
        <v>46098.366182175923</v>
      </c>
      <c r="BT227" s="24">
        <v>46098.420604340281</v>
      </c>
      <c r="BU227" s="24">
        <v>46098.420604340281</v>
      </c>
      <c r="BV227">
        <v>1</v>
      </c>
      <c r="BW227" s="24"/>
      <c r="BX227" s="24"/>
      <c r="BY227" s="24"/>
      <c r="BZ227" s="24"/>
      <c r="CB227" s="24"/>
      <c r="CC227" s="24"/>
      <c r="CE227" s="24">
        <v>46098.420604340281</v>
      </c>
      <c r="CF227" s="24">
        <v>46098.420604340281</v>
      </c>
      <c r="CG227">
        <v>1</v>
      </c>
      <c r="CH227" s="24"/>
      <c r="CI227" s="24"/>
      <c r="CJ227" s="24"/>
      <c r="CK227" s="24"/>
      <c r="DE227" s="24"/>
      <c r="DF227" s="24"/>
      <c r="DG227" s="24"/>
      <c r="DH227" s="24"/>
      <c r="DJ227" t="s">
        <v>149</v>
      </c>
      <c r="DK227" t="s">
        <v>149</v>
      </c>
      <c r="DM227">
        <v>14</v>
      </c>
      <c r="DN227">
        <v>14</v>
      </c>
      <c r="DQ227" t="s">
        <v>1000</v>
      </c>
      <c r="DR227" t="s">
        <v>149</v>
      </c>
      <c r="DS227" s="24">
        <v>46160.384426226854</v>
      </c>
    </row>
    <row r="228" spans="1:123" x14ac:dyDescent="0.3">
      <c r="A228" t="s">
        <v>479</v>
      </c>
      <c r="D228" t="s">
        <v>223</v>
      </c>
      <c r="E228" s="24">
        <v>46000.343124999999</v>
      </c>
      <c r="G228" t="s">
        <v>90</v>
      </c>
      <c r="H228" t="s">
        <v>155</v>
      </c>
      <c r="I228" s="24"/>
      <c r="J228" s="24"/>
      <c r="K228" s="24"/>
      <c r="L228" s="24"/>
      <c r="N228" s="24"/>
      <c r="O228" s="24"/>
      <c r="P228" s="24"/>
      <c r="Q228" s="24"/>
      <c r="V228" s="24"/>
      <c r="W228" s="24"/>
      <c r="X228" s="24"/>
      <c r="Y228" s="24"/>
      <c r="AA228" s="24">
        <v>46007.335026446759</v>
      </c>
      <c r="AB228" s="24">
        <v>46007.335026446759</v>
      </c>
      <c r="AC228" s="24">
        <v>46007.435663391203</v>
      </c>
      <c r="AD228" s="24">
        <v>46007.435663391203</v>
      </c>
      <c r="AE228">
        <v>1</v>
      </c>
      <c r="AF228" s="24"/>
      <c r="AG228" s="24"/>
      <c r="AH228" s="24"/>
      <c r="AI228" s="24"/>
      <c r="AK228" s="24"/>
      <c r="AL228" s="24"/>
      <c r="AM228" s="24"/>
      <c r="AN228" s="24"/>
      <c r="AP228" s="24"/>
      <c r="AQ228" s="24"/>
      <c r="AR228" s="24">
        <v>46000.680013275465</v>
      </c>
      <c r="AS228" s="24">
        <v>46000.680013275465</v>
      </c>
      <c r="AX228" s="24"/>
      <c r="AY228" s="24"/>
      <c r="AZ228" s="24"/>
      <c r="BA228" s="24"/>
      <c r="BC228" s="24"/>
      <c r="BD228" s="24"/>
      <c r="BE228" s="24"/>
      <c r="BF228" s="24"/>
      <c r="BH228" s="24">
        <v>46000.680013275465</v>
      </c>
      <c r="BI228" s="24">
        <v>46000.680013275465</v>
      </c>
      <c r="BJ228" s="24">
        <v>46007.335026446759</v>
      </c>
      <c r="BK228" s="24">
        <v>46007.335026446759</v>
      </c>
      <c r="BL228">
        <v>1</v>
      </c>
      <c r="BM228" s="24"/>
      <c r="BN228" s="24"/>
      <c r="BO228" s="24"/>
      <c r="BP228" s="24"/>
      <c r="BR228" s="24">
        <v>46007.435663391203</v>
      </c>
      <c r="BS228" s="24">
        <v>46007.435663391203</v>
      </c>
      <c r="BT228" s="24">
        <v>46008.413574965278</v>
      </c>
      <c r="BU228" s="24">
        <v>46008.413574965278</v>
      </c>
      <c r="BV228">
        <v>1</v>
      </c>
      <c r="BW228" s="24"/>
      <c r="BX228" s="24"/>
      <c r="BY228" s="24"/>
      <c r="BZ228" s="24"/>
      <c r="CB228" s="24"/>
      <c r="CC228" s="24"/>
      <c r="CE228" s="24">
        <v>46008.413574965278</v>
      </c>
      <c r="CF228" s="24">
        <v>46008.413574965278</v>
      </c>
      <c r="CG228">
        <v>1</v>
      </c>
      <c r="CH228" s="24"/>
      <c r="CI228" s="24"/>
      <c r="CJ228" s="24"/>
      <c r="CK228" s="24"/>
      <c r="DE228" s="24"/>
      <c r="DF228" s="24"/>
      <c r="DG228" s="24"/>
      <c r="DH228" s="24"/>
      <c r="DJ228" t="s">
        <v>149</v>
      </c>
      <c r="DK228" t="s">
        <v>149</v>
      </c>
      <c r="DM228">
        <v>8</v>
      </c>
      <c r="DN228">
        <v>2</v>
      </c>
      <c r="DQ228" t="s">
        <v>1000</v>
      </c>
      <c r="DR228" t="s">
        <v>149</v>
      </c>
      <c r="DS228" s="24">
        <v>46160.384426226854</v>
      </c>
    </row>
    <row r="229" spans="1:123" x14ac:dyDescent="0.3">
      <c r="A229" t="s">
        <v>480</v>
      </c>
      <c r="D229" t="s">
        <v>223</v>
      </c>
      <c r="E229" s="24">
        <v>45999.701157407406</v>
      </c>
      <c r="G229" t="s">
        <v>90</v>
      </c>
      <c r="H229" t="s">
        <v>155</v>
      </c>
      <c r="I229" s="24"/>
      <c r="J229" s="24"/>
      <c r="K229" s="24"/>
      <c r="L229" s="24"/>
      <c r="N229" s="24"/>
      <c r="O229" s="24"/>
      <c r="P229" s="24"/>
      <c r="Q229" s="24"/>
      <c r="V229" s="24"/>
      <c r="W229" s="24"/>
      <c r="X229" s="24"/>
      <c r="Y229" s="24"/>
      <c r="AA229" s="24">
        <v>46001.379462893521</v>
      </c>
      <c r="AB229" s="24">
        <v>46001.379462893521</v>
      </c>
      <c r="AC229" s="24">
        <v>46028.585236018516</v>
      </c>
      <c r="AD229" s="24">
        <v>46028.585236018516</v>
      </c>
      <c r="AE229">
        <v>1</v>
      </c>
      <c r="AF229" s="24">
        <v>46028.585236018516</v>
      </c>
      <c r="AG229" s="24">
        <v>46028.585236018516</v>
      </c>
      <c r="AH229" s="24">
        <v>46028.585270995369</v>
      </c>
      <c r="AI229" s="24">
        <v>46028.585270995369</v>
      </c>
      <c r="AJ229">
        <v>1</v>
      </c>
      <c r="AK229" s="24"/>
      <c r="AL229" s="24"/>
      <c r="AM229" s="24"/>
      <c r="AN229" s="24"/>
      <c r="AP229" s="24"/>
      <c r="AQ229" s="24"/>
      <c r="AR229" s="24">
        <v>46000.648779131945</v>
      </c>
      <c r="AS229" s="24">
        <v>46000.648779131945</v>
      </c>
      <c r="AX229" s="24"/>
      <c r="AY229" s="24"/>
      <c r="AZ229" s="24"/>
      <c r="BA229" s="24"/>
      <c r="BC229" s="24"/>
      <c r="BD229" s="24"/>
      <c r="BE229" s="24"/>
      <c r="BF229" s="24"/>
      <c r="BH229" s="24">
        <v>46000.648779131945</v>
      </c>
      <c r="BI229" s="24">
        <v>46000.648779131945</v>
      </c>
      <c r="BJ229" s="24">
        <v>46001.379462893521</v>
      </c>
      <c r="BK229" s="24">
        <v>46001.379462893521</v>
      </c>
      <c r="BL229">
        <v>1</v>
      </c>
      <c r="BM229" s="24"/>
      <c r="BN229" s="24"/>
      <c r="BO229" s="24"/>
      <c r="BP229" s="24"/>
      <c r="BR229" s="24">
        <v>46028.585270995369</v>
      </c>
      <c r="BS229" s="24">
        <v>46028.585270995369</v>
      </c>
      <c r="BT229" s="24">
        <v>46028.585317453704</v>
      </c>
      <c r="BU229" s="24">
        <v>46028.585317453704</v>
      </c>
      <c r="BV229">
        <v>1</v>
      </c>
      <c r="BW229" s="24"/>
      <c r="BX229" s="24"/>
      <c r="BY229" s="24"/>
      <c r="BZ229" s="24"/>
      <c r="CB229" s="24"/>
      <c r="CC229" s="24"/>
      <c r="CE229" s="24">
        <v>46028.585317453704</v>
      </c>
      <c r="CF229" s="24">
        <v>46028.585317453704</v>
      </c>
      <c r="CG229">
        <v>1</v>
      </c>
      <c r="CH229" s="24"/>
      <c r="CI229" s="24"/>
      <c r="CJ229" s="24"/>
      <c r="CK229" s="24"/>
      <c r="DE229" s="24"/>
      <c r="DF229" s="24"/>
      <c r="DG229" s="24"/>
      <c r="DH229" s="24"/>
      <c r="DJ229" t="s">
        <v>149</v>
      </c>
      <c r="DK229" t="s">
        <v>149</v>
      </c>
      <c r="DM229">
        <v>28</v>
      </c>
      <c r="DN229">
        <v>28</v>
      </c>
      <c r="DQ229" t="s">
        <v>1000</v>
      </c>
      <c r="DR229" t="s">
        <v>149</v>
      </c>
      <c r="DS229" s="24">
        <v>46160.384426226854</v>
      </c>
    </row>
    <row r="230" spans="1:123" x14ac:dyDescent="0.3">
      <c r="A230" t="s">
        <v>481</v>
      </c>
      <c r="D230" t="s">
        <v>223</v>
      </c>
      <c r="E230" s="24">
        <v>45999.578043981484</v>
      </c>
      <c r="G230" t="s">
        <v>102</v>
      </c>
      <c r="H230" t="s">
        <v>154</v>
      </c>
      <c r="I230" s="24"/>
      <c r="J230" s="24"/>
      <c r="K230" s="24"/>
      <c r="L230" s="24"/>
      <c r="N230" s="24"/>
      <c r="O230" s="24"/>
      <c r="P230" s="24"/>
      <c r="Q230" s="24"/>
      <c r="V230" s="24"/>
      <c r="W230" s="24"/>
      <c r="X230" s="24"/>
      <c r="Y230" s="24"/>
      <c r="AA230" s="24"/>
      <c r="AB230" s="24"/>
      <c r="AC230" s="24"/>
      <c r="AD230" s="24"/>
      <c r="AF230" s="24"/>
      <c r="AG230" s="24"/>
      <c r="AH230" s="24"/>
      <c r="AI230" s="24"/>
      <c r="AK230" s="24"/>
      <c r="AL230" s="24"/>
      <c r="AM230" s="24"/>
      <c r="AN230" s="24"/>
      <c r="AP230" s="24"/>
      <c r="AQ230" s="24"/>
      <c r="AR230" s="24"/>
      <c r="AS230" s="24"/>
      <c r="AX230" s="24"/>
      <c r="AY230" s="24"/>
      <c r="AZ230" s="24"/>
      <c r="BA230" s="24"/>
      <c r="BC230" s="24"/>
      <c r="BD230" s="24"/>
      <c r="BE230" s="24"/>
      <c r="BF230" s="24"/>
      <c r="BH230" s="24"/>
      <c r="BI230" s="24"/>
      <c r="BJ230" s="24"/>
      <c r="BK230" s="24"/>
      <c r="BM230" s="24"/>
      <c r="BN230" s="24"/>
      <c r="BO230" s="24"/>
      <c r="BP230" s="24"/>
      <c r="BR230" s="24"/>
      <c r="BS230" s="24"/>
      <c r="BT230" s="24"/>
      <c r="BU230" s="24"/>
      <c r="BW230" s="24"/>
      <c r="BX230" s="24"/>
      <c r="BY230" s="24"/>
      <c r="BZ230" s="24"/>
      <c r="CB230" s="24"/>
      <c r="CC230" s="24"/>
      <c r="CE230" s="24"/>
      <c r="CF230" s="24"/>
      <c r="CH230" s="24"/>
      <c r="CI230" s="24"/>
      <c r="CJ230" s="24"/>
      <c r="CK230" s="24"/>
      <c r="DE230" s="24"/>
      <c r="DF230" s="24"/>
      <c r="DG230" s="24"/>
      <c r="DH230" s="24"/>
      <c r="DJ230" t="s">
        <v>149</v>
      </c>
      <c r="DK230" t="s">
        <v>149</v>
      </c>
      <c r="DQ230" t="s">
        <v>1000</v>
      </c>
      <c r="DR230" t="s">
        <v>149</v>
      </c>
      <c r="DS230" s="24">
        <v>46160.384426226854</v>
      </c>
    </row>
    <row r="231" spans="1:123" x14ac:dyDescent="0.3">
      <c r="A231" t="s">
        <v>482</v>
      </c>
      <c r="D231" t="s">
        <v>225</v>
      </c>
      <c r="E231" s="24">
        <v>45999.453576388885</v>
      </c>
      <c r="G231" t="s">
        <v>107</v>
      </c>
      <c r="H231" t="s">
        <v>154</v>
      </c>
      <c r="I231" s="24"/>
      <c r="J231" s="24"/>
      <c r="K231" s="24"/>
      <c r="L231" s="24"/>
      <c r="N231" s="24"/>
      <c r="O231" s="24"/>
      <c r="P231" s="24"/>
      <c r="Q231" s="24"/>
      <c r="V231" s="24"/>
      <c r="W231" s="24"/>
      <c r="X231" s="24"/>
      <c r="Y231" s="24"/>
      <c r="AA231" s="24"/>
      <c r="AB231" s="24"/>
      <c r="AC231" s="24"/>
      <c r="AD231" s="24"/>
      <c r="AF231" s="24"/>
      <c r="AG231" s="24"/>
      <c r="AH231" s="24"/>
      <c r="AI231" s="24"/>
      <c r="AK231" s="24"/>
      <c r="AL231" s="24"/>
      <c r="AM231" s="24"/>
      <c r="AN231" s="24"/>
      <c r="AP231" s="24"/>
      <c r="AQ231" s="24"/>
      <c r="AR231" s="24">
        <v>46148.469866388892</v>
      </c>
      <c r="AS231" s="24">
        <v>46148.469866388892</v>
      </c>
      <c r="AX231" s="24"/>
      <c r="AY231" s="24"/>
      <c r="AZ231" s="24"/>
      <c r="BA231" s="24"/>
      <c r="BC231" s="24"/>
      <c r="BD231" s="24"/>
      <c r="BE231" s="24"/>
      <c r="BF231" s="24"/>
      <c r="BH231" s="24">
        <v>46148.469866388892</v>
      </c>
      <c r="BI231" s="24">
        <v>46148.469866388892</v>
      </c>
      <c r="BJ231" s="24"/>
      <c r="BK231" s="24"/>
      <c r="BL231">
        <v>1</v>
      </c>
      <c r="BM231" s="24"/>
      <c r="BN231" s="24"/>
      <c r="BO231" s="24"/>
      <c r="BP231" s="24"/>
      <c r="BR231" s="24"/>
      <c r="BS231" s="24"/>
      <c r="BT231" s="24"/>
      <c r="BU231" s="24"/>
      <c r="BW231" s="24"/>
      <c r="BX231" s="24"/>
      <c r="BY231" s="24"/>
      <c r="BZ231" s="24"/>
      <c r="CB231" s="24"/>
      <c r="CC231" s="24"/>
      <c r="CE231" s="24"/>
      <c r="CF231" s="24"/>
      <c r="CH231" s="24"/>
      <c r="CI231" s="24"/>
      <c r="CJ231" s="24"/>
      <c r="CK231" s="24"/>
      <c r="DE231" s="24"/>
      <c r="DF231" s="24"/>
      <c r="DG231" s="24"/>
      <c r="DH231" s="24"/>
      <c r="DJ231" t="s">
        <v>149</v>
      </c>
      <c r="DK231" t="s">
        <v>149</v>
      </c>
      <c r="DP231">
        <v>12</v>
      </c>
      <c r="DQ231" t="s">
        <v>1000</v>
      </c>
      <c r="DR231" t="s">
        <v>149</v>
      </c>
      <c r="DS231" s="24">
        <v>46160.384426226854</v>
      </c>
    </row>
    <row r="232" spans="1:123" x14ac:dyDescent="0.3">
      <c r="A232" t="s">
        <v>483</v>
      </c>
      <c r="D232" t="s">
        <v>223</v>
      </c>
      <c r="E232" s="24">
        <v>45999.43209490741</v>
      </c>
      <c r="G232" t="s">
        <v>90</v>
      </c>
      <c r="H232" t="s">
        <v>155</v>
      </c>
      <c r="I232" s="24"/>
      <c r="J232" s="24"/>
      <c r="K232" s="24"/>
      <c r="L232" s="24"/>
      <c r="N232" s="24"/>
      <c r="O232" s="24"/>
      <c r="P232" s="24"/>
      <c r="Q232" s="24"/>
      <c r="V232" s="24"/>
      <c r="W232" s="24"/>
      <c r="X232" s="24"/>
      <c r="Y232" s="24"/>
      <c r="AA232" s="24">
        <v>46043.558093148145</v>
      </c>
      <c r="AB232" s="24">
        <v>46043.558093148145</v>
      </c>
      <c r="AC232" s="24">
        <v>46043.580086168979</v>
      </c>
      <c r="AD232" s="24">
        <v>46043.580086168979</v>
      </c>
      <c r="AE232">
        <v>1</v>
      </c>
      <c r="AF232" s="24">
        <v>46043.580086168979</v>
      </c>
      <c r="AG232" s="24">
        <v>46043.580086168979</v>
      </c>
      <c r="AH232" s="24">
        <v>46050.380380879629</v>
      </c>
      <c r="AI232" s="24">
        <v>46050.380380879629</v>
      </c>
      <c r="AJ232">
        <v>1</v>
      </c>
      <c r="AK232" s="24"/>
      <c r="AL232" s="24"/>
      <c r="AM232" s="24"/>
      <c r="AN232" s="24"/>
      <c r="AP232" s="24"/>
      <c r="AQ232" s="24"/>
      <c r="AR232" s="24">
        <v>46028.352178923611</v>
      </c>
      <c r="AS232" s="24">
        <v>46028.352178923611</v>
      </c>
      <c r="AX232" s="24"/>
      <c r="AY232" s="24"/>
      <c r="AZ232" s="24"/>
      <c r="BA232" s="24"/>
      <c r="BC232" s="24"/>
      <c r="BD232" s="24"/>
      <c r="BE232" s="24"/>
      <c r="BF232" s="24"/>
      <c r="BH232" s="24">
        <v>46028.352178923611</v>
      </c>
      <c r="BI232" s="24">
        <v>46028.352178923611</v>
      </c>
      <c r="BJ232" s="24">
        <v>46043.558093148145</v>
      </c>
      <c r="BK232" s="24">
        <v>46043.558093148145</v>
      </c>
      <c r="BL232">
        <v>1</v>
      </c>
      <c r="BM232" s="24"/>
      <c r="BN232" s="24"/>
      <c r="BO232" s="24"/>
      <c r="BP232" s="24"/>
      <c r="BR232" s="24"/>
      <c r="BS232" s="24"/>
      <c r="BT232" s="24"/>
      <c r="BU232" s="24"/>
      <c r="BW232" s="24"/>
      <c r="BX232" s="24"/>
      <c r="BY232" s="24"/>
      <c r="BZ232" s="24"/>
      <c r="CB232" s="24"/>
      <c r="CC232" s="24"/>
      <c r="CE232" s="24">
        <v>46050.380380879629</v>
      </c>
      <c r="CF232" s="24">
        <v>46050.380380879629</v>
      </c>
      <c r="CG232">
        <v>1</v>
      </c>
      <c r="CH232" s="24"/>
      <c r="CI232" s="24"/>
      <c r="CJ232" s="24"/>
      <c r="CK232" s="24"/>
      <c r="DE232" s="24"/>
      <c r="DF232" s="24"/>
      <c r="DG232" s="24"/>
      <c r="DH232" s="24"/>
      <c r="DJ232" t="s">
        <v>149</v>
      </c>
      <c r="DK232" t="s">
        <v>149</v>
      </c>
      <c r="DM232">
        <v>23</v>
      </c>
      <c r="DN232">
        <v>7</v>
      </c>
      <c r="DQ232" t="s">
        <v>1000</v>
      </c>
      <c r="DR232" t="s">
        <v>149</v>
      </c>
      <c r="DS232" s="24">
        <v>46160.384426226854</v>
      </c>
    </row>
    <row r="233" spans="1:123" x14ac:dyDescent="0.3">
      <c r="A233" t="s">
        <v>484</v>
      </c>
      <c r="D233" t="s">
        <v>225</v>
      </c>
      <c r="E233" s="24">
        <v>45999.430925925924</v>
      </c>
      <c r="G233" t="s">
        <v>90</v>
      </c>
      <c r="H233" t="s">
        <v>155</v>
      </c>
      <c r="I233" s="24"/>
      <c r="J233" s="24"/>
      <c r="K233" s="24"/>
      <c r="L233" s="24"/>
      <c r="N233" s="24"/>
      <c r="O233" s="24"/>
      <c r="P233" s="24"/>
      <c r="Q233" s="24"/>
      <c r="V233" s="24"/>
      <c r="W233" s="24"/>
      <c r="X233" s="24"/>
      <c r="Y233" s="24"/>
      <c r="AA233" s="24">
        <v>46043.557204791665</v>
      </c>
      <c r="AB233" s="24">
        <v>46043.557204791665</v>
      </c>
      <c r="AC233" s="24">
        <v>46049.592599606483</v>
      </c>
      <c r="AD233" s="24">
        <v>46049.592599606483</v>
      </c>
      <c r="AE233">
        <v>1</v>
      </c>
      <c r="AF233" s="24"/>
      <c r="AG233" s="24"/>
      <c r="AH233" s="24"/>
      <c r="AI233" s="24"/>
      <c r="AK233" s="24"/>
      <c r="AL233" s="24"/>
      <c r="AM233" s="24"/>
      <c r="AN233" s="24"/>
      <c r="AP233" s="24"/>
      <c r="AQ233" s="24"/>
      <c r="AR233" s="24">
        <v>46028.350874583331</v>
      </c>
      <c r="AS233" s="24">
        <v>46028.350874583331</v>
      </c>
      <c r="AX233" s="24"/>
      <c r="AY233" s="24"/>
      <c r="AZ233" s="24"/>
      <c r="BA233" s="24"/>
      <c r="BC233" s="24">
        <v>46049.593072361109</v>
      </c>
      <c r="BD233" s="24">
        <v>46049.593072361109</v>
      </c>
      <c r="BE233" s="24">
        <v>46051.408440810184</v>
      </c>
      <c r="BF233" s="24">
        <v>46051.408440810184</v>
      </c>
      <c r="BG233">
        <v>1</v>
      </c>
      <c r="BH233" s="24">
        <v>46028.350874583331</v>
      </c>
      <c r="BI233" s="24">
        <v>46028.350874583331</v>
      </c>
      <c r="BJ233" s="24">
        <v>46043.557204791665</v>
      </c>
      <c r="BK233" s="24">
        <v>46043.557204791665</v>
      </c>
      <c r="BL233">
        <v>1</v>
      </c>
      <c r="BM233" s="24"/>
      <c r="BN233" s="24"/>
      <c r="BO233" s="24"/>
      <c r="BP233" s="24"/>
      <c r="BR233" s="24">
        <v>46049.592599606483</v>
      </c>
      <c r="BS233" s="24">
        <v>46049.592599606483</v>
      </c>
      <c r="BT233" s="24">
        <v>46049.593072361109</v>
      </c>
      <c r="BU233" s="24">
        <v>46049.593072361109</v>
      </c>
      <c r="BV233">
        <v>1</v>
      </c>
      <c r="BW233" s="24"/>
      <c r="BX233" s="24"/>
      <c r="BY233" s="24"/>
      <c r="BZ233" s="24"/>
      <c r="CB233" s="24"/>
      <c r="CC233" s="24"/>
      <c r="CE233" s="24">
        <v>46051.408440810184</v>
      </c>
      <c r="CF233" s="24">
        <v>46051.408440810184</v>
      </c>
      <c r="CG233">
        <v>1</v>
      </c>
      <c r="CH233" s="24"/>
      <c r="CI233" s="24"/>
      <c r="CJ233" s="24"/>
      <c r="CK233" s="24"/>
      <c r="DE233" s="24"/>
      <c r="DF233" s="24"/>
      <c r="DG233" s="24"/>
      <c r="DH233" s="24"/>
      <c r="DJ233" t="s">
        <v>149</v>
      </c>
      <c r="DK233" t="s">
        <v>149</v>
      </c>
      <c r="DM233">
        <v>24</v>
      </c>
      <c r="DN233">
        <v>8</v>
      </c>
      <c r="DQ233" t="s">
        <v>1000</v>
      </c>
      <c r="DR233" t="s">
        <v>149</v>
      </c>
      <c r="DS233" s="24">
        <v>46160.384426226854</v>
      </c>
    </row>
    <row r="234" spans="1:123" x14ac:dyDescent="0.3">
      <c r="A234" t="s">
        <v>485</v>
      </c>
      <c r="D234" t="s">
        <v>225</v>
      </c>
      <c r="E234" s="24">
        <v>45999.424907407411</v>
      </c>
      <c r="G234" t="s">
        <v>90</v>
      </c>
      <c r="H234" t="s">
        <v>155</v>
      </c>
      <c r="I234" s="24"/>
      <c r="J234" s="24"/>
      <c r="K234" s="24"/>
      <c r="L234" s="24"/>
      <c r="N234" s="24"/>
      <c r="O234" s="24"/>
      <c r="P234" s="24"/>
      <c r="Q234" s="24"/>
      <c r="V234" s="24"/>
      <c r="W234" s="24"/>
      <c r="X234" s="24"/>
      <c r="Y234" s="24"/>
      <c r="AA234" s="24">
        <v>46043.681985891206</v>
      </c>
      <c r="AB234" s="24">
        <v>46031.400041458335</v>
      </c>
      <c r="AC234" s="24">
        <v>46042.537457094906</v>
      </c>
      <c r="AD234" s="24">
        <v>46049.592712708334</v>
      </c>
      <c r="AE234">
        <v>3</v>
      </c>
      <c r="AF234" s="24">
        <v>46042.67089021991</v>
      </c>
      <c r="AG234" s="24">
        <v>46042.67089021991</v>
      </c>
      <c r="AH234" s="24">
        <v>46043.681985891206</v>
      </c>
      <c r="AI234" s="24">
        <v>46043.681985891206</v>
      </c>
      <c r="AJ234">
        <v>1</v>
      </c>
      <c r="AK234" s="24"/>
      <c r="AL234" s="24"/>
      <c r="AM234" s="24"/>
      <c r="AN234" s="24"/>
      <c r="AP234" s="24"/>
      <c r="AQ234" s="24"/>
      <c r="AR234" s="24">
        <v>46028.350325902778</v>
      </c>
      <c r="AS234" s="24">
        <v>46028.350325902778</v>
      </c>
      <c r="AX234" s="24"/>
      <c r="AY234" s="24"/>
      <c r="AZ234" s="24"/>
      <c r="BA234" s="24"/>
      <c r="BC234" s="24">
        <v>46049.592917418981</v>
      </c>
      <c r="BD234" s="24">
        <v>46049.592917418981</v>
      </c>
      <c r="BE234" s="24">
        <v>46051.408440729167</v>
      </c>
      <c r="BF234" s="24">
        <v>46051.408440729167</v>
      </c>
      <c r="BG234">
        <v>1</v>
      </c>
      <c r="BH234" s="24">
        <v>46028.350325902778</v>
      </c>
      <c r="BI234" s="24">
        <v>46028.350325902778</v>
      </c>
      <c r="BJ234" s="24">
        <v>46031.400041458335</v>
      </c>
      <c r="BK234" s="24">
        <v>46031.400041458335</v>
      </c>
      <c r="BL234">
        <v>1</v>
      </c>
      <c r="BM234" s="24"/>
      <c r="BN234" s="24"/>
      <c r="BO234" s="24"/>
      <c r="BP234" s="24"/>
      <c r="BR234" s="24">
        <v>46049.592712708334</v>
      </c>
      <c r="BS234" s="24">
        <v>46042.537457094906</v>
      </c>
      <c r="BT234" s="24">
        <v>46042.670857060184</v>
      </c>
      <c r="BU234" s="24">
        <v>46049.592917418981</v>
      </c>
      <c r="BV234">
        <v>2</v>
      </c>
      <c r="BW234" s="24"/>
      <c r="BX234" s="24"/>
      <c r="BY234" s="24"/>
      <c r="BZ234" s="24"/>
      <c r="CB234" s="24"/>
      <c r="CC234" s="24"/>
      <c r="CE234" s="24">
        <v>46051.408440729167</v>
      </c>
      <c r="CF234" s="24">
        <v>46051.408440729167</v>
      </c>
      <c r="CG234">
        <v>1</v>
      </c>
      <c r="CH234" s="24"/>
      <c r="CI234" s="24"/>
      <c r="CJ234" s="24"/>
      <c r="CK234" s="24"/>
      <c r="DE234" s="24"/>
      <c r="DF234" s="24"/>
      <c r="DG234" s="24"/>
      <c r="DH234" s="24"/>
      <c r="DJ234" t="s">
        <v>149</v>
      </c>
      <c r="DK234" t="s">
        <v>149</v>
      </c>
      <c r="DM234">
        <v>24</v>
      </c>
      <c r="DN234">
        <v>21</v>
      </c>
      <c r="DQ234" t="s">
        <v>1000</v>
      </c>
      <c r="DR234" t="s">
        <v>149</v>
      </c>
      <c r="DS234" s="24">
        <v>46160.384426226854</v>
      </c>
    </row>
    <row r="235" spans="1:123" x14ac:dyDescent="0.3">
      <c r="A235" t="s">
        <v>486</v>
      </c>
      <c r="D235" t="s">
        <v>223</v>
      </c>
      <c r="E235" s="24">
        <v>45999.395474537036</v>
      </c>
      <c r="G235" t="s">
        <v>150</v>
      </c>
      <c r="H235" t="s">
        <v>155</v>
      </c>
      <c r="I235" s="24"/>
      <c r="J235" s="24"/>
      <c r="K235" s="24"/>
      <c r="L235" s="24"/>
      <c r="N235" s="24"/>
      <c r="O235" s="24"/>
      <c r="P235" s="24"/>
      <c r="Q235" s="24"/>
      <c r="V235" s="24"/>
      <c r="W235" s="24"/>
      <c r="X235" s="24"/>
      <c r="Y235" s="24"/>
      <c r="AA235" s="24"/>
      <c r="AB235" s="24"/>
      <c r="AC235" s="24"/>
      <c r="AD235" s="24"/>
      <c r="AF235" s="24"/>
      <c r="AG235" s="24"/>
      <c r="AH235" s="24"/>
      <c r="AI235" s="24"/>
      <c r="AK235" s="24"/>
      <c r="AL235" s="24"/>
      <c r="AM235" s="24"/>
      <c r="AN235" s="24"/>
      <c r="AP235" s="24"/>
      <c r="AQ235" s="24"/>
      <c r="AR235" s="24">
        <v>46010.386018483798</v>
      </c>
      <c r="AS235" s="24">
        <v>46010.386018483798</v>
      </c>
      <c r="AX235" s="24"/>
      <c r="AY235" s="24"/>
      <c r="AZ235" s="24"/>
      <c r="BA235" s="24"/>
      <c r="BC235" s="24"/>
      <c r="BD235" s="24"/>
      <c r="BE235" s="24"/>
      <c r="BF235" s="24"/>
      <c r="BH235" s="24">
        <v>46010.386018483798</v>
      </c>
      <c r="BI235" s="24">
        <v>46010.386018483798</v>
      </c>
      <c r="BJ235" s="24">
        <v>46062.444660393521</v>
      </c>
      <c r="BK235" s="24">
        <v>46062.444660393521</v>
      </c>
      <c r="BL235">
        <v>1</v>
      </c>
      <c r="BM235" s="24"/>
      <c r="BN235" s="24"/>
      <c r="BO235" s="24"/>
      <c r="BP235" s="24"/>
      <c r="BR235" s="24"/>
      <c r="BS235" s="24"/>
      <c r="BT235" s="24"/>
      <c r="BU235" s="24"/>
      <c r="BW235" s="24"/>
      <c r="BX235" s="24"/>
      <c r="BY235" s="24"/>
      <c r="BZ235" s="24"/>
      <c r="CB235" s="24">
        <v>46062.444660393521</v>
      </c>
      <c r="CC235" s="24">
        <v>46062.444660393521</v>
      </c>
      <c r="CD235">
        <v>1</v>
      </c>
      <c r="CE235" s="24"/>
      <c r="CF235" s="24"/>
      <c r="CH235" s="24"/>
      <c r="CI235" s="24"/>
      <c r="CJ235" s="24"/>
      <c r="CK235" s="24"/>
      <c r="DE235" s="24"/>
      <c r="DF235" s="24"/>
      <c r="DG235" s="24"/>
      <c r="DH235" s="24"/>
      <c r="DJ235" t="s">
        <v>149</v>
      </c>
      <c r="DK235" t="s">
        <v>149</v>
      </c>
      <c r="DQ235" t="s">
        <v>1000</v>
      </c>
      <c r="DR235" t="s">
        <v>149</v>
      </c>
      <c r="DS235" s="24">
        <v>46160.384426226854</v>
      </c>
    </row>
    <row r="236" spans="1:123" x14ac:dyDescent="0.3">
      <c r="A236" t="s">
        <v>487</v>
      </c>
      <c r="D236" t="s">
        <v>223</v>
      </c>
      <c r="E236" s="24">
        <v>45999.391203703701</v>
      </c>
      <c r="G236" t="s">
        <v>90</v>
      </c>
      <c r="H236" t="s">
        <v>155</v>
      </c>
      <c r="I236" s="24"/>
      <c r="J236" s="24"/>
      <c r="K236" s="24"/>
      <c r="L236" s="24"/>
      <c r="N236" s="24"/>
      <c r="O236" s="24"/>
      <c r="P236" s="24"/>
      <c r="Q236" s="24"/>
      <c r="V236" s="24"/>
      <c r="W236" s="24"/>
      <c r="X236" s="24"/>
      <c r="Y236" s="24"/>
      <c r="AA236" s="24">
        <v>46001.360934652781</v>
      </c>
      <c r="AB236" s="24">
        <v>46001.360934652781</v>
      </c>
      <c r="AC236" s="24">
        <v>46010.404290138889</v>
      </c>
      <c r="AD236" s="24">
        <v>46010.404290138889</v>
      </c>
      <c r="AE236">
        <v>1</v>
      </c>
      <c r="AF236" s="24"/>
      <c r="AG236" s="24"/>
      <c r="AH236" s="24"/>
      <c r="AI236" s="24"/>
      <c r="AK236" s="24"/>
      <c r="AL236" s="24"/>
      <c r="AM236" s="24"/>
      <c r="AN236" s="24"/>
      <c r="AP236" s="24"/>
      <c r="AQ236" s="24"/>
      <c r="AR236" s="24">
        <v>45999.391513078706</v>
      </c>
      <c r="AS236" s="24">
        <v>45999.391513078706</v>
      </c>
      <c r="AX236" s="24"/>
      <c r="AY236" s="24"/>
      <c r="AZ236" s="24"/>
      <c r="BA236" s="24"/>
      <c r="BC236" s="24"/>
      <c r="BD236" s="24"/>
      <c r="BE236" s="24"/>
      <c r="BF236" s="24"/>
      <c r="BH236" s="24">
        <v>45999.391513078706</v>
      </c>
      <c r="BI236" s="24">
        <v>45999.391513078706</v>
      </c>
      <c r="BJ236" s="24">
        <v>46001.360934652781</v>
      </c>
      <c r="BK236" s="24">
        <v>46001.360934652781</v>
      </c>
      <c r="BL236">
        <v>1</v>
      </c>
      <c r="BM236" s="24"/>
      <c r="BN236" s="24"/>
      <c r="BO236" s="24"/>
      <c r="BP236" s="24"/>
      <c r="BR236" s="24">
        <v>46010.404290138889</v>
      </c>
      <c r="BS236" s="24">
        <v>46010.404290138889</v>
      </c>
      <c r="BT236" s="24">
        <v>46010.404328854165</v>
      </c>
      <c r="BU236" s="24">
        <v>46010.404328854165</v>
      </c>
      <c r="BV236">
        <v>1</v>
      </c>
      <c r="BW236" s="24"/>
      <c r="BX236" s="24"/>
      <c r="BY236" s="24"/>
      <c r="BZ236" s="24"/>
      <c r="CB236" s="24"/>
      <c r="CC236" s="24"/>
      <c r="CE236" s="24">
        <v>46010.404328854165</v>
      </c>
      <c r="CF236" s="24">
        <v>46010.404328854165</v>
      </c>
      <c r="CG236">
        <v>1</v>
      </c>
      <c r="CH236" s="24"/>
      <c r="CI236" s="24"/>
      <c r="CJ236" s="24"/>
      <c r="CK236" s="24"/>
      <c r="DE236" s="24"/>
      <c r="DF236" s="24"/>
      <c r="DG236" s="24"/>
      <c r="DH236" s="24"/>
      <c r="DJ236" t="s">
        <v>149</v>
      </c>
      <c r="DK236" t="s">
        <v>149</v>
      </c>
      <c r="DM236">
        <v>12</v>
      </c>
      <c r="DN236">
        <v>10</v>
      </c>
      <c r="DQ236" t="s">
        <v>1000</v>
      </c>
      <c r="DR236" t="s">
        <v>149</v>
      </c>
      <c r="DS236" s="24">
        <v>46160.384426226854</v>
      </c>
    </row>
    <row r="237" spans="1:123" x14ac:dyDescent="0.3">
      <c r="A237" t="s">
        <v>488</v>
      </c>
      <c r="D237" t="s">
        <v>223</v>
      </c>
      <c r="E237" s="24">
        <v>45996.66165509259</v>
      </c>
      <c r="G237" t="s">
        <v>150</v>
      </c>
      <c r="H237" t="s">
        <v>155</v>
      </c>
      <c r="I237" s="24"/>
      <c r="J237" s="24"/>
      <c r="K237" s="24"/>
      <c r="L237" s="24"/>
      <c r="N237" s="24"/>
      <c r="O237" s="24"/>
      <c r="P237" s="24"/>
      <c r="Q237" s="24"/>
      <c r="V237" s="24"/>
      <c r="W237" s="24"/>
      <c r="X237" s="24"/>
      <c r="Y237" s="24"/>
      <c r="AA237" s="24"/>
      <c r="AB237" s="24"/>
      <c r="AC237" s="24"/>
      <c r="AD237" s="24"/>
      <c r="AF237" s="24"/>
      <c r="AG237" s="24"/>
      <c r="AH237" s="24"/>
      <c r="AI237" s="24"/>
      <c r="AK237" s="24"/>
      <c r="AL237" s="24"/>
      <c r="AM237" s="24"/>
      <c r="AN237" s="24"/>
      <c r="AP237" s="24"/>
      <c r="AQ237" s="24"/>
      <c r="AR237" s="24">
        <v>46027.56989859954</v>
      </c>
      <c r="AS237" s="24">
        <v>46027.56989859954</v>
      </c>
      <c r="AX237" s="24"/>
      <c r="AY237" s="24"/>
      <c r="AZ237" s="24"/>
      <c r="BA237" s="24"/>
      <c r="BC237" s="24"/>
      <c r="BD237" s="24"/>
      <c r="BE237" s="24"/>
      <c r="BF237" s="24"/>
      <c r="BH237" s="24"/>
      <c r="BI237" s="24"/>
      <c r="BJ237" s="24"/>
      <c r="BK237" s="24"/>
      <c r="BM237" s="24"/>
      <c r="BN237" s="24"/>
      <c r="BO237" s="24"/>
      <c r="BP237" s="24"/>
      <c r="BR237" s="24"/>
      <c r="BS237" s="24"/>
      <c r="BT237" s="24"/>
      <c r="BU237" s="24"/>
      <c r="BW237" s="24"/>
      <c r="BX237" s="24"/>
      <c r="BY237" s="24"/>
      <c r="BZ237" s="24"/>
      <c r="CB237" s="24">
        <v>46028.725495289349</v>
      </c>
      <c r="CC237" s="24">
        <v>46027.56989859954</v>
      </c>
      <c r="CD237">
        <v>2</v>
      </c>
      <c r="CE237" s="24"/>
      <c r="CF237" s="24"/>
      <c r="CH237" s="24"/>
      <c r="CI237" s="24"/>
      <c r="CJ237" s="24"/>
      <c r="CK237" s="24"/>
      <c r="DE237" s="24"/>
      <c r="DF237" s="24"/>
      <c r="DG237" s="24"/>
      <c r="DH237" s="24"/>
      <c r="DJ237" t="s">
        <v>149</v>
      </c>
      <c r="DK237" t="s">
        <v>149</v>
      </c>
      <c r="DQ237" t="s">
        <v>1000</v>
      </c>
      <c r="DR237" t="s">
        <v>149</v>
      </c>
      <c r="DS237" s="24">
        <v>46160.384426226854</v>
      </c>
    </row>
    <row r="238" spans="1:123" x14ac:dyDescent="0.3">
      <c r="A238" t="s">
        <v>489</v>
      </c>
      <c r="D238" t="s">
        <v>223</v>
      </c>
      <c r="E238" s="24">
        <v>45996.606759259259</v>
      </c>
      <c r="G238" t="s">
        <v>90</v>
      </c>
      <c r="H238" t="s">
        <v>155</v>
      </c>
      <c r="I238" s="24"/>
      <c r="J238" s="24"/>
      <c r="K238" s="24"/>
      <c r="L238" s="24"/>
      <c r="N238" s="24"/>
      <c r="O238" s="24"/>
      <c r="P238" s="24"/>
      <c r="Q238" s="24"/>
      <c r="V238" s="24"/>
      <c r="W238" s="24"/>
      <c r="X238" s="24"/>
      <c r="Y238" s="24"/>
      <c r="AA238" s="24">
        <v>46001.361384537035</v>
      </c>
      <c r="AB238" s="24">
        <v>46001.361384537035</v>
      </c>
      <c r="AC238" s="24">
        <v>46010.401187303243</v>
      </c>
      <c r="AD238" s="24">
        <v>46010.401187303243</v>
      </c>
      <c r="AE238">
        <v>1</v>
      </c>
      <c r="AF238" s="24"/>
      <c r="AG238" s="24"/>
      <c r="AH238" s="24"/>
      <c r="AI238" s="24"/>
      <c r="AK238" s="24"/>
      <c r="AL238" s="24"/>
      <c r="AM238" s="24"/>
      <c r="AN238" s="24"/>
      <c r="AP238" s="24"/>
      <c r="AQ238" s="24"/>
      <c r="AR238" s="24">
        <v>46000.648944270833</v>
      </c>
      <c r="AS238" s="24">
        <v>46000.648944270833</v>
      </c>
      <c r="AX238" s="24"/>
      <c r="AY238" s="24"/>
      <c r="AZ238" s="24"/>
      <c r="BA238" s="24"/>
      <c r="BC238" s="24"/>
      <c r="BD238" s="24"/>
      <c r="BE238" s="24"/>
      <c r="BF238" s="24"/>
      <c r="BH238" s="24">
        <v>46000.648944270833</v>
      </c>
      <c r="BI238" s="24">
        <v>46000.648944270833</v>
      </c>
      <c r="BJ238" s="24">
        <v>46001.361384537035</v>
      </c>
      <c r="BK238" s="24">
        <v>46001.361384537035</v>
      </c>
      <c r="BL238">
        <v>1</v>
      </c>
      <c r="BM238" s="24"/>
      <c r="BN238" s="24"/>
      <c r="BO238" s="24"/>
      <c r="BP238" s="24"/>
      <c r="BR238" s="24">
        <v>46010.401187303243</v>
      </c>
      <c r="BS238" s="24">
        <v>46010.401187303243</v>
      </c>
      <c r="BT238" s="24">
        <v>46010.401229953706</v>
      </c>
      <c r="BU238" s="24">
        <v>46010.401229953706</v>
      </c>
      <c r="BV238">
        <v>1</v>
      </c>
      <c r="BW238" s="24"/>
      <c r="BX238" s="24"/>
      <c r="BY238" s="24"/>
      <c r="BZ238" s="24"/>
      <c r="CB238" s="24"/>
      <c r="CC238" s="24"/>
      <c r="CE238" s="24">
        <v>46010.401229953706</v>
      </c>
      <c r="CF238" s="24">
        <v>46010.401229953706</v>
      </c>
      <c r="CG238">
        <v>1</v>
      </c>
      <c r="CH238" s="24"/>
      <c r="CI238" s="24"/>
      <c r="CJ238" s="24"/>
      <c r="CK238" s="24"/>
      <c r="DE238" s="24"/>
      <c r="DF238" s="24"/>
      <c r="DG238" s="24"/>
      <c r="DH238" s="24"/>
      <c r="DJ238" t="s">
        <v>149</v>
      </c>
      <c r="DK238" t="s">
        <v>149</v>
      </c>
      <c r="DM238">
        <v>10</v>
      </c>
      <c r="DN238">
        <v>10</v>
      </c>
      <c r="DQ238" t="s">
        <v>1000</v>
      </c>
      <c r="DR238" t="s">
        <v>149</v>
      </c>
      <c r="DS238" s="24">
        <v>46160.384426226854</v>
      </c>
    </row>
    <row r="239" spans="1:123" x14ac:dyDescent="0.3">
      <c r="A239" t="s">
        <v>490</v>
      </c>
      <c r="D239" t="s">
        <v>223</v>
      </c>
      <c r="E239" s="24">
        <v>45996.471053240741</v>
      </c>
      <c r="G239" t="s">
        <v>150</v>
      </c>
      <c r="H239" t="s">
        <v>155</v>
      </c>
      <c r="I239" s="24"/>
      <c r="J239" s="24"/>
      <c r="K239" s="24"/>
      <c r="L239" s="24"/>
      <c r="N239" s="24"/>
      <c r="O239" s="24"/>
      <c r="P239" s="24"/>
      <c r="Q239" s="24"/>
      <c r="V239" s="24"/>
      <c r="W239" s="24"/>
      <c r="X239" s="24"/>
      <c r="Y239" s="24"/>
      <c r="AA239" s="24"/>
      <c r="AB239" s="24"/>
      <c r="AC239" s="24"/>
      <c r="AD239" s="24"/>
      <c r="AF239" s="24"/>
      <c r="AG239" s="24"/>
      <c r="AH239" s="24"/>
      <c r="AI239" s="24"/>
      <c r="AK239" s="24"/>
      <c r="AL239" s="24"/>
      <c r="AM239" s="24"/>
      <c r="AN239" s="24"/>
      <c r="AP239" s="24">
        <v>46010.382442766204</v>
      </c>
      <c r="AQ239" s="24">
        <v>46010.382442766204</v>
      </c>
      <c r="AR239" s="24">
        <v>46086.575838969904</v>
      </c>
      <c r="AS239" s="24">
        <v>46086.575838969904</v>
      </c>
      <c r="AT239">
        <v>1</v>
      </c>
      <c r="AX239" s="24"/>
      <c r="AY239" s="24"/>
      <c r="AZ239" s="24"/>
      <c r="BA239" s="24"/>
      <c r="BC239" s="24"/>
      <c r="BD239" s="24"/>
      <c r="BE239" s="24"/>
      <c r="BF239" s="24"/>
      <c r="BH239" s="24"/>
      <c r="BI239" s="24"/>
      <c r="BJ239" s="24"/>
      <c r="BK239" s="24"/>
      <c r="BM239" s="24"/>
      <c r="BN239" s="24"/>
      <c r="BO239" s="24"/>
      <c r="BP239" s="24"/>
      <c r="BR239" s="24"/>
      <c r="BS239" s="24"/>
      <c r="BT239" s="24"/>
      <c r="BU239" s="24"/>
      <c r="BW239" s="24"/>
      <c r="BX239" s="24"/>
      <c r="BY239" s="24"/>
      <c r="BZ239" s="24"/>
      <c r="CB239" s="24">
        <v>46086.575838969904</v>
      </c>
      <c r="CC239" s="24">
        <v>46086.575838969904</v>
      </c>
      <c r="CD239">
        <v>1</v>
      </c>
      <c r="CE239" s="24"/>
      <c r="CF239" s="24"/>
      <c r="CH239" s="24"/>
      <c r="CI239" s="24"/>
      <c r="CJ239" s="24"/>
      <c r="CK239" s="24"/>
      <c r="DE239" s="24"/>
      <c r="DF239" s="24"/>
      <c r="DG239" s="24"/>
      <c r="DH239" s="24"/>
      <c r="DJ239" t="s">
        <v>149</v>
      </c>
      <c r="DK239" t="s">
        <v>149</v>
      </c>
      <c r="DQ239" t="s">
        <v>1000</v>
      </c>
      <c r="DR239" t="s">
        <v>149</v>
      </c>
      <c r="DS239" s="24">
        <v>46160.384426226854</v>
      </c>
    </row>
    <row r="240" spans="1:123" x14ac:dyDescent="0.3">
      <c r="A240" t="s">
        <v>491</v>
      </c>
      <c r="D240" t="s">
        <v>223</v>
      </c>
      <c r="E240" s="24">
        <v>45996.460833333331</v>
      </c>
      <c r="G240" t="s">
        <v>90</v>
      </c>
      <c r="H240" t="s">
        <v>155</v>
      </c>
      <c r="I240" s="24"/>
      <c r="J240" s="24"/>
      <c r="K240" s="24"/>
      <c r="L240" s="24"/>
      <c r="N240" s="24"/>
      <c r="O240" s="24"/>
      <c r="P240" s="24"/>
      <c r="Q240" s="24"/>
      <c r="V240" s="24"/>
      <c r="W240" s="24"/>
      <c r="X240" s="24"/>
      <c r="Y240" s="24"/>
      <c r="AA240" s="24">
        <v>46009.405258402781</v>
      </c>
      <c r="AB240" s="24">
        <v>46009.405258402781</v>
      </c>
      <c r="AC240" s="24">
        <v>46028.400219594907</v>
      </c>
      <c r="AD240" s="24">
        <v>46028.400219594907</v>
      </c>
      <c r="AE240">
        <v>1</v>
      </c>
      <c r="AF240" s="24"/>
      <c r="AG240" s="24"/>
      <c r="AH240" s="24"/>
      <c r="AI240" s="24"/>
      <c r="AK240" s="24"/>
      <c r="AL240" s="24"/>
      <c r="AM240" s="24"/>
      <c r="AN240" s="24"/>
      <c r="AP240" s="24"/>
      <c r="AQ240" s="24"/>
      <c r="AR240" s="24">
        <v>46000.64911071759</v>
      </c>
      <c r="AS240" s="24">
        <v>46000.64911071759</v>
      </c>
      <c r="AX240" s="24"/>
      <c r="AY240" s="24"/>
      <c r="AZ240" s="24"/>
      <c r="BA240" s="24"/>
      <c r="BC240" s="24"/>
      <c r="BD240" s="24"/>
      <c r="BE240" s="24"/>
      <c r="BF240" s="24"/>
      <c r="BH240" s="24">
        <v>46000.64911071759</v>
      </c>
      <c r="BI240" s="24">
        <v>46000.64911071759</v>
      </c>
      <c r="BJ240" s="24">
        <v>46009.405258402781</v>
      </c>
      <c r="BK240" s="24">
        <v>46009.405258402781</v>
      </c>
      <c r="BL240">
        <v>1</v>
      </c>
      <c r="BM240" s="24"/>
      <c r="BN240" s="24"/>
      <c r="BO240" s="24"/>
      <c r="BP240" s="24"/>
      <c r="BR240" s="24"/>
      <c r="BS240" s="24"/>
      <c r="BT240" s="24"/>
      <c r="BU240" s="24"/>
      <c r="BW240" s="24"/>
      <c r="BX240" s="24"/>
      <c r="BY240" s="24"/>
      <c r="BZ240" s="24"/>
      <c r="CB240" s="24"/>
      <c r="CC240" s="24"/>
      <c r="CE240" s="24">
        <v>46028.400219594907</v>
      </c>
      <c r="CF240" s="24">
        <v>46028.400219594907</v>
      </c>
      <c r="CG240">
        <v>1</v>
      </c>
      <c r="CH240" s="24"/>
      <c r="CI240" s="24"/>
      <c r="CJ240" s="24"/>
      <c r="CK240" s="24"/>
      <c r="DE240" s="24"/>
      <c r="DF240" s="24"/>
      <c r="DG240" s="24"/>
      <c r="DH240" s="24"/>
      <c r="DJ240" t="s">
        <v>149</v>
      </c>
      <c r="DK240" t="s">
        <v>149</v>
      </c>
      <c r="DM240">
        <v>28</v>
      </c>
      <c r="DN240">
        <v>19</v>
      </c>
      <c r="DQ240" t="s">
        <v>1000</v>
      </c>
      <c r="DR240" t="s">
        <v>149</v>
      </c>
      <c r="DS240" s="24">
        <v>46160.384426226854</v>
      </c>
    </row>
    <row r="241" spans="1:123" x14ac:dyDescent="0.3">
      <c r="A241" t="s">
        <v>492</v>
      </c>
      <c r="D241" t="s">
        <v>223</v>
      </c>
      <c r="E241" s="24">
        <v>45996.345682870371</v>
      </c>
      <c r="G241" t="s">
        <v>90</v>
      </c>
      <c r="H241" t="s">
        <v>155</v>
      </c>
      <c r="I241" s="24"/>
      <c r="J241" s="24"/>
      <c r="K241" s="24"/>
      <c r="L241" s="24"/>
      <c r="N241" s="24"/>
      <c r="O241" s="24"/>
      <c r="P241" s="24"/>
      <c r="Q241" s="24"/>
      <c r="V241" s="24"/>
      <c r="W241" s="24"/>
      <c r="X241" s="24"/>
      <c r="Y241" s="24"/>
      <c r="AA241" s="24">
        <v>46006.684997696757</v>
      </c>
      <c r="AB241" s="24">
        <v>46006.684997696757</v>
      </c>
      <c r="AC241" s="24">
        <v>46006.765684097219</v>
      </c>
      <c r="AD241" s="24">
        <v>46006.765684097219</v>
      </c>
      <c r="AE241">
        <v>1</v>
      </c>
      <c r="AF241" s="24">
        <v>46006.765684097219</v>
      </c>
      <c r="AG241" s="24">
        <v>46006.765684097219</v>
      </c>
      <c r="AH241" s="24">
        <v>46007.459358993059</v>
      </c>
      <c r="AI241" s="24">
        <v>46007.459358993059</v>
      </c>
      <c r="AJ241">
        <v>1</v>
      </c>
      <c r="AK241" s="24"/>
      <c r="AL241" s="24"/>
      <c r="AM241" s="24"/>
      <c r="AN241" s="24"/>
      <c r="AP241" s="24"/>
      <c r="AQ241" s="24"/>
      <c r="AR241" s="24">
        <v>46000.649395891203</v>
      </c>
      <c r="AS241" s="24">
        <v>46000.649395891203</v>
      </c>
      <c r="AX241" s="24"/>
      <c r="AY241" s="24"/>
      <c r="AZ241" s="24"/>
      <c r="BA241" s="24"/>
      <c r="BC241" s="24"/>
      <c r="BD241" s="24"/>
      <c r="BE241" s="24"/>
      <c r="BF241" s="24"/>
      <c r="BH241" s="24">
        <v>46000.649395891203</v>
      </c>
      <c r="BI241" s="24">
        <v>46000.649395891203</v>
      </c>
      <c r="BJ241" s="24">
        <v>46006.684997696757</v>
      </c>
      <c r="BK241" s="24">
        <v>46006.684997696757</v>
      </c>
      <c r="BL241">
        <v>1</v>
      </c>
      <c r="BM241" s="24"/>
      <c r="BN241" s="24"/>
      <c r="BO241" s="24"/>
      <c r="BP241" s="24"/>
      <c r="BR241" s="24">
        <v>46007.459358993059</v>
      </c>
      <c r="BS241" s="24">
        <v>46007.459358993059</v>
      </c>
      <c r="BT241" s="24">
        <v>46008.411197789355</v>
      </c>
      <c r="BU241" s="24">
        <v>46008.411197789355</v>
      </c>
      <c r="BV241">
        <v>1</v>
      </c>
      <c r="BW241" s="24"/>
      <c r="BX241" s="24"/>
      <c r="BY241" s="24"/>
      <c r="BZ241" s="24"/>
      <c r="CB241" s="24"/>
      <c r="CC241" s="24"/>
      <c r="CE241" s="24">
        <v>46008.411197789355</v>
      </c>
      <c r="CF241" s="24">
        <v>46008.411197789355</v>
      </c>
      <c r="CG241">
        <v>1</v>
      </c>
      <c r="CH241" s="24"/>
      <c r="CI241" s="24"/>
      <c r="CJ241" s="24"/>
      <c r="CK241" s="24"/>
      <c r="DE241" s="24"/>
      <c r="DF241" s="24"/>
      <c r="DG241" s="24"/>
      <c r="DH241" s="24"/>
      <c r="DJ241" t="s">
        <v>149</v>
      </c>
      <c r="DK241" t="s">
        <v>149</v>
      </c>
      <c r="DM241">
        <v>8</v>
      </c>
      <c r="DN241">
        <v>2</v>
      </c>
      <c r="DQ241" t="s">
        <v>1000</v>
      </c>
      <c r="DR241" t="s">
        <v>149</v>
      </c>
      <c r="DS241" s="24">
        <v>46160.384426226854</v>
      </c>
    </row>
    <row r="242" spans="1:123" x14ac:dyDescent="0.3">
      <c r="A242" t="s">
        <v>493</v>
      </c>
      <c r="D242" t="s">
        <v>223</v>
      </c>
      <c r="E242" s="24">
        <v>45995.566643518519</v>
      </c>
      <c r="G242" t="s">
        <v>90</v>
      </c>
      <c r="H242" t="s">
        <v>155</v>
      </c>
      <c r="I242" s="24"/>
      <c r="J242" s="24"/>
      <c r="K242" s="24"/>
      <c r="L242" s="24"/>
      <c r="N242" s="24"/>
      <c r="O242" s="24"/>
      <c r="P242" s="24"/>
      <c r="Q242" s="24"/>
      <c r="V242" s="24"/>
      <c r="W242" s="24"/>
      <c r="X242" s="24"/>
      <c r="Y242" s="24"/>
      <c r="AA242" s="24">
        <v>45995.567204513885</v>
      </c>
      <c r="AB242" s="24">
        <v>45995.567204513885</v>
      </c>
      <c r="AC242" s="24">
        <v>45995.567293333334</v>
      </c>
      <c r="AD242" s="24">
        <v>45995.567293333334</v>
      </c>
      <c r="AE242">
        <v>1</v>
      </c>
      <c r="AF242" s="24"/>
      <c r="AG242" s="24"/>
      <c r="AH242" s="24"/>
      <c r="AI242" s="24"/>
      <c r="AK242" s="24"/>
      <c r="AL242" s="24"/>
      <c r="AM242" s="24"/>
      <c r="AN242" s="24"/>
      <c r="AP242" s="24"/>
      <c r="AQ242" s="24"/>
      <c r="AR242" s="24">
        <v>45995.567135983794</v>
      </c>
      <c r="AS242" s="24">
        <v>45995.567135983794</v>
      </c>
      <c r="AX242" s="24"/>
      <c r="AY242" s="24"/>
      <c r="AZ242" s="24"/>
      <c r="BA242" s="24"/>
      <c r="BC242" s="24"/>
      <c r="BD242" s="24"/>
      <c r="BE242" s="24"/>
      <c r="BF242" s="24"/>
      <c r="BH242" s="24">
        <v>45995.567135983794</v>
      </c>
      <c r="BI242" s="24">
        <v>45995.567135983794</v>
      </c>
      <c r="BJ242" s="24">
        <v>45995.567204513885</v>
      </c>
      <c r="BK242" s="24">
        <v>45995.567204513885</v>
      </c>
      <c r="BL242">
        <v>1</v>
      </c>
      <c r="BM242" s="24"/>
      <c r="BN242" s="24"/>
      <c r="BO242" s="24"/>
      <c r="BP242" s="24"/>
      <c r="BR242" s="24"/>
      <c r="BS242" s="24"/>
      <c r="BT242" s="24"/>
      <c r="BU242" s="24"/>
      <c r="BW242" s="24"/>
      <c r="BX242" s="24"/>
      <c r="BY242" s="24"/>
      <c r="BZ242" s="24"/>
      <c r="CB242" s="24"/>
      <c r="CC242" s="24"/>
      <c r="CE242" s="24">
        <v>45995.567293333334</v>
      </c>
      <c r="CF242" s="24">
        <v>45995.567293333334</v>
      </c>
      <c r="CG242">
        <v>1</v>
      </c>
      <c r="CH242" s="24"/>
      <c r="CI242" s="24"/>
      <c r="CJ242" s="24"/>
      <c r="CK242" s="24"/>
      <c r="DE242" s="24"/>
      <c r="DF242" s="24"/>
      <c r="DG242" s="24"/>
      <c r="DH242" s="24"/>
      <c r="DJ242" t="s">
        <v>149</v>
      </c>
      <c r="DK242" t="s">
        <v>149</v>
      </c>
      <c r="DM242">
        <v>1</v>
      </c>
      <c r="DN242">
        <v>1</v>
      </c>
      <c r="DQ242" t="s">
        <v>1000</v>
      </c>
      <c r="DR242" t="s">
        <v>149</v>
      </c>
      <c r="DS242" s="24">
        <v>46160.384426226854</v>
      </c>
    </row>
    <row r="243" spans="1:123" x14ac:dyDescent="0.3">
      <c r="A243" t="s">
        <v>494</v>
      </c>
      <c r="D243" t="s">
        <v>225</v>
      </c>
      <c r="E243" s="24">
        <v>45995.48914351852</v>
      </c>
      <c r="G243" t="s">
        <v>90</v>
      </c>
      <c r="H243" t="s">
        <v>155</v>
      </c>
      <c r="I243" s="24"/>
      <c r="J243" s="24"/>
      <c r="K243" s="24"/>
      <c r="L243" s="24"/>
      <c r="N243" s="24"/>
      <c r="O243" s="24"/>
      <c r="P243" s="24"/>
      <c r="Q243" s="24"/>
      <c r="V243" s="24"/>
      <c r="W243" s="24"/>
      <c r="X243" s="24"/>
      <c r="Y243" s="24"/>
      <c r="AA243" s="24">
        <v>45995.502173298613</v>
      </c>
      <c r="AB243" s="24">
        <v>45995.502173298613</v>
      </c>
      <c r="AC243" s="24">
        <v>45995.55251199074</v>
      </c>
      <c r="AD243" s="24">
        <v>45995.55251199074</v>
      </c>
      <c r="AE243">
        <v>1</v>
      </c>
      <c r="AF243" s="24">
        <v>45995.55251199074</v>
      </c>
      <c r="AG243" s="24">
        <v>45995.55251199074</v>
      </c>
      <c r="AH243" s="24">
        <v>45995.552559293981</v>
      </c>
      <c r="AI243" s="24">
        <v>45995.552559293981</v>
      </c>
      <c r="AJ243">
        <v>1</v>
      </c>
      <c r="AK243" s="24">
        <v>45995.552559293981</v>
      </c>
      <c r="AL243" s="24">
        <v>45995.552559293981</v>
      </c>
      <c r="AM243" s="24">
        <v>45995.55262372685</v>
      </c>
      <c r="AN243" s="24">
        <v>45995.55262372685</v>
      </c>
      <c r="AO243">
        <v>1</v>
      </c>
      <c r="AP243" s="24"/>
      <c r="AQ243" s="24"/>
      <c r="AR243" s="24">
        <v>45995.50211321759</v>
      </c>
      <c r="AS243" s="24">
        <v>45995.50211321759</v>
      </c>
      <c r="AX243" s="24"/>
      <c r="AY243" s="24"/>
      <c r="AZ243" s="24"/>
      <c r="BA243" s="24"/>
      <c r="BC243" s="24">
        <v>45995.555648067129</v>
      </c>
      <c r="BD243" s="24">
        <v>45995.555648067129</v>
      </c>
      <c r="BE243" s="24">
        <v>45999.465065173608</v>
      </c>
      <c r="BF243" s="24">
        <v>45999.465065173608</v>
      </c>
      <c r="BG243">
        <v>1</v>
      </c>
      <c r="BH243" s="24">
        <v>45995.50211321759</v>
      </c>
      <c r="BI243" s="24">
        <v>45995.50211321759</v>
      </c>
      <c r="BJ243" s="24">
        <v>45995.502173298613</v>
      </c>
      <c r="BK243" s="24">
        <v>45995.502173298613</v>
      </c>
      <c r="BL243">
        <v>1</v>
      </c>
      <c r="BM243" s="24"/>
      <c r="BN243" s="24"/>
      <c r="BO243" s="24"/>
      <c r="BP243" s="24"/>
      <c r="BR243" s="24">
        <v>45995.55262372685</v>
      </c>
      <c r="BS243" s="24">
        <v>45995.55262372685</v>
      </c>
      <c r="BT243" s="24">
        <v>45995.555648067129</v>
      </c>
      <c r="BU243" s="24">
        <v>45995.555648067129</v>
      </c>
      <c r="BV243">
        <v>1</v>
      </c>
      <c r="BW243" s="24"/>
      <c r="BX243" s="24"/>
      <c r="BY243" s="24"/>
      <c r="BZ243" s="24"/>
      <c r="CB243" s="24"/>
      <c r="CC243" s="24"/>
      <c r="CE243" s="24">
        <v>45999.465065173608</v>
      </c>
      <c r="CF243" s="24">
        <v>45999.465065173608</v>
      </c>
      <c r="CG243">
        <v>1</v>
      </c>
      <c r="CH243" s="24"/>
      <c r="CI243" s="24"/>
      <c r="CJ243" s="24"/>
      <c r="CK243" s="24"/>
      <c r="DE243" s="24"/>
      <c r="DF243" s="24"/>
      <c r="DG243" s="24"/>
      <c r="DH243" s="24"/>
      <c r="DJ243" t="s">
        <v>149</v>
      </c>
      <c r="DK243" t="s">
        <v>149</v>
      </c>
      <c r="DM243">
        <v>4</v>
      </c>
      <c r="DN243">
        <v>4</v>
      </c>
      <c r="DQ243" t="s">
        <v>1000</v>
      </c>
      <c r="DR243" t="s">
        <v>149</v>
      </c>
      <c r="DS243" s="24">
        <v>46160.384426226854</v>
      </c>
    </row>
    <row r="244" spans="1:123" x14ac:dyDescent="0.3">
      <c r="A244" t="s">
        <v>495</v>
      </c>
      <c r="D244" t="s">
        <v>223</v>
      </c>
      <c r="E244" s="24">
        <v>45994.330567129633</v>
      </c>
      <c r="G244" t="s">
        <v>90</v>
      </c>
      <c r="H244" t="s">
        <v>155</v>
      </c>
      <c r="I244" s="24">
        <v>46008.768931678242</v>
      </c>
      <c r="J244" s="24">
        <v>46008.768931678242</v>
      </c>
      <c r="K244" s="24">
        <v>46008.769032430559</v>
      </c>
      <c r="L244" s="24">
        <v>46008.769032430559</v>
      </c>
      <c r="M244">
        <v>1</v>
      </c>
      <c r="N244" s="24">
        <v>46020.494665937498</v>
      </c>
      <c r="O244" s="24">
        <v>46020.494665937498</v>
      </c>
      <c r="P244" s="24">
        <v>46027.410399363427</v>
      </c>
      <c r="Q244" s="24">
        <v>46027.410399363427</v>
      </c>
      <c r="R244">
        <v>1</v>
      </c>
      <c r="V244" s="24"/>
      <c r="W244" s="24"/>
      <c r="X244" s="24"/>
      <c r="Y244" s="24"/>
      <c r="AA244" s="24">
        <v>46027.410399363427</v>
      </c>
      <c r="AB244" s="24">
        <v>46007.460552523145</v>
      </c>
      <c r="AC244" s="24">
        <v>46008.76829777778</v>
      </c>
      <c r="AD244" s="24">
        <v>46027.410456400467</v>
      </c>
      <c r="AE244">
        <v>4</v>
      </c>
      <c r="AF244" s="24">
        <v>46020.491002337963</v>
      </c>
      <c r="AG244" s="24">
        <v>46020.491002337963</v>
      </c>
      <c r="AH244" s="24">
        <v>46020.491053206017</v>
      </c>
      <c r="AI244" s="24">
        <v>46020.491053206017</v>
      </c>
      <c r="AJ244">
        <v>1</v>
      </c>
      <c r="AK244" s="24"/>
      <c r="AL244" s="24"/>
      <c r="AM244" s="24"/>
      <c r="AN244" s="24"/>
      <c r="AP244" s="24"/>
      <c r="AQ244" s="24"/>
      <c r="AR244" s="24">
        <v>46000.649277025463</v>
      </c>
      <c r="AS244" s="24">
        <v>46000.649277025463</v>
      </c>
      <c r="AX244" s="24"/>
      <c r="AY244" s="24"/>
      <c r="AZ244" s="24"/>
      <c r="BA244" s="24"/>
      <c r="BC244" s="24"/>
      <c r="BD244" s="24"/>
      <c r="BE244" s="24"/>
      <c r="BF244" s="24"/>
      <c r="BH244" s="24">
        <v>46008.769032430559</v>
      </c>
      <c r="BI244" s="24">
        <v>46000.649277025463</v>
      </c>
      <c r="BJ244" s="24">
        <v>46007.460552523145</v>
      </c>
      <c r="BK244" s="24">
        <v>46020.490908854168</v>
      </c>
      <c r="BL244">
        <v>2</v>
      </c>
      <c r="BM244" s="24"/>
      <c r="BN244" s="24"/>
      <c r="BO244" s="24"/>
      <c r="BP244" s="24"/>
      <c r="BR244" s="24">
        <v>46027.410456400467</v>
      </c>
      <c r="BS244" s="24">
        <v>46020.491053206017</v>
      </c>
      <c r="BT244" s="24">
        <v>46020.494590509261</v>
      </c>
      <c r="BU244" s="24">
        <v>46027.410500138889</v>
      </c>
      <c r="BV244">
        <v>2</v>
      </c>
      <c r="BW244" s="24"/>
      <c r="BX244" s="24"/>
      <c r="BY244" s="24"/>
      <c r="BZ244" s="24"/>
      <c r="CB244" s="24"/>
      <c r="CC244" s="24"/>
      <c r="CE244" s="24">
        <v>46027.410500138889</v>
      </c>
      <c r="CF244" s="24">
        <v>46008.76829777778</v>
      </c>
      <c r="CG244">
        <v>2</v>
      </c>
      <c r="CH244" s="24">
        <v>46008.768863310186</v>
      </c>
      <c r="CI244" s="24">
        <v>46008.768863310186</v>
      </c>
      <c r="CJ244" s="24">
        <v>46008.768931678242</v>
      </c>
      <c r="CK244" s="24">
        <v>46008.768931678242</v>
      </c>
      <c r="CL244">
        <v>1</v>
      </c>
      <c r="DE244" s="24"/>
      <c r="DF244" s="24"/>
      <c r="DG244" s="24"/>
      <c r="DH244" s="24"/>
      <c r="DJ244" t="s">
        <v>149</v>
      </c>
      <c r="DK244" t="s">
        <v>149</v>
      </c>
      <c r="DL244">
        <v>6.9157333333333337</v>
      </c>
      <c r="DM244">
        <v>27</v>
      </c>
      <c r="DN244">
        <v>20</v>
      </c>
      <c r="DQ244" t="s">
        <v>1000</v>
      </c>
      <c r="DR244" t="s">
        <v>149</v>
      </c>
      <c r="DS244" s="24">
        <v>46160.384426226854</v>
      </c>
    </row>
    <row r="245" spans="1:123" x14ac:dyDescent="0.3">
      <c r="A245" t="s">
        <v>496</v>
      </c>
      <c r="D245" t="s">
        <v>223</v>
      </c>
      <c r="E245" s="24">
        <v>45993.554988425924</v>
      </c>
      <c r="G245" t="s">
        <v>150</v>
      </c>
      <c r="H245" t="s">
        <v>155</v>
      </c>
      <c r="I245" s="24"/>
      <c r="J245" s="24"/>
      <c r="K245" s="24"/>
      <c r="L245" s="24"/>
      <c r="N245" s="24"/>
      <c r="O245" s="24"/>
      <c r="P245" s="24"/>
      <c r="Q245" s="24"/>
      <c r="V245" s="24"/>
      <c r="W245" s="24"/>
      <c r="X245" s="24"/>
      <c r="Y245" s="24"/>
      <c r="AA245" s="24"/>
      <c r="AB245" s="24"/>
      <c r="AC245" s="24"/>
      <c r="AD245" s="24"/>
      <c r="AF245" s="24"/>
      <c r="AG245" s="24"/>
      <c r="AH245" s="24"/>
      <c r="AI245" s="24"/>
      <c r="AK245" s="24"/>
      <c r="AL245" s="24"/>
      <c r="AM245" s="24"/>
      <c r="AN245" s="24"/>
      <c r="AP245" s="24"/>
      <c r="AQ245" s="24"/>
      <c r="AR245" s="24">
        <v>46084.340356365741</v>
      </c>
      <c r="AS245" s="24">
        <v>46084.340356365741</v>
      </c>
      <c r="AX245" s="24"/>
      <c r="AY245" s="24"/>
      <c r="AZ245" s="24"/>
      <c r="BA245" s="24"/>
      <c r="BC245" s="24"/>
      <c r="BD245" s="24"/>
      <c r="BE245" s="24"/>
      <c r="BF245" s="24"/>
      <c r="BH245" s="24"/>
      <c r="BI245" s="24"/>
      <c r="BJ245" s="24"/>
      <c r="BK245" s="24"/>
      <c r="BM245" s="24"/>
      <c r="BN245" s="24"/>
      <c r="BO245" s="24"/>
      <c r="BP245" s="24"/>
      <c r="BR245" s="24"/>
      <c r="BS245" s="24"/>
      <c r="BT245" s="24"/>
      <c r="BU245" s="24"/>
      <c r="BW245" s="24"/>
      <c r="BX245" s="24"/>
      <c r="BY245" s="24"/>
      <c r="BZ245" s="24"/>
      <c r="CB245" s="24">
        <v>46084.340356365741</v>
      </c>
      <c r="CC245" s="24">
        <v>46084.340356365741</v>
      </c>
      <c r="CD245">
        <v>1</v>
      </c>
      <c r="CE245" s="24"/>
      <c r="CF245" s="24"/>
      <c r="CH245" s="24"/>
      <c r="CI245" s="24"/>
      <c r="CJ245" s="24"/>
      <c r="CK245" s="24"/>
      <c r="DE245" s="24"/>
      <c r="DF245" s="24"/>
      <c r="DG245" s="24"/>
      <c r="DH245" s="24"/>
      <c r="DJ245" t="s">
        <v>149</v>
      </c>
      <c r="DK245" t="s">
        <v>149</v>
      </c>
      <c r="DQ245" t="s">
        <v>1000</v>
      </c>
      <c r="DR245" t="s">
        <v>149</v>
      </c>
      <c r="DS245" s="24">
        <v>46160.384426226854</v>
      </c>
    </row>
    <row r="246" spans="1:123" x14ac:dyDescent="0.3">
      <c r="A246" t="s">
        <v>497</v>
      </c>
      <c r="D246" t="s">
        <v>225</v>
      </c>
      <c r="E246" s="24">
        <v>45989.373541666668</v>
      </c>
      <c r="G246" t="s">
        <v>90</v>
      </c>
      <c r="H246" t="s">
        <v>155</v>
      </c>
      <c r="I246" s="24"/>
      <c r="J246" s="24"/>
      <c r="K246" s="24"/>
      <c r="L246" s="24"/>
      <c r="N246" s="24"/>
      <c r="O246" s="24"/>
      <c r="P246" s="24"/>
      <c r="Q246" s="24"/>
      <c r="V246" s="24"/>
      <c r="W246" s="24"/>
      <c r="X246" s="24"/>
      <c r="Y246" s="24"/>
      <c r="AA246" s="24">
        <v>45994.501861296296</v>
      </c>
      <c r="AB246" s="24">
        <v>45994.501861296296</v>
      </c>
      <c r="AC246" s="24">
        <v>45994.509953020832</v>
      </c>
      <c r="AD246" s="24">
        <v>45994.509953020832</v>
      </c>
      <c r="AE246">
        <v>1</v>
      </c>
      <c r="AF246" s="24">
        <v>45994.509953020832</v>
      </c>
      <c r="AG246" s="24">
        <v>45994.509953020832</v>
      </c>
      <c r="AH246" s="24">
        <v>45995.463677858796</v>
      </c>
      <c r="AI246" s="24">
        <v>45995.463677858796</v>
      </c>
      <c r="AJ246">
        <v>1</v>
      </c>
      <c r="AK246" s="24">
        <v>45995.463677858796</v>
      </c>
      <c r="AL246" s="24">
        <v>45995.463677858796</v>
      </c>
      <c r="AM246" s="24">
        <v>45996.407211516205</v>
      </c>
      <c r="AN246" s="24">
        <v>45996.407211516205</v>
      </c>
      <c r="AO246">
        <v>1</v>
      </c>
      <c r="AP246" s="24"/>
      <c r="AQ246" s="24"/>
      <c r="AR246" s="24">
        <v>45989.386543865738</v>
      </c>
      <c r="AS246" s="24">
        <v>45989.386543865738</v>
      </c>
      <c r="AX246" s="24"/>
      <c r="AY246" s="24"/>
      <c r="AZ246" s="24"/>
      <c r="BA246" s="24"/>
      <c r="BC246" s="24">
        <v>45996.407305821762</v>
      </c>
      <c r="BD246" s="24">
        <v>45996.407305821762</v>
      </c>
      <c r="BE246" s="24">
        <v>46041.620751770832</v>
      </c>
      <c r="BF246" s="24">
        <v>46041.620751770832</v>
      </c>
      <c r="BG246">
        <v>1</v>
      </c>
      <c r="BH246" s="24">
        <v>45989.386543865738</v>
      </c>
      <c r="BI246" s="24">
        <v>45989.386543865738</v>
      </c>
      <c r="BJ246" s="24">
        <v>45994.501861296296</v>
      </c>
      <c r="BK246" s="24">
        <v>45994.501861296296</v>
      </c>
      <c r="BL246">
        <v>1</v>
      </c>
      <c r="BM246" s="24"/>
      <c r="BN246" s="24"/>
      <c r="BO246" s="24"/>
      <c r="BP246" s="24"/>
      <c r="BR246" s="24">
        <v>45996.407211516205</v>
      </c>
      <c r="BS246" s="24">
        <v>45996.407211516205</v>
      </c>
      <c r="BT246" s="24">
        <v>45996.407305821762</v>
      </c>
      <c r="BU246" s="24">
        <v>45996.407305821762</v>
      </c>
      <c r="BV246">
        <v>1</v>
      </c>
      <c r="BW246" s="24"/>
      <c r="BX246" s="24"/>
      <c r="BY246" s="24"/>
      <c r="BZ246" s="24"/>
      <c r="CB246" s="24"/>
      <c r="CC246" s="24"/>
      <c r="CE246" s="24">
        <v>46041.620751770832</v>
      </c>
      <c r="CF246" s="24">
        <v>46041.620751770832</v>
      </c>
      <c r="CG246">
        <v>1</v>
      </c>
      <c r="CH246" s="24"/>
      <c r="CI246" s="24"/>
      <c r="CJ246" s="24"/>
      <c r="CK246" s="24"/>
      <c r="DE246" s="24"/>
      <c r="DF246" s="24"/>
      <c r="DG246" s="24"/>
      <c r="DH246" s="24"/>
      <c r="DJ246" t="s">
        <v>149</v>
      </c>
      <c r="DK246" t="s">
        <v>149</v>
      </c>
      <c r="DM246">
        <v>53</v>
      </c>
      <c r="DN246">
        <v>48</v>
      </c>
      <c r="DQ246" t="s">
        <v>1000</v>
      </c>
      <c r="DR246" t="s">
        <v>149</v>
      </c>
      <c r="DS246" s="24">
        <v>46160.384426226854</v>
      </c>
    </row>
    <row r="247" spans="1:123" x14ac:dyDescent="0.3">
      <c r="A247" t="s">
        <v>498</v>
      </c>
      <c r="D247" t="s">
        <v>223</v>
      </c>
      <c r="E247" s="24">
        <v>45988.513599537036</v>
      </c>
      <c r="G247" t="s">
        <v>90</v>
      </c>
      <c r="H247" t="s">
        <v>155</v>
      </c>
      <c r="I247" s="24"/>
      <c r="J247" s="24"/>
      <c r="K247" s="24"/>
      <c r="L247" s="24"/>
      <c r="N247" s="24">
        <v>45988.515685578706</v>
      </c>
      <c r="O247" s="24">
        <v>45988.515685578706</v>
      </c>
      <c r="P247" s="24">
        <v>46003.552481967592</v>
      </c>
      <c r="Q247" s="24">
        <v>46003.552481967592</v>
      </c>
      <c r="R247">
        <v>1</v>
      </c>
      <c r="V247" s="24"/>
      <c r="W247" s="24"/>
      <c r="X247" s="24"/>
      <c r="Y247" s="24"/>
      <c r="AA247" s="24">
        <v>46003.552481967592</v>
      </c>
      <c r="AB247" s="24">
        <v>45988.515601736108</v>
      </c>
      <c r="AC247" s="24">
        <v>45988.515685578706</v>
      </c>
      <c r="AD247" s="24">
        <v>46003.558056307869</v>
      </c>
      <c r="AE247">
        <v>2</v>
      </c>
      <c r="AF247" s="24"/>
      <c r="AG247" s="24"/>
      <c r="AH247" s="24"/>
      <c r="AI247" s="24"/>
      <c r="AK247" s="24"/>
      <c r="AL247" s="24"/>
      <c r="AM247" s="24"/>
      <c r="AN247" s="24"/>
      <c r="AP247" s="24"/>
      <c r="AQ247" s="24"/>
      <c r="AR247" s="24">
        <v>45988.515372546295</v>
      </c>
      <c r="AS247" s="24">
        <v>45988.515372546295</v>
      </c>
      <c r="AX247" s="24"/>
      <c r="AY247" s="24"/>
      <c r="AZ247" s="24"/>
      <c r="BA247" s="24"/>
      <c r="BC247" s="24"/>
      <c r="BD247" s="24"/>
      <c r="BE247" s="24"/>
      <c r="BF247" s="24"/>
      <c r="BH247" s="24">
        <v>45988.515372546295</v>
      </c>
      <c r="BI247" s="24">
        <v>45988.515372546295</v>
      </c>
      <c r="BJ247" s="24">
        <v>45988.515601736108</v>
      </c>
      <c r="BK247" s="24">
        <v>45988.515601736108</v>
      </c>
      <c r="BL247">
        <v>1</v>
      </c>
      <c r="BM247" s="24"/>
      <c r="BN247" s="24"/>
      <c r="BO247" s="24"/>
      <c r="BP247" s="24"/>
      <c r="BR247" s="24">
        <v>46003.558056307869</v>
      </c>
      <c r="BS247" s="24">
        <v>46003.558056307869</v>
      </c>
      <c r="BT247" s="24">
        <v>46006.438812395834</v>
      </c>
      <c r="BU247" s="24">
        <v>46006.438812395834</v>
      </c>
      <c r="BV247">
        <v>1</v>
      </c>
      <c r="BW247" s="24"/>
      <c r="BX247" s="24"/>
      <c r="BY247" s="24"/>
      <c r="BZ247" s="24"/>
      <c r="CB247" s="24"/>
      <c r="CC247" s="24"/>
      <c r="CE247" s="24">
        <v>46006.438812395834</v>
      </c>
      <c r="CF247" s="24">
        <v>46006.438812395834</v>
      </c>
      <c r="CG247">
        <v>1</v>
      </c>
      <c r="CH247" s="24"/>
      <c r="CI247" s="24"/>
      <c r="CJ247" s="24"/>
      <c r="CK247" s="24"/>
      <c r="DE247" s="24"/>
      <c r="DF247" s="24"/>
      <c r="DG247" s="24"/>
      <c r="DH247" s="24"/>
      <c r="DJ247" t="s">
        <v>149</v>
      </c>
      <c r="DK247" t="s">
        <v>149</v>
      </c>
      <c r="DL247">
        <v>15.036796296296297</v>
      </c>
      <c r="DM247">
        <v>18</v>
      </c>
      <c r="DN247">
        <v>18</v>
      </c>
      <c r="DQ247" t="s">
        <v>1000</v>
      </c>
      <c r="DR247" t="s">
        <v>149</v>
      </c>
      <c r="DS247" s="24">
        <v>46160.384426226854</v>
      </c>
    </row>
    <row r="248" spans="1:123" x14ac:dyDescent="0.3">
      <c r="A248" t="s">
        <v>499</v>
      </c>
      <c r="D248" t="s">
        <v>225</v>
      </c>
      <c r="E248" s="24">
        <v>45988.383935185186</v>
      </c>
      <c r="G248" t="s">
        <v>102</v>
      </c>
      <c r="H248" t="s">
        <v>154</v>
      </c>
      <c r="I248" s="24"/>
      <c r="J248" s="24"/>
      <c r="K248" s="24"/>
      <c r="L248" s="24"/>
      <c r="N248" s="24"/>
      <c r="O248" s="24"/>
      <c r="P248" s="24"/>
      <c r="Q248" s="24"/>
      <c r="V248" s="24"/>
      <c r="W248" s="24"/>
      <c r="X248" s="24"/>
      <c r="Y248" s="24"/>
      <c r="AA248" s="24"/>
      <c r="AB248" s="24"/>
      <c r="AC248" s="24"/>
      <c r="AD248" s="24"/>
      <c r="AF248" s="24"/>
      <c r="AG248" s="24"/>
      <c r="AH248" s="24"/>
      <c r="AI248" s="24"/>
      <c r="AK248" s="24"/>
      <c r="AL248" s="24"/>
      <c r="AM248" s="24"/>
      <c r="AN248" s="24"/>
      <c r="AP248" s="24"/>
      <c r="AQ248" s="24"/>
      <c r="AR248" s="24"/>
      <c r="AS248" s="24"/>
      <c r="AX248" s="24"/>
      <c r="AY248" s="24"/>
      <c r="AZ248" s="24"/>
      <c r="BA248" s="24"/>
      <c r="BC248" s="24"/>
      <c r="BD248" s="24"/>
      <c r="BE248" s="24"/>
      <c r="BF248" s="24"/>
      <c r="BH248" s="24"/>
      <c r="BI248" s="24"/>
      <c r="BJ248" s="24"/>
      <c r="BK248" s="24"/>
      <c r="BM248" s="24"/>
      <c r="BN248" s="24"/>
      <c r="BO248" s="24"/>
      <c r="BP248" s="24"/>
      <c r="BR248" s="24"/>
      <c r="BS248" s="24"/>
      <c r="BT248" s="24"/>
      <c r="BU248" s="24"/>
      <c r="BW248" s="24"/>
      <c r="BX248" s="24"/>
      <c r="BY248" s="24"/>
      <c r="BZ248" s="24"/>
      <c r="CB248" s="24"/>
      <c r="CC248" s="24"/>
      <c r="CE248" s="24"/>
      <c r="CF248" s="24"/>
      <c r="CH248" s="24"/>
      <c r="CI248" s="24"/>
      <c r="CJ248" s="24"/>
      <c r="CK248" s="24"/>
      <c r="DE248" s="24"/>
      <c r="DF248" s="24"/>
      <c r="DG248" s="24"/>
      <c r="DH248" s="24"/>
      <c r="DJ248" t="s">
        <v>149</v>
      </c>
      <c r="DK248" t="s">
        <v>149</v>
      </c>
      <c r="DQ248" t="s">
        <v>1000</v>
      </c>
      <c r="DR248" t="s">
        <v>149</v>
      </c>
      <c r="DS248" s="24">
        <v>46160.384426226854</v>
      </c>
    </row>
    <row r="249" spans="1:123" x14ac:dyDescent="0.3">
      <c r="A249" t="s">
        <v>500</v>
      </c>
      <c r="D249" t="s">
        <v>225</v>
      </c>
      <c r="E249" s="24">
        <v>45986.461157407408</v>
      </c>
      <c r="G249" t="s">
        <v>102</v>
      </c>
      <c r="H249" t="s">
        <v>154</v>
      </c>
      <c r="I249" s="24"/>
      <c r="J249" s="24"/>
      <c r="K249" s="24"/>
      <c r="L249" s="24"/>
      <c r="N249" s="24"/>
      <c r="O249" s="24"/>
      <c r="P249" s="24"/>
      <c r="Q249" s="24"/>
      <c r="V249" s="24"/>
      <c r="W249" s="24"/>
      <c r="X249" s="24"/>
      <c r="Y249" s="24"/>
      <c r="AA249" s="24"/>
      <c r="AB249" s="24"/>
      <c r="AC249" s="24"/>
      <c r="AD249" s="24"/>
      <c r="AF249" s="24"/>
      <c r="AG249" s="24"/>
      <c r="AH249" s="24"/>
      <c r="AI249" s="24"/>
      <c r="AK249" s="24"/>
      <c r="AL249" s="24"/>
      <c r="AM249" s="24"/>
      <c r="AN249" s="24"/>
      <c r="AP249" s="24"/>
      <c r="AQ249" s="24"/>
      <c r="AR249" s="24"/>
      <c r="AS249" s="24"/>
      <c r="AX249" s="24"/>
      <c r="AY249" s="24"/>
      <c r="AZ249" s="24"/>
      <c r="BA249" s="24"/>
      <c r="BC249" s="24"/>
      <c r="BD249" s="24"/>
      <c r="BE249" s="24"/>
      <c r="BF249" s="24"/>
      <c r="BH249" s="24"/>
      <c r="BI249" s="24"/>
      <c r="BJ249" s="24"/>
      <c r="BK249" s="24"/>
      <c r="BM249" s="24"/>
      <c r="BN249" s="24"/>
      <c r="BO249" s="24"/>
      <c r="BP249" s="24"/>
      <c r="BR249" s="24"/>
      <c r="BS249" s="24"/>
      <c r="BT249" s="24"/>
      <c r="BU249" s="24"/>
      <c r="BW249" s="24"/>
      <c r="BX249" s="24"/>
      <c r="BY249" s="24"/>
      <c r="BZ249" s="24"/>
      <c r="CB249" s="24"/>
      <c r="CC249" s="24"/>
      <c r="CE249" s="24"/>
      <c r="CF249" s="24"/>
      <c r="CH249" s="24"/>
      <c r="CI249" s="24"/>
      <c r="CJ249" s="24"/>
      <c r="CK249" s="24"/>
      <c r="DE249" s="24"/>
      <c r="DF249" s="24"/>
      <c r="DG249" s="24"/>
      <c r="DH249" s="24"/>
      <c r="DJ249" t="s">
        <v>149</v>
      </c>
      <c r="DK249" t="s">
        <v>149</v>
      </c>
      <c r="DQ249" t="s">
        <v>1000</v>
      </c>
      <c r="DR249" t="s">
        <v>149</v>
      </c>
      <c r="DS249" s="24">
        <v>46160.384426226854</v>
      </c>
    </row>
    <row r="250" spans="1:123" x14ac:dyDescent="0.3">
      <c r="A250" t="s">
        <v>501</v>
      </c>
      <c r="D250" t="s">
        <v>223</v>
      </c>
      <c r="E250" s="24">
        <v>45986.382071759261</v>
      </c>
      <c r="G250" t="s">
        <v>90</v>
      </c>
      <c r="H250" t="s">
        <v>155</v>
      </c>
      <c r="I250" s="24"/>
      <c r="J250" s="24"/>
      <c r="K250" s="24"/>
      <c r="L250" s="24"/>
      <c r="N250" s="24"/>
      <c r="O250" s="24"/>
      <c r="P250" s="24"/>
      <c r="Q250" s="24"/>
      <c r="V250" s="24"/>
      <c r="W250" s="24"/>
      <c r="X250" s="24"/>
      <c r="Y250" s="24"/>
      <c r="AA250" s="24">
        <v>46085.653281296298</v>
      </c>
      <c r="AB250" s="24">
        <v>46085.653281296298</v>
      </c>
      <c r="AC250" s="24">
        <v>46085.653343854166</v>
      </c>
      <c r="AD250" s="24">
        <v>46085.653343854166</v>
      </c>
      <c r="AE250">
        <v>1</v>
      </c>
      <c r="AF250" s="24">
        <v>46085.653343854166</v>
      </c>
      <c r="AG250" s="24">
        <v>46085.653343854166</v>
      </c>
      <c r="AH250" s="24">
        <v>46085.653418587965</v>
      </c>
      <c r="AI250" s="24">
        <v>46085.653418587965</v>
      </c>
      <c r="AJ250">
        <v>1</v>
      </c>
      <c r="AK250" s="24"/>
      <c r="AL250" s="24"/>
      <c r="AM250" s="24"/>
      <c r="AN250" s="24"/>
      <c r="AP250" s="24"/>
      <c r="AQ250" s="24"/>
      <c r="AR250" s="24">
        <v>45987.449616782411</v>
      </c>
      <c r="AS250" s="24">
        <v>45987.449616782411</v>
      </c>
      <c r="AX250" s="24"/>
      <c r="AY250" s="24"/>
      <c r="AZ250" s="24"/>
      <c r="BA250" s="24"/>
      <c r="BC250" s="24"/>
      <c r="BD250" s="24"/>
      <c r="BE250" s="24"/>
      <c r="BF250" s="24"/>
      <c r="BH250" s="24">
        <v>45987.449616782411</v>
      </c>
      <c r="BI250" s="24">
        <v>45987.449616782411</v>
      </c>
      <c r="BJ250" s="24">
        <v>46085.653281296298</v>
      </c>
      <c r="BK250" s="24">
        <v>46085.653281296298</v>
      </c>
      <c r="BL250">
        <v>1</v>
      </c>
      <c r="BM250" s="24"/>
      <c r="BN250" s="24"/>
      <c r="BO250" s="24"/>
      <c r="BP250" s="24"/>
      <c r="BR250" s="24">
        <v>46085.653418587965</v>
      </c>
      <c r="BS250" s="24">
        <v>46085.653418587965</v>
      </c>
      <c r="BT250" s="24">
        <v>46086.711530069442</v>
      </c>
      <c r="BU250" s="24">
        <v>46086.711530069442</v>
      </c>
      <c r="BV250">
        <v>1</v>
      </c>
      <c r="BW250" s="24"/>
      <c r="BX250" s="24"/>
      <c r="BY250" s="24"/>
      <c r="BZ250" s="24"/>
      <c r="CB250" s="24"/>
      <c r="CC250" s="24"/>
      <c r="CE250" s="24">
        <v>46086.711530069442</v>
      </c>
      <c r="CF250" s="24">
        <v>46086.711530069442</v>
      </c>
      <c r="CG250">
        <v>1</v>
      </c>
      <c r="CH250" s="24"/>
      <c r="CI250" s="24"/>
      <c r="CJ250" s="24"/>
      <c r="CK250" s="24"/>
      <c r="DE250" s="24"/>
      <c r="DF250" s="24"/>
      <c r="DG250" s="24"/>
      <c r="DH250" s="24"/>
      <c r="DJ250" t="s">
        <v>149</v>
      </c>
      <c r="DK250" t="s">
        <v>149</v>
      </c>
      <c r="DM250">
        <v>100</v>
      </c>
      <c r="DN250">
        <v>2</v>
      </c>
      <c r="DQ250" t="s">
        <v>1000</v>
      </c>
      <c r="DR250" t="s">
        <v>149</v>
      </c>
      <c r="DS250" s="24">
        <v>46160.384426226854</v>
      </c>
    </row>
    <row r="251" spans="1:123" x14ac:dyDescent="0.3">
      <c r="A251" t="s">
        <v>502</v>
      </c>
      <c r="D251" t="s">
        <v>223</v>
      </c>
      <c r="E251" s="24">
        <v>45986.374224537038</v>
      </c>
      <c r="G251" t="s">
        <v>90</v>
      </c>
      <c r="H251" t="s">
        <v>155</v>
      </c>
      <c r="I251" s="24"/>
      <c r="J251" s="24"/>
      <c r="K251" s="24"/>
      <c r="L251" s="24"/>
      <c r="N251" s="24"/>
      <c r="O251" s="24"/>
      <c r="P251" s="24"/>
      <c r="Q251" s="24"/>
      <c r="V251" s="24"/>
      <c r="W251" s="24"/>
      <c r="X251" s="24"/>
      <c r="Y251" s="24"/>
      <c r="AA251" s="24">
        <v>45989.405294733799</v>
      </c>
      <c r="AB251" s="24">
        <v>45989.405294733799</v>
      </c>
      <c r="AC251" s="24">
        <v>45989.405549756942</v>
      </c>
      <c r="AD251" s="24">
        <v>45989.405549756942</v>
      </c>
      <c r="AE251">
        <v>1</v>
      </c>
      <c r="AF251" s="24">
        <v>45989.405549756942</v>
      </c>
      <c r="AG251" s="24">
        <v>45989.405549756942</v>
      </c>
      <c r="AH251" s="24">
        <v>45992.402824814817</v>
      </c>
      <c r="AI251" s="24">
        <v>45992.402824814817</v>
      </c>
      <c r="AJ251">
        <v>1</v>
      </c>
      <c r="AK251" s="24"/>
      <c r="AL251" s="24"/>
      <c r="AM251" s="24"/>
      <c r="AN251" s="24"/>
      <c r="AP251" s="24"/>
      <c r="AQ251" s="24"/>
      <c r="AR251" s="24">
        <v>45986.46516615741</v>
      </c>
      <c r="AS251" s="24">
        <v>45986.46516615741</v>
      </c>
      <c r="AX251" s="24"/>
      <c r="AY251" s="24"/>
      <c r="AZ251" s="24"/>
      <c r="BA251" s="24"/>
      <c r="BC251" s="24"/>
      <c r="BD251" s="24"/>
      <c r="BE251" s="24"/>
      <c r="BF251" s="24"/>
      <c r="BH251" s="24">
        <v>45986.46516615741</v>
      </c>
      <c r="BI251" s="24">
        <v>45986.46516615741</v>
      </c>
      <c r="BJ251" s="24">
        <v>45989.405294733799</v>
      </c>
      <c r="BK251" s="24">
        <v>45989.405294733799</v>
      </c>
      <c r="BL251">
        <v>1</v>
      </c>
      <c r="BM251" s="24"/>
      <c r="BN251" s="24"/>
      <c r="BO251" s="24"/>
      <c r="BP251" s="24"/>
      <c r="BR251" s="24">
        <v>45992.402824814817</v>
      </c>
      <c r="BS251" s="24">
        <v>45992.402824814817</v>
      </c>
      <c r="BT251" s="24">
        <v>45992.403432256942</v>
      </c>
      <c r="BU251" s="24">
        <v>45992.403432256942</v>
      </c>
      <c r="BV251">
        <v>1</v>
      </c>
      <c r="BW251" s="24"/>
      <c r="BX251" s="24"/>
      <c r="BY251" s="24"/>
      <c r="BZ251" s="24"/>
      <c r="CB251" s="24"/>
      <c r="CC251" s="24"/>
      <c r="CE251" s="24">
        <v>45992.403432256942</v>
      </c>
      <c r="CF251" s="24">
        <v>45992.403432256942</v>
      </c>
      <c r="CG251">
        <v>1</v>
      </c>
      <c r="CH251" s="24"/>
      <c r="CI251" s="24"/>
      <c r="CJ251" s="24"/>
      <c r="CK251" s="24"/>
      <c r="DE251" s="24"/>
      <c r="DF251" s="24"/>
      <c r="DG251" s="24"/>
      <c r="DH251" s="24"/>
      <c r="DJ251" t="s">
        <v>149</v>
      </c>
      <c r="DK251" t="s">
        <v>149</v>
      </c>
      <c r="DM251">
        <v>6</v>
      </c>
      <c r="DN251">
        <v>3</v>
      </c>
      <c r="DQ251" t="s">
        <v>1000</v>
      </c>
      <c r="DR251" t="s">
        <v>149</v>
      </c>
      <c r="DS251" s="24">
        <v>46160.384426226854</v>
      </c>
    </row>
    <row r="252" spans="1:123" x14ac:dyDescent="0.3">
      <c r="A252" t="s">
        <v>503</v>
      </c>
      <c r="D252" t="s">
        <v>223</v>
      </c>
      <c r="E252" s="24">
        <v>45986.336689814816</v>
      </c>
      <c r="G252" t="s">
        <v>90</v>
      </c>
      <c r="H252" t="s">
        <v>155</v>
      </c>
      <c r="I252" s="24"/>
      <c r="J252" s="24"/>
      <c r="K252" s="24"/>
      <c r="L252" s="24"/>
      <c r="N252" s="24"/>
      <c r="O252" s="24"/>
      <c r="P252" s="24"/>
      <c r="Q252" s="24"/>
      <c r="V252" s="24"/>
      <c r="W252" s="24"/>
      <c r="X252" s="24"/>
      <c r="Y252" s="24"/>
      <c r="AA252" s="24">
        <v>45995.463596724534</v>
      </c>
      <c r="AB252" s="24">
        <v>45987.408246284722</v>
      </c>
      <c r="AC252" s="24">
        <v>45994.509737766202</v>
      </c>
      <c r="AD252" s="24">
        <v>45995.463633923609</v>
      </c>
      <c r="AE252">
        <v>3</v>
      </c>
      <c r="AF252" s="24">
        <v>45995.463633923609</v>
      </c>
      <c r="AG252" s="24">
        <v>45994.509737766202</v>
      </c>
      <c r="AH252" s="24">
        <v>45994.509919444441</v>
      </c>
      <c r="AI252" s="24">
        <v>45996.34086611111</v>
      </c>
      <c r="AJ252">
        <v>3</v>
      </c>
      <c r="AK252" s="24"/>
      <c r="AL252" s="24"/>
      <c r="AM252" s="24"/>
      <c r="AN252" s="24"/>
      <c r="AP252" s="24"/>
      <c r="AQ252" s="24"/>
      <c r="AR252" s="24">
        <v>45986.340483020831</v>
      </c>
      <c r="AS252" s="24">
        <v>45986.340483020831</v>
      </c>
      <c r="AX252" s="24"/>
      <c r="AY252" s="24"/>
      <c r="AZ252" s="24"/>
      <c r="BA252" s="24"/>
      <c r="BC252" s="24"/>
      <c r="BD252" s="24"/>
      <c r="BE252" s="24"/>
      <c r="BF252" s="24"/>
      <c r="BH252" s="24">
        <v>45986.340483020831</v>
      </c>
      <c r="BI252" s="24">
        <v>45986.340483020831</v>
      </c>
      <c r="BJ252" s="24">
        <v>45987.408246284722</v>
      </c>
      <c r="BK252" s="24">
        <v>45987.408246284722</v>
      </c>
      <c r="BL252">
        <v>1</v>
      </c>
      <c r="BM252" s="24"/>
      <c r="BN252" s="24"/>
      <c r="BO252" s="24"/>
      <c r="BP252" s="24"/>
      <c r="BR252" s="24">
        <v>45996.34086611111</v>
      </c>
      <c r="BS252" s="24">
        <v>45995.463520578705</v>
      </c>
      <c r="BT252" s="24">
        <v>45995.463596724534</v>
      </c>
      <c r="BU252" s="24">
        <v>45999.405673993053</v>
      </c>
      <c r="BV252">
        <v>2</v>
      </c>
      <c r="BW252" s="24"/>
      <c r="BX252" s="24"/>
      <c r="BY252" s="24"/>
      <c r="BZ252" s="24"/>
      <c r="CB252" s="24"/>
      <c r="CC252" s="24"/>
      <c r="CE252" s="24">
        <v>45999.405673993053</v>
      </c>
      <c r="CF252" s="24">
        <v>45999.405673993053</v>
      </c>
      <c r="CG252">
        <v>1</v>
      </c>
      <c r="CH252" s="24"/>
      <c r="CI252" s="24"/>
      <c r="CJ252" s="24"/>
      <c r="CK252" s="24"/>
      <c r="DE252" s="24"/>
      <c r="DF252" s="24"/>
      <c r="DG252" s="24"/>
      <c r="DH252" s="24"/>
      <c r="DJ252" t="s">
        <v>149</v>
      </c>
      <c r="DK252" t="s">
        <v>149</v>
      </c>
      <c r="DM252">
        <v>14</v>
      </c>
      <c r="DN252">
        <v>12</v>
      </c>
      <c r="DQ252" t="s">
        <v>1000</v>
      </c>
      <c r="DR252" t="s">
        <v>149</v>
      </c>
      <c r="DS252" s="24">
        <v>46160.384426226854</v>
      </c>
    </row>
    <row r="253" spans="1:123" x14ac:dyDescent="0.3">
      <c r="A253" t="s">
        <v>504</v>
      </c>
      <c r="D253" t="s">
        <v>223</v>
      </c>
      <c r="E253" s="24">
        <v>45985.538518518515</v>
      </c>
      <c r="G253" t="s">
        <v>90</v>
      </c>
      <c r="H253" t="s">
        <v>155</v>
      </c>
      <c r="I253" s="24"/>
      <c r="J253" s="24"/>
      <c r="K253" s="24"/>
      <c r="L253" s="24"/>
      <c r="N253" s="24"/>
      <c r="O253" s="24"/>
      <c r="P253" s="24"/>
      <c r="Q253" s="24"/>
      <c r="V253" s="24"/>
      <c r="W253" s="24"/>
      <c r="X253" s="24"/>
      <c r="Y253" s="24"/>
      <c r="AA253" s="24">
        <v>45987.383519861112</v>
      </c>
      <c r="AB253" s="24">
        <v>45987.383519861112</v>
      </c>
      <c r="AC253" s="24">
        <v>45999.462242476853</v>
      </c>
      <c r="AD253" s="24">
        <v>45999.462242476853</v>
      </c>
      <c r="AE253">
        <v>1</v>
      </c>
      <c r="AF253" s="24"/>
      <c r="AG253" s="24"/>
      <c r="AH253" s="24"/>
      <c r="AI253" s="24"/>
      <c r="AK253" s="24"/>
      <c r="AL253" s="24"/>
      <c r="AM253" s="24"/>
      <c r="AN253" s="24"/>
      <c r="AP253" s="24">
        <v>45985.764445914348</v>
      </c>
      <c r="AQ253" s="24">
        <v>45985.764445914348</v>
      </c>
      <c r="AR253" s="24">
        <v>45985.764445914348</v>
      </c>
      <c r="AS253" s="24">
        <v>45987.383358865744</v>
      </c>
      <c r="AT253">
        <v>1</v>
      </c>
      <c r="AX253" s="24"/>
      <c r="AY253" s="24"/>
      <c r="AZ253" s="24"/>
      <c r="BA253" s="24"/>
      <c r="BC253" s="24"/>
      <c r="BD253" s="24"/>
      <c r="BE253" s="24"/>
      <c r="BF253" s="24"/>
      <c r="BH253" s="24">
        <v>45987.383358865744</v>
      </c>
      <c r="BI253" s="24">
        <v>45987.383358865744</v>
      </c>
      <c r="BJ253" s="24">
        <v>45987.383519861112</v>
      </c>
      <c r="BK253" s="24">
        <v>45987.383519861112</v>
      </c>
      <c r="BL253">
        <v>1</v>
      </c>
      <c r="BM253" s="24"/>
      <c r="BN253" s="24"/>
      <c r="BO253" s="24"/>
      <c r="BP253" s="24"/>
      <c r="BR253" s="24">
        <v>45999.462242476853</v>
      </c>
      <c r="BS253" s="24">
        <v>45999.462242476853</v>
      </c>
      <c r="BT253" s="24">
        <v>45999.46229369213</v>
      </c>
      <c r="BU253" s="24">
        <v>45999.46229369213</v>
      </c>
      <c r="BV253">
        <v>1</v>
      </c>
      <c r="BW253" s="24"/>
      <c r="BX253" s="24"/>
      <c r="BY253" s="24"/>
      <c r="BZ253" s="24"/>
      <c r="CB253" s="24"/>
      <c r="CC253" s="24"/>
      <c r="CE253" s="24">
        <v>45999.46229369213</v>
      </c>
      <c r="CF253" s="24">
        <v>45999.46229369213</v>
      </c>
      <c r="CG253">
        <v>1</v>
      </c>
      <c r="CH253" s="24"/>
      <c r="CI253" s="24"/>
      <c r="CJ253" s="24"/>
      <c r="CK253" s="24"/>
      <c r="DE253" s="24"/>
      <c r="DF253" s="24"/>
      <c r="DG253" s="24"/>
      <c r="DH253" s="24"/>
      <c r="DJ253" t="s">
        <v>149</v>
      </c>
      <c r="DK253" t="s">
        <v>149</v>
      </c>
      <c r="DM253">
        <v>13</v>
      </c>
      <c r="DN253">
        <v>13</v>
      </c>
      <c r="DQ253" t="s">
        <v>1000</v>
      </c>
      <c r="DR253" t="s">
        <v>149</v>
      </c>
      <c r="DS253" s="24">
        <v>46160.384426226854</v>
      </c>
    </row>
    <row r="254" spans="1:123" x14ac:dyDescent="0.3">
      <c r="A254" t="s">
        <v>505</v>
      </c>
      <c r="D254" t="s">
        <v>223</v>
      </c>
      <c r="E254" s="24">
        <v>45985.489328703705</v>
      </c>
      <c r="G254" t="s">
        <v>90</v>
      </c>
      <c r="H254" t="s">
        <v>155</v>
      </c>
      <c r="I254" s="24"/>
      <c r="J254" s="24"/>
      <c r="K254" s="24"/>
      <c r="L254" s="24"/>
      <c r="N254" s="24"/>
      <c r="O254" s="24"/>
      <c r="P254" s="24"/>
      <c r="Q254" s="24"/>
      <c r="V254" s="24"/>
      <c r="W254" s="24"/>
      <c r="X254" s="24"/>
      <c r="Y254" s="24"/>
      <c r="AA254" s="24">
        <v>45988.661427407409</v>
      </c>
      <c r="AB254" s="24">
        <v>45988.661427407409</v>
      </c>
      <c r="AC254" s="24">
        <v>45999.714372557872</v>
      </c>
      <c r="AD254" s="24">
        <v>45999.714372557872</v>
      </c>
      <c r="AE254">
        <v>1</v>
      </c>
      <c r="AF254" s="24">
        <v>45999.714372557872</v>
      </c>
      <c r="AG254" s="24">
        <v>45999.714372557872</v>
      </c>
      <c r="AH254" s="24">
        <v>45999.714440995369</v>
      </c>
      <c r="AI254" s="24">
        <v>45999.714440995369</v>
      </c>
      <c r="AJ254">
        <v>1</v>
      </c>
      <c r="AK254" s="24"/>
      <c r="AL254" s="24"/>
      <c r="AM254" s="24"/>
      <c r="AN254" s="24"/>
      <c r="AP254" s="24"/>
      <c r="AQ254" s="24"/>
      <c r="AR254" s="24">
        <v>45987.449932858799</v>
      </c>
      <c r="AS254" s="24">
        <v>45987.449932858799</v>
      </c>
      <c r="AX254" s="24"/>
      <c r="AY254" s="24"/>
      <c r="AZ254" s="24"/>
      <c r="BA254" s="24"/>
      <c r="BC254" s="24"/>
      <c r="BD254" s="24"/>
      <c r="BE254" s="24"/>
      <c r="BF254" s="24"/>
      <c r="BH254" s="24">
        <v>45987.449932858799</v>
      </c>
      <c r="BI254" s="24">
        <v>45987.449932858799</v>
      </c>
      <c r="BJ254" s="24">
        <v>45988.661427407409</v>
      </c>
      <c r="BK254" s="24">
        <v>45988.661427407409</v>
      </c>
      <c r="BL254">
        <v>1</v>
      </c>
      <c r="BM254" s="24"/>
      <c r="BN254" s="24"/>
      <c r="BO254" s="24"/>
      <c r="BP254" s="24"/>
      <c r="BR254" s="24">
        <v>45999.714440995369</v>
      </c>
      <c r="BS254" s="24">
        <v>45999.714440995369</v>
      </c>
      <c r="BT254" s="24">
        <v>46000.404933495367</v>
      </c>
      <c r="BU254" s="24">
        <v>46000.404933495367</v>
      </c>
      <c r="BV254">
        <v>1</v>
      </c>
      <c r="BW254" s="24"/>
      <c r="BX254" s="24"/>
      <c r="BY254" s="24"/>
      <c r="BZ254" s="24"/>
      <c r="CB254" s="24"/>
      <c r="CC254" s="24"/>
      <c r="CE254" s="24">
        <v>46000.404933495367</v>
      </c>
      <c r="CF254" s="24">
        <v>46000.404933495367</v>
      </c>
      <c r="CG254">
        <v>1</v>
      </c>
      <c r="CH254" s="24"/>
      <c r="CI254" s="24"/>
      <c r="CJ254" s="24"/>
      <c r="CK254" s="24"/>
      <c r="DE254" s="24"/>
      <c r="DF254" s="24"/>
      <c r="DG254" s="24"/>
      <c r="DH254" s="24"/>
      <c r="DJ254" t="s">
        <v>149</v>
      </c>
      <c r="DK254" t="s">
        <v>149</v>
      </c>
      <c r="DM254">
        <v>13</v>
      </c>
      <c r="DN254">
        <v>12</v>
      </c>
      <c r="DQ254" t="s">
        <v>1000</v>
      </c>
      <c r="DR254" t="s">
        <v>149</v>
      </c>
      <c r="DS254" s="24">
        <v>46160.384426226854</v>
      </c>
    </row>
    <row r="255" spans="1:123" x14ac:dyDescent="0.3">
      <c r="A255" t="s">
        <v>506</v>
      </c>
      <c r="D255" t="s">
        <v>223</v>
      </c>
      <c r="E255" s="24">
        <v>45985.411215277774</v>
      </c>
      <c r="G255" t="s">
        <v>90</v>
      </c>
      <c r="H255" t="s">
        <v>155</v>
      </c>
      <c r="I255" s="24"/>
      <c r="J255" s="24"/>
      <c r="K255" s="24"/>
      <c r="L255" s="24"/>
      <c r="N255" s="24"/>
      <c r="O255" s="24"/>
      <c r="P255" s="24"/>
      <c r="Q255" s="24"/>
      <c r="V255" s="24"/>
      <c r="W255" s="24"/>
      <c r="X255" s="24"/>
      <c r="Y255" s="24"/>
      <c r="AA255" s="24">
        <v>45987.324120578705</v>
      </c>
      <c r="AB255" s="24">
        <v>45987.324120578705</v>
      </c>
      <c r="AC255" s="24">
        <v>45999.461274421294</v>
      </c>
      <c r="AD255" s="24">
        <v>45999.461274421294</v>
      </c>
      <c r="AE255">
        <v>1</v>
      </c>
      <c r="AF255" s="24"/>
      <c r="AG255" s="24"/>
      <c r="AH255" s="24"/>
      <c r="AI255" s="24"/>
      <c r="AK255" s="24"/>
      <c r="AL255" s="24"/>
      <c r="AM255" s="24"/>
      <c r="AN255" s="24"/>
      <c r="AP255" s="24"/>
      <c r="AQ255" s="24"/>
      <c r="AR255" s="24">
        <v>45987.324073645832</v>
      </c>
      <c r="AS255" s="24">
        <v>45987.324073645832</v>
      </c>
      <c r="AX255" s="24"/>
      <c r="AY255" s="24"/>
      <c r="AZ255" s="24"/>
      <c r="BA255" s="24"/>
      <c r="BC255" s="24"/>
      <c r="BD255" s="24"/>
      <c r="BE255" s="24"/>
      <c r="BF255" s="24"/>
      <c r="BH255" s="24">
        <v>45987.324073645832</v>
      </c>
      <c r="BI255" s="24">
        <v>45987.324073645832</v>
      </c>
      <c r="BJ255" s="24">
        <v>45987.324120578705</v>
      </c>
      <c r="BK255" s="24">
        <v>45987.324120578705</v>
      </c>
      <c r="BL255">
        <v>1</v>
      </c>
      <c r="BM255" s="24"/>
      <c r="BN255" s="24"/>
      <c r="BO255" s="24"/>
      <c r="BP255" s="24"/>
      <c r="BR255" s="24"/>
      <c r="BS255" s="24"/>
      <c r="BT255" s="24"/>
      <c r="BU255" s="24"/>
      <c r="BW255" s="24"/>
      <c r="BX255" s="24"/>
      <c r="BY255" s="24"/>
      <c r="BZ255" s="24"/>
      <c r="CB255" s="24"/>
      <c r="CC255" s="24"/>
      <c r="CE255" s="24">
        <v>45999.461274421294</v>
      </c>
      <c r="CF255" s="24">
        <v>45999.461274421294</v>
      </c>
      <c r="CG255">
        <v>1</v>
      </c>
      <c r="CH255" s="24"/>
      <c r="CI255" s="24"/>
      <c r="CJ255" s="24"/>
      <c r="CK255" s="24"/>
      <c r="DE255" s="24"/>
      <c r="DF255" s="24"/>
      <c r="DG255" s="24"/>
      <c r="DH255" s="24"/>
      <c r="DJ255" t="s">
        <v>149</v>
      </c>
      <c r="DK255" t="s">
        <v>149</v>
      </c>
      <c r="DM255">
        <v>13</v>
      </c>
      <c r="DN255">
        <v>13</v>
      </c>
      <c r="DQ255" t="s">
        <v>1000</v>
      </c>
      <c r="DR255" t="s">
        <v>149</v>
      </c>
      <c r="DS255" s="24">
        <v>46160.384426226854</v>
      </c>
    </row>
    <row r="256" spans="1:123" x14ac:dyDescent="0.3">
      <c r="A256" t="s">
        <v>507</v>
      </c>
      <c r="D256" t="s">
        <v>223</v>
      </c>
      <c r="E256" s="24">
        <v>45985.398495370369</v>
      </c>
      <c r="G256" t="s">
        <v>90</v>
      </c>
      <c r="H256" t="s">
        <v>155</v>
      </c>
      <c r="I256" s="24"/>
      <c r="J256" s="24"/>
      <c r="K256" s="24"/>
      <c r="L256" s="24"/>
      <c r="N256" s="24"/>
      <c r="O256" s="24"/>
      <c r="P256" s="24"/>
      <c r="Q256" s="24"/>
      <c r="V256" s="24"/>
      <c r="W256" s="24"/>
      <c r="X256" s="24"/>
      <c r="Y256" s="24"/>
      <c r="AA256" s="24">
        <v>46127.391844895836</v>
      </c>
      <c r="AB256" s="24">
        <v>46127.391844895836</v>
      </c>
      <c r="AC256" s="24">
        <v>46128.483705613427</v>
      </c>
      <c r="AD256" s="24">
        <v>46128.483705613427</v>
      </c>
      <c r="AE256">
        <v>1</v>
      </c>
      <c r="AF256" s="24">
        <v>46128.483705613427</v>
      </c>
      <c r="AG256" s="24">
        <v>46128.483705613427</v>
      </c>
      <c r="AH256" s="24">
        <v>46132.402018090281</v>
      </c>
      <c r="AI256" s="24">
        <v>46132.402018090281</v>
      </c>
      <c r="AJ256">
        <v>1</v>
      </c>
      <c r="AK256" s="24"/>
      <c r="AL256" s="24"/>
      <c r="AM256" s="24"/>
      <c r="AN256" s="24"/>
      <c r="AP256" s="24"/>
      <c r="AQ256" s="24"/>
      <c r="AR256" s="24">
        <v>45986.476603333336</v>
      </c>
      <c r="AS256" s="24">
        <v>45986.476603333336</v>
      </c>
      <c r="AX256" s="24"/>
      <c r="AY256" s="24"/>
      <c r="AZ256" s="24"/>
      <c r="BA256" s="24"/>
      <c r="BC256" s="24"/>
      <c r="BD256" s="24"/>
      <c r="BE256" s="24"/>
      <c r="BF256" s="24"/>
      <c r="BH256" s="24">
        <v>45986.476603333336</v>
      </c>
      <c r="BI256" s="24">
        <v>45986.476603333336</v>
      </c>
      <c r="BJ256" s="24">
        <v>46127.391844895836</v>
      </c>
      <c r="BK256" s="24">
        <v>46127.391844895836</v>
      </c>
      <c r="BL256">
        <v>1</v>
      </c>
      <c r="BM256" s="24"/>
      <c r="BN256" s="24"/>
      <c r="BO256" s="24"/>
      <c r="BP256" s="24"/>
      <c r="BR256" s="24"/>
      <c r="BS256" s="24"/>
      <c r="BT256" s="24"/>
      <c r="BU256" s="24"/>
      <c r="BW256" s="24"/>
      <c r="BX256" s="24"/>
      <c r="BY256" s="24"/>
      <c r="BZ256" s="24"/>
      <c r="CB256" s="24"/>
      <c r="CC256" s="24"/>
      <c r="CE256" s="24">
        <v>46132.402018090281</v>
      </c>
      <c r="CF256" s="24">
        <v>46132.402018090281</v>
      </c>
      <c r="CG256">
        <v>1</v>
      </c>
      <c r="CH256" s="24"/>
      <c r="CI256" s="24"/>
      <c r="CJ256" s="24"/>
      <c r="CK256" s="24"/>
      <c r="DE256" s="24"/>
      <c r="DF256" s="24"/>
      <c r="DG256" s="24"/>
      <c r="DH256" s="24"/>
      <c r="DJ256" t="s">
        <v>149</v>
      </c>
      <c r="DK256" t="s">
        <v>149</v>
      </c>
      <c r="DM256">
        <v>146</v>
      </c>
      <c r="DN256">
        <v>6</v>
      </c>
      <c r="DQ256" t="s">
        <v>1000</v>
      </c>
      <c r="DR256" t="s">
        <v>149</v>
      </c>
      <c r="DS256" s="24">
        <v>46160.384426226854</v>
      </c>
    </row>
    <row r="257" spans="1:123" x14ac:dyDescent="0.3">
      <c r="A257" t="s">
        <v>508</v>
      </c>
      <c r="D257" t="s">
        <v>225</v>
      </c>
      <c r="E257" s="24">
        <v>45980.673333333332</v>
      </c>
      <c r="G257" t="s">
        <v>90</v>
      </c>
      <c r="H257" t="s">
        <v>155</v>
      </c>
      <c r="I257" s="24"/>
      <c r="J257" s="24"/>
      <c r="K257" s="24"/>
      <c r="L257" s="24"/>
      <c r="N257" s="24"/>
      <c r="O257" s="24"/>
      <c r="P257" s="24"/>
      <c r="Q257" s="24"/>
      <c r="V257" s="24"/>
      <c r="W257" s="24"/>
      <c r="X257" s="24"/>
      <c r="Y257" s="24"/>
      <c r="AA257" s="24">
        <v>45980.933257835648</v>
      </c>
      <c r="AB257" s="24">
        <v>45980.933257835648</v>
      </c>
      <c r="AC257" s="24">
        <v>45982.616885706018</v>
      </c>
      <c r="AD257" s="24">
        <v>45982.616885706018</v>
      </c>
      <c r="AE257">
        <v>1</v>
      </c>
      <c r="AF257" s="24">
        <v>45982.616885706018</v>
      </c>
      <c r="AG257" s="24">
        <v>45982.616885706018</v>
      </c>
      <c r="AH257" s="24">
        <v>45982.616948437499</v>
      </c>
      <c r="AI257" s="24">
        <v>45982.616948437499</v>
      </c>
      <c r="AJ257">
        <v>1</v>
      </c>
      <c r="AK257" s="24">
        <v>45982.616948437499</v>
      </c>
      <c r="AL257" s="24">
        <v>45982.616948437499</v>
      </c>
      <c r="AM257" s="24">
        <v>45986.445243530092</v>
      </c>
      <c r="AN257" s="24">
        <v>45986.445243530092</v>
      </c>
      <c r="AO257">
        <v>1</v>
      </c>
      <c r="AP257" s="24"/>
      <c r="AQ257" s="24"/>
      <c r="AR257" s="24">
        <v>45980.932032824072</v>
      </c>
      <c r="AS257" s="24">
        <v>45980.932032824072</v>
      </c>
      <c r="AX257" s="24"/>
      <c r="AY257" s="24"/>
      <c r="AZ257" s="24"/>
      <c r="BA257" s="24"/>
      <c r="BC257" s="24">
        <v>45986.531475277778</v>
      </c>
      <c r="BD257" s="24">
        <v>45986.531475277778</v>
      </c>
      <c r="BE257" s="24">
        <v>45995.596151157406</v>
      </c>
      <c r="BF257" s="24">
        <v>45995.596151157406</v>
      </c>
      <c r="BG257">
        <v>1</v>
      </c>
      <c r="BH257" s="24">
        <v>45980.932032824072</v>
      </c>
      <c r="BI257" s="24">
        <v>45980.932032824072</v>
      </c>
      <c r="BJ257" s="24">
        <v>45980.933257835648</v>
      </c>
      <c r="BK257" s="24">
        <v>45980.933257835648</v>
      </c>
      <c r="BL257">
        <v>1</v>
      </c>
      <c r="BM257" s="24"/>
      <c r="BN257" s="24"/>
      <c r="BO257" s="24"/>
      <c r="BP257" s="24"/>
      <c r="BR257" s="24">
        <v>45986.445243530092</v>
      </c>
      <c r="BS257" s="24">
        <v>45986.445243530092</v>
      </c>
      <c r="BT257" s="24">
        <v>45986.531475277778</v>
      </c>
      <c r="BU257" s="24">
        <v>45986.531475277778</v>
      </c>
      <c r="BV257">
        <v>1</v>
      </c>
      <c r="BW257" s="24"/>
      <c r="BX257" s="24"/>
      <c r="BY257" s="24"/>
      <c r="BZ257" s="24"/>
      <c r="CB257" s="24"/>
      <c r="CC257" s="24"/>
      <c r="CE257" s="24">
        <v>45995.596151157406</v>
      </c>
      <c r="CF257" s="24">
        <v>45995.596151157406</v>
      </c>
      <c r="CG257">
        <v>1</v>
      </c>
      <c r="CH257" s="24"/>
      <c r="CI257" s="24"/>
      <c r="CJ257" s="24"/>
      <c r="CK257" s="24"/>
      <c r="DE257" s="24"/>
      <c r="DF257" s="24"/>
      <c r="DG257" s="24"/>
      <c r="DH257" s="24"/>
      <c r="DJ257" t="s">
        <v>149</v>
      </c>
      <c r="DK257" t="s">
        <v>149</v>
      </c>
      <c r="DM257">
        <v>15</v>
      </c>
      <c r="DN257">
        <v>15</v>
      </c>
      <c r="DQ257" t="s">
        <v>1000</v>
      </c>
      <c r="DR257" t="s">
        <v>149</v>
      </c>
      <c r="DS257" s="24">
        <v>46160.384426226854</v>
      </c>
    </row>
    <row r="258" spans="1:123" x14ac:dyDescent="0.3">
      <c r="A258" t="s">
        <v>509</v>
      </c>
      <c r="D258" t="s">
        <v>225</v>
      </c>
      <c r="E258" s="24">
        <v>45980.673055555555</v>
      </c>
      <c r="G258" t="s">
        <v>102</v>
      </c>
      <c r="H258" t="s">
        <v>154</v>
      </c>
      <c r="I258" s="24"/>
      <c r="J258" s="24"/>
      <c r="K258" s="24"/>
      <c r="L258" s="24"/>
      <c r="N258" s="24"/>
      <c r="O258" s="24"/>
      <c r="P258" s="24"/>
      <c r="Q258" s="24"/>
      <c r="V258" s="24"/>
      <c r="W258" s="24"/>
      <c r="X258" s="24"/>
      <c r="Y258" s="24"/>
      <c r="AA258" s="24"/>
      <c r="AB258" s="24"/>
      <c r="AC258" s="24"/>
      <c r="AD258" s="24"/>
      <c r="AF258" s="24"/>
      <c r="AG258" s="24"/>
      <c r="AH258" s="24"/>
      <c r="AI258" s="24"/>
      <c r="AK258" s="24"/>
      <c r="AL258" s="24"/>
      <c r="AM258" s="24"/>
      <c r="AN258" s="24"/>
      <c r="AP258" s="24"/>
      <c r="AQ258" s="24"/>
      <c r="AR258" s="24"/>
      <c r="AS258" s="24"/>
      <c r="AX258" s="24"/>
      <c r="AY258" s="24"/>
      <c r="AZ258" s="24"/>
      <c r="BA258" s="24"/>
      <c r="BC258" s="24"/>
      <c r="BD258" s="24"/>
      <c r="BE258" s="24"/>
      <c r="BF258" s="24"/>
      <c r="BH258" s="24"/>
      <c r="BI258" s="24"/>
      <c r="BJ258" s="24"/>
      <c r="BK258" s="24"/>
      <c r="BM258" s="24"/>
      <c r="BN258" s="24"/>
      <c r="BO258" s="24"/>
      <c r="BP258" s="24"/>
      <c r="BR258" s="24"/>
      <c r="BS258" s="24"/>
      <c r="BT258" s="24"/>
      <c r="BU258" s="24"/>
      <c r="BW258" s="24"/>
      <c r="BX258" s="24"/>
      <c r="BY258" s="24"/>
      <c r="BZ258" s="24"/>
      <c r="CB258" s="24"/>
      <c r="CC258" s="24"/>
      <c r="CE258" s="24"/>
      <c r="CF258" s="24"/>
      <c r="CH258" s="24"/>
      <c r="CI258" s="24"/>
      <c r="CJ258" s="24"/>
      <c r="CK258" s="24"/>
      <c r="DE258" s="24"/>
      <c r="DF258" s="24"/>
      <c r="DG258" s="24"/>
      <c r="DH258" s="24"/>
      <c r="DJ258" t="s">
        <v>149</v>
      </c>
      <c r="DK258" t="s">
        <v>149</v>
      </c>
      <c r="DQ258" t="s">
        <v>1000</v>
      </c>
      <c r="DR258" t="s">
        <v>149</v>
      </c>
      <c r="DS258" s="24">
        <v>46160.384426226854</v>
      </c>
    </row>
    <row r="259" spans="1:123" x14ac:dyDescent="0.3">
      <c r="A259" t="s">
        <v>270</v>
      </c>
      <c r="D259" t="s">
        <v>225</v>
      </c>
      <c r="E259" s="24">
        <v>45979.746423611112</v>
      </c>
      <c r="G259" t="s">
        <v>90</v>
      </c>
      <c r="H259" t="s">
        <v>155</v>
      </c>
      <c r="I259" s="24"/>
      <c r="J259" s="24"/>
      <c r="K259" s="24"/>
      <c r="L259" s="24"/>
      <c r="N259" s="24">
        <v>46050.38047502315</v>
      </c>
      <c r="O259" s="24">
        <v>46006.768806365741</v>
      </c>
      <c r="P259" s="24">
        <v>46009.396006215276</v>
      </c>
      <c r="Q259" s="24">
        <v>46071.406331655089</v>
      </c>
      <c r="R259">
        <v>3</v>
      </c>
      <c r="V259" s="24"/>
      <c r="W259" s="24"/>
      <c r="X259" s="24"/>
      <c r="Y259" s="24"/>
      <c r="AA259" s="24">
        <v>46071.406331655089</v>
      </c>
      <c r="AB259" s="24">
        <v>46006.766691886573</v>
      </c>
      <c r="AC259" s="24">
        <v>46006.768806365741</v>
      </c>
      <c r="AD259" s="24">
        <v>46073.507199108797</v>
      </c>
      <c r="AE259">
        <v>4</v>
      </c>
      <c r="AF259" s="24">
        <v>46073.507199108797</v>
      </c>
      <c r="AG259" s="24">
        <v>46073.507199108797</v>
      </c>
      <c r="AH259" s="24">
        <v>46073.507239328705</v>
      </c>
      <c r="AI259" s="24">
        <v>46073.507239328705</v>
      </c>
      <c r="AJ259">
        <v>1</v>
      </c>
      <c r="AK259" s="24">
        <v>46073.507239328705</v>
      </c>
      <c r="AL259" s="24">
        <v>46073.507239328705</v>
      </c>
      <c r="AM259" s="24">
        <v>46073.50727454861</v>
      </c>
      <c r="AN259" s="24">
        <v>46073.50727454861</v>
      </c>
      <c r="AO259">
        <v>1</v>
      </c>
      <c r="AP259" s="24"/>
      <c r="AQ259" s="24"/>
      <c r="AR259" s="24">
        <v>45987.436030810182</v>
      </c>
      <c r="AS259" s="24">
        <v>45987.436030810182</v>
      </c>
      <c r="AX259" s="24"/>
      <c r="AY259" s="24"/>
      <c r="AZ259" s="24"/>
      <c r="BA259" s="24"/>
      <c r="BC259" s="24">
        <v>46073.546440405094</v>
      </c>
      <c r="BD259" s="24">
        <v>46073.546440405094</v>
      </c>
      <c r="BE259" s="24">
        <v>46078.485636446756</v>
      </c>
      <c r="BF259" s="24">
        <v>46078.485636446756</v>
      </c>
      <c r="BG259">
        <v>1</v>
      </c>
      <c r="BH259" s="24">
        <v>45987.436030810182</v>
      </c>
      <c r="BI259" s="24">
        <v>45987.436030810182</v>
      </c>
      <c r="BJ259" s="24">
        <v>46006.766691886573</v>
      </c>
      <c r="BK259" s="24">
        <v>46006.766691886573</v>
      </c>
      <c r="BL259">
        <v>1</v>
      </c>
      <c r="BM259" s="24"/>
      <c r="BN259" s="24"/>
      <c r="BO259" s="24"/>
      <c r="BP259" s="24"/>
      <c r="BR259" s="24">
        <v>46073.50727454861</v>
      </c>
      <c r="BS259" s="24">
        <v>46073.50727454861</v>
      </c>
      <c r="BT259" s="24">
        <v>46073.546440405094</v>
      </c>
      <c r="BU259" s="24">
        <v>46073.546440405094</v>
      </c>
      <c r="BV259">
        <v>1</v>
      </c>
      <c r="BW259" s="24"/>
      <c r="BX259" s="24"/>
      <c r="BY259" s="24"/>
      <c r="BZ259" s="24"/>
      <c r="CB259" s="24"/>
      <c r="CC259" s="24"/>
      <c r="CE259" s="24">
        <v>46078.485636446756</v>
      </c>
      <c r="CF259" s="24">
        <v>46078.485636446756</v>
      </c>
      <c r="CG259">
        <v>1</v>
      </c>
      <c r="CH259" s="24"/>
      <c r="CI259" s="24"/>
      <c r="CJ259" s="24"/>
      <c r="CK259" s="24"/>
      <c r="DE259" s="24"/>
      <c r="DF259" s="24"/>
      <c r="DG259" s="24"/>
      <c r="DH259" s="24"/>
      <c r="DJ259" t="s">
        <v>149</v>
      </c>
      <c r="DK259" t="s">
        <v>149</v>
      </c>
      <c r="DL259">
        <v>55.961919675925927</v>
      </c>
      <c r="DM259">
        <v>92</v>
      </c>
      <c r="DN259">
        <v>72</v>
      </c>
      <c r="DQ259" t="s">
        <v>1000</v>
      </c>
      <c r="DR259" t="s">
        <v>149</v>
      </c>
      <c r="DS259" s="24">
        <v>46160.384426226854</v>
      </c>
    </row>
    <row r="260" spans="1:123" x14ac:dyDescent="0.3">
      <c r="A260" t="s">
        <v>510</v>
      </c>
      <c r="D260" t="s">
        <v>223</v>
      </c>
      <c r="E260" s="24">
        <v>45979.585312499999</v>
      </c>
      <c r="G260" t="s">
        <v>90</v>
      </c>
      <c r="H260" t="s">
        <v>155</v>
      </c>
      <c r="I260" s="24"/>
      <c r="J260" s="24"/>
      <c r="K260" s="24"/>
      <c r="L260" s="24"/>
      <c r="N260" s="24"/>
      <c r="O260" s="24"/>
      <c r="P260" s="24"/>
      <c r="Q260" s="24"/>
      <c r="V260" s="24"/>
      <c r="W260" s="24"/>
      <c r="X260" s="24"/>
      <c r="Y260" s="24"/>
      <c r="AA260" s="24">
        <v>45987.383894768522</v>
      </c>
      <c r="AB260" s="24">
        <v>45987.383894768522</v>
      </c>
      <c r="AC260" s="24">
        <v>45996.400957708334</v>
      </c>
      <c r="AD260" s="24">
        <v>45996.400957708334</v>
      </c>
      <c r="AE260">
        <v>1</v>
      </c>
      <c r="AF260" s="24"/>
      <c r="AG260" s="24"/>
      <c r="AH260" s="24"/>
      <c r="AI260" s="24"/>
      <c r="AK260" s="24"/>
      <c r="AL260" s="24"/>
      <c r="AM260" s="24"/>
      <c r="AN260" s="24"/>
      <c r="AP260" s="24"/>
      <c r="AQ260" s="24"/>
      <c r="AR260" s="24">
        <v>45987.383796585651</v>
      </c>
      <c r="AS260" s="24">
        <v>45987.383796585651</v>
      </c>
      <c r="AX260" s="24"/>
      <c r="AY260" s="24"/>
      <c r="AZ260" s="24"/>
      <c r="BA260" s="24"/>
      <c r="BC260" s="24"/>
      <c r="BD260" s="24"/>
      <c r="BE260" s="24"/>
      <c r="BF260" s="24"/>
      <c r="BH260" s="24">
        <v>45987.383796585651</v>
      </c>
      <c r="BI260" s="24">
        <v>45987.383796585651</v>
      </c>
      <c r="BJ260" s="24">
        <v>45987.383894768522</v>
      </c>
      <c r="BK260" s="24">
        <v>45987.383894768522</v>
      </c>
      <c r="BL260">
        <v>1</v>
      </c>
      <c r="BM260" s="24"/>
      <c r="BN260" s="24"/>
      <c r="BO260" s="24"/>
      <c r="BP260" s="24"/>
      <c r="BR260" s="24">
        <v>45996.400957708334</v>
      </c>
      <c r="BS260" s="24">
        <v>45996.400957708334</v>
      </c>
      <c r="BT260" s="24">
        <v>45996.400997673612</v>
      </c>
      <c r="BU260" s="24">
        <v>45996.400997673612</v>
      </c>
      <c r="BV260">
        <v>1</v>
      </c>
      <c r="BW260" s="24"/>
      <c r="BX260" s="24"/>
      <c r="BY260" s="24"/>
      <c r="BZ260" s="24"/>
      <c r="CB260" s="24"/>
      <c r="CC260" s="24"/>
      <c r="CE260" s="24">
        <v>45996.400997673612</v>
      </c>
      <c r="CF260" s="24">
        <v>45996.400997673612</v>
      </c>
      <c r="CG260">
        <v>1</v>
      </c>
      <c r="CH260" s="24"/>
      <c r="CI260" s="24"/>
      <c r="CJ260" s="24"/>
      <c r="CK260" s="24"/>
      <c r="DE260" s="24"/>
      <c r="DF260" s="24"/>
      <c r="DG260" s="24"/>
      <c r="DH260" s="24"/>
      <c r="DJ260" t="s">
        <v>149</v>
      </c>
      <c r="DK260" t="s">
        <v>149</v>
      </c>
      <c r="DM260">
        <v>10</v>
      </c>
      <c r="DN260">
        <v>10</v>
      </c>
      <c r="DQ260" t="s">
        <v>1000</v>
      </c>
      <c r="DR260" t="s">
        <v>149</v>
      </c>
      <c r="DS260" s="24">
        <v>46160.384426226854</v>
      </c>
    </row>
    <row r="261" spans="1:123" x14ac:dyDescent="0.3">
      <c r="A261" t="s">
        <v>511</v>
      </c>
      <c r="D261" t="s">
        <v>223</v>
      </c>
      <c r="E261" s="24">
        <v>45979.438900462963</v>
      </c>
      <c r="G261" t="s">
        <v>102</v>
      </c>
      <c r="H261" t="s">
        <v>154</v>
      </c>
      <c r="I261" s="24"/>
      <c r="J261" s="24"/>
      <c r="K261" s="24"/>
      <c r="L261" s="24"/>
      <c r="N261" s="24"/>
      <c r="O261" s="24"/>
      <c r="P261" s="24"/>
      <c r="Q261" s="24"/>
      <c r="V261" s="24"/>
      <c r="W261" s="24"/>
      <c r="X261" s="24"/>
      <c r="Y261" s="24"/>
      <c r="AA261" s="24"/>
      <c r="AB261" s="24"/>
      <c r="AC261" s="24"/>
      <c r="AD261" s="24"/>
      <c r="AF261" s="24"/>
      <c r="AG261" s="24"/>
      <c r="AH261" s="24"/>
      <c r="AI261" s="24"/>
      <c r="AK261" s="24"/>
      <c r="AL261" s="24"/>
      <c r="AM261" s="24"/>
      <c r="AN261" s="24"/>
      <c r="AP261" s="24"/>
      <c r="AQ261" s="24"/>
      <c r="AR261" s="24"/>
      <c r="AS261" s="24"/>
      <c r="AX261" s="24"/>
      <c r="AY261" s="24"/>
      <c r="AZ261" s="24"/>
      <c r="BA261" s="24"/>
      <c r="BC261" s="24"/>
      <c r="BD261" s="24"/>
      <c r="BE261" s="24"/>
      <c r="BF261" s="24"/>
      <c r="BH261" s="24"/>
      <c r="BI261" s="24"/>
      <c r="BJ261" s="24"/>
      <c r="BK261" s="24"/>
      <c r="BM261" s="24"/>
      <c r="BN261" s="24"/>
      <c r="BO261" s="24"/>
      <c r="BP261" s="24"/>
      <c r="BR261" s="24"/>
      <c r="BS261" s="24"/>
      <c r="BT261" s="24"/>
      <c r="BU261" s="24"/>
      <c r="BW261" s="24"/>
      <c r="BX261" s="24"/>
      <c r="BY261" s="24"/>
      <c r="BZ261" s="24"/>
      <c r="CB261" s="24"/>
      <c r="CC261" s="24"/>
      <c r="CE261" s="24"/>
      <c r="CF261" s="24"/>
      <c r="CH261" s="24"/>
      <c r="CI261" s="24"/>
      <c r="CJ261" s="24"/>
      <c r="CK261" s="24"/>
      <c r="DE261" s="24"/>
      <c r="DF261" s="24"/>
      <c r="DG261" s="24"/>
      <c r="DH261" s="24"/>
      <c r="DJ261" t="s">
        <v>149</v>
      </c>
      <c r="DK261" t="s">
        <v>149</v>
      </c>
      <c r="DQ261" t="s">
        <v>1000</v>
      </c>
      <c r="DR261" t="s">
        <v>149</v>
      </c>
      <c r="DS261" s="24">
        <v>46160.384426226854</v>
      </c>
    </row>
    <row r="262" spans="1:123" x14ac:dyDescent="0.3">
      <c r="A262" t="s">
        <v>512</v>
      </c>
      <c r="D262" t="s">
        <v>223</v>
      </c>
      <c r="E262" s="24">
        <v>45975.57303240741</v>
      </c>
      <c r="G262" t="s">
        <v>102</v>
      </c>
      <c r="H262" t="s">
        <v>154</v>
      </c>
      <c r="I262" s="24"/>
      <c r="J262" s="24"/>
      <c r="K262" s="24"/>
      <c r="L262" s="24"/>
      <c r="N262" s="24"/>
      <c r="O262" s="24"/>
      <c r="P262" s="24"/>
      <c r="Q262" s="24"/>
      <c r="V262" s="24"/>
      <c r="W262" s="24"/>
      <c r="X262" s="24"/>
      <c r="Y262" s="24"/>
      <c r="AA262" s="24"/>
      <c r="AB262" s="24"/>
      <c r="AC262" s="24"/>
      <c r="AD262" s="24"/>
      <c r="AF262" s="24"/>
      <c r="AG262" s="24"/>
      <c r="AH262" s="24"/>
      <c r="AI262" s="24"/>
      <c r="AK262" s="24"/>
      <c r="AL262" s="24"/>
      <c r="AM262" s="24"/>
      <c r="AN262" s="24"/>
      <c r="AP262" s="24"/>
      <c r="AQ262" s="24"/>
      <c r="AR262" s="24"/>
      <c r="AS262" s="24"/>
      <c r="AX262" s="24"/>
      <c r="AY262" s="24"/>
      <c r="AZ262" s="24"/>
      <c r="BA262" s="24"/>
      <c r="BC262" s="24"/>
      <c r="BD262" s="24"/>
      <c r="BE262" s="24"/>
      <c r="BF262" s="24"/>
      <c r="BH262" s="24"/>
      <c r="BI262" s="24"/>
      <c r="BJ262" s="24"/>
      <c r="BK262" s="24"/>
      <c r="BM262" s="24"/>
      <c r="BN262" s="24"/>
      <c r="BO262" s="24"/>
      <c r="BP262" s="24"/>
      <c r="BR262" s="24"/>
      <c r="BS262" s="24"/>
      <c r="BT262" s="24"/>
      <c r="BU262" s="24"/>
      <c r="BW262" s="24"/>
      <c r="BX262" s="24"/>
      <c r="BY262" s="24"/>
      <c r="BZ262" s="24"/>
      <c r="CB262" s="24"/>
      <c r="CC262" s="24"/>
      <c r="CE262" s="24"/>
      <c r="CF262" s="24"/>
      <c r="CH262" s="24"/>
      <c r="CI262" s="24"/>
      <c r="CJ262" s="24"/>
      <c r="CK262" s="24"/>
      <c r="DE262" s="24"/>
      <c r="DF262" s="24"/>
      <c r="DG262" s="24"/>
      <c r="DH262" s="24"/>
      <c r="DJ262" t="s">
        <v>149</v>
      </c>
      <c r="DK262" t="s">
        <v>149</v>
      </c>
      <c r="DQ262" t="s">
        <v>1000</v>
      </c>
      <c r="DR262" t="s">
        <v>149</v>
      </c>
      <c r="DS262" s="24">
        <v>46160.384426226854</v>
      </c>
    </row>
    <row r="263" spans="1:123" x14ac:dyDescent="0.3">
      <c r="A263" t="s">
        <v>513</v>
      </c>
      <c r="D263" t="s">
        <v>223</v>
      </c>
      <c r="E263" s="24">
        <v>45975.429120370369</v>
      </c>
      <c r="G263" t="s">
        <v>90</v>
      </c>
      <c r="H263" t="s">
        <v>155</v>
      </c>
      <c r="I263" s="24"/>
      <c r="J263" s="24"/>
      <c r="K263" s="24"/>
      <c r="L263" s="24"/>
      <c r="N263" s="24">
        <v>45980.404347175929</v>
      </c>
      <c r="O263" s="24">
        <v>45980.404347175929</v>
      </c>
      <c r="P263" s="24">
        <v>45982.427025393517</v>
      </c>
      <c r="Q263" s="24">
        <v>45982.427025393517</v>
      </c>
      <c r="R263">
        <v>1</v>
      </c>
      <c r="V263" s="24"/>
      <c r="W263" s="24"/>
      <c r="X263" s="24"/>
      <c r="Y263" s="24"/>
      <c r="AA263" s="24">
        <v>45982.427025393517</v>
      </c>
      <c r="AB263" s="24">
        <v>45980.380663414355</v>
      </c>
      <c r="AC263" s="24">
        <v>45980.404347175929</v>
      </c>
      <c r="AD263" s="24">
        <v>45982.428399594908</v>
      </c>
      <c r="AE263">
        <v>2</v>
      </c>
      <c r="AF263" s="24">
        <v>45982.428399594908</v>
      </c>
      <c r="AG263" s="24">
        <v>45982.428399594908</v>
      </c>
      <c r="AH263" s="24">
        <v>45982.574380555554</v>
      </c>
      <c r="AI263" s="24">
        <v>45982.574380555554</v>
      </c>
      <c r="AJ263">
        <v>1</v>
      </c>
      <c r="AK263" s="24"/>
      <c r="AL263" s="24"/>
      <c r="AM263" s="24"/>
      <c r="AN263" s="24"/>
      <c r="AP263" s="24"/>
      <c r="AQ263" s="24"/>
      <c r="AR263" s="24">
        <v>45980.380556504628</v>
      </c>
      <c r="AS263" s="24">
        <v>45980.380556504628</v>
      </c>
      <c r="AX263" s="24"/>
      <c r="AY263" s="24"/>
      <c r="AZ263" s="24"/>
      <c r="BA263" s="24"/>
      <c r="BC263" s="24"/>
      <c r="BD263" s="24"/>
      <c r="BE263" s="24"/>
      <c r="BF263" s="24"/>
      <c r="BH263" s="24">
        <v>45980.380556504628</v>
      </c>
      <c r="BI263" s="24">
        <v>45980.380556504628</v>
      </c>
      <c r="BJ263" s="24">
        <v>45980.380663414355</v>
      </c>
      <c r="BK263" s="24">
        <v>45980.380663414355</v>
      </c>
      <c r="BL263">
        <v>1</v>
      </c>
      <c r="BM263" s="24"/>
      <c r="BN263" s="24"/>
      <c r="BO263" s="24"/>
      <c r="BP263" s="24"/>
      <c r="BR263" s="24">
        <v>45982.574380555554</v>
      </c>
      <c r="BS263" s="24">
        <v>45982.574380555554</v>
      </c>
      <c r="BT263" s="24">
        <v>45985.402475358795</v>
      </c>
      <c r="BU263" s="24">
        <v>45985.402475358795</v>
      </c>
      <c r="BV263">
        <v>1</v>
      </c>
      <c r="BW263" s="24"/>
      <c r="BX263" s="24"/>
      <c r="BY263" s="24"/>
      <c r="BZ263" s="24"/>
      <c r="CB263" s="24"/>
      <c r="CC263" s="24"/>
      <c r="CE263" s="24">
        <v>45985.402475358795</v>
      </c>
      <c r="CF263" s="24">
        <v>45985.402475358795</v>
      </c>
      <c r="CG263">
        <v>1</v>
      </c>
      <c r="CH263" s="24"/>
      <c r="CI263" s="24"/>
      <c r="CJ263" s="24"/>
      <c r="CK263" s="24"/>
      <c r="DE263" s="24"/>
      <c r="DF263" s="24"/>
      <c r="DG263" s="24"/>
      <c r="DH263" s="24"/>
      <c r="DJ263" t="s">
        <v>149</v>
      </c>
      <c r="DK263" t="s">
        <v>149</v>
      </c>
      <c r="DL263">
        <v>2.0226781250000001</v>
      </c>
      <c r="DM263">
        <v>6</v>
      </c>
      <c r="DN263">
        <v>6</v>
      </c>
      <c r="DQ263" t="s">
        <v>1000</v>
      </c>
      <c r="DR263" t="s">
        <v>149</v>
      </c>
      <c r="DS263" s="24">
        <v>46160.384426226854</v>
      </c>
    </row>
    <row r="264" spans="1:123" x14ac:dyDescent="0.3">
      <c r="A264" t="s">
        <v>514</v>
      </c>
      <c r="D264" t="s">
        <v>225</v>
      </c>
      <c r="E264" s="24">
        <v>45972.358726851853</v>
      </c>
      <c r="G264" t="s">
        <v>107</v>
      </c>
      <c r="H264" t="s">
        <v>154</v>
      </c>
      <c r="I264" s="24">
        <v>46000.411077164354</v>
      </c>
      <c r="J264" s="24">
        <v>46000.411077164354</v>
      </c>
      <c r="K264" s="24">
        <v>46000.411136678238</v>
      </c>
      <c r="L264" s="24">
        <v>46000.411136678238</v>
      </c>
      <c r="M264">
        <v>1</v>
      </c>
      <c r="N264" s="24">
        <v>46000.410894953704</v>
      </c>
      <c r="O264" s="24">
        <v>46000.410894953704</v>
      </c>
      <c r="P264" s="24">
        <v>46000.411077164354</v>
      </c>
      <c r="Q264" s="24">
        <v>46000.411077164354</v>
      </c>
      <c r="R264">
        <v>1</v>
      </c>
      <c r="V264" s="24"/>
      <c r="W264" s="24"/>
      <c r="X264" s="24"/>
      <c r="Y264" s="24"/>
      <c r="AA264" s="24">
        <v>45996.392608449074</v>
      </c>
      <c r="AB264" s="24">
        <v>45996.392608449074</v>
      </c>
      <c r="AC264" s="24">
        <v>46000.410894953704</v>
      </c>
      <c r="AD264" s="24">
        <v>46000.410894953704</v>
      </c>
      <c r="AE264">
        <v>1</v>
      </c>
      <c r="AF264" s="24"/>
      <c r="AG264" s="24"/>
      <c r="AH264" s="24"/>
      <c r="AI264" s="24"/>
      <c r="AK264" s="24"/>
      <c r="AL264" s="24"/>
      <c r="AM264" s="24"/>
      <c r="AN264" s="24"/>
      <c r="AP264" s="24"/>
      <c r="AQ264" s="24"/>
      <c r="AR264" s="24">
        <v>45987.435889629633</v>
      </c>
      <c r="AS264" s="24">
        <v>45987.435889629633</v>
      </c>
      <c r="AX264" s="24"/>
      <c r="AY264" s="24"/>
      <c r="AZ264" s="24"/>
      <c r="BA264" s="24"/>
      <c r="BC264" s="24"/>
      <c r="BD264" s="24"/>
      <c r="BE264" s="24"/>
      <c r="BF264" s="24"/>
      <c r="BH264" s="24">
        <v>46000.411136678238</v>
      </c>
      <c r="BI264" s="24">
        <v>45987.435889629633</v>
      </c>
      <c r="BJ264" s="24">
        <v>45996.392608449074</v>
      </c>
      <c r="BK264" s="24">
        <v>45996.392608449074</v>
      </c>
      <c r="BL264">
        <v>2</v>
      </c>
      <c r="BM264" s="24"/>
      <c r="BN264" s="24"/>
      <c r="BO264" s="24"/>
      <c r="BP264" s="24"/>
      <c r="BR264" s="24"/>
      <c r="BS264" s="24"/>
      <c r="BT264" s="24"/>
      <c r="BU264" s="24"/>
      <c r="BW264" s="24"/>
      <c r="BX264" s="24"/>
      <c r="BY264" s="24"/>
      <c r="BZ264" s="24"/>
      <c r="CB264" s="24"/>
      <c r="CC264" s="24"/>
      <c r="CE264" s="24"/>
      <c r="CF264" s="24"/>
      <c r="CH264" s="24"/>
      <c r="CI264" s="24"/>
      <c r="CJ264" s="24"/>
      <c r="CK264" s="24"/>
      <c r="DE264" s="24"/>
      <c r="DF264" s="24"/>
      <c r="DG264" s="24"/>
      <c r="DH264" s="24"/>
      <c r="DJ264" t="s">
        <v>149</v>
      </c>
      <c r="DK264" t="s">
        <v>149</v>
      </c>
      <c r="DO264">
        <v>164</v>
      </c>
      <c r="DP264">
        <v>160</v>
      </c>
      <c r="DQ264" t="s">
        <v>1000</v>
      </c>
      <c r="DR264" t="s">
        <v>149</v>
      </c>
      <c r="DS264" s="24">
        <v>46160.384426226854</v>
      </c>
    </row>
    <row r="265" spans="1:123" x14ac:dyDescent="0.3">
      <c r="A265" t="s">
        <v>515</v>
      </c>
      <c r="D265" t="s">
        <v>225</v>
      </c>
      <c r="E265" s="24">
        <v>45971.476354166669</v>
      </c>
      <c r="G265" t="s">
        <v>90</v>
      </c>
      <c r="H265" t="s">
        <v>155</v>
      </c>
      <c r="I265" s="24"/>
      <c r="J265" s="24"/>
      <c r="K265" s="24"/>
      <c r="L265" s="24"/>
      <c r="N265" s="24"/>
      <c r="O265" s="24"/>
      <c r="P265" s="24"/>
      <c r="Q265" s="24"/>
      <c r="V265" s="24"/>
      <c r="W265" s="24"/>
      <c r="X265" s="24"/>
      <c r="Y265" s="24"/>
      <c r="AA265" s="24">
        <v>45973.461530277775</v>
      </c>
      <c r="AB265" s="24">
        <v>45973.461530277775</v>
      </c>
      <c r="AC265" s="24">
        <v>45973.681115567131</v>
      </c>
      <c r="AD265" s="24">
        <v>45973.681115567131</v>
      </c>
      <c r="AE265">
        <v>1</v>
      </c>
      <c r="AF265" s="24">
        <v>45973.681115567131</v>
      </c>
      <c r="AG265" s="24">
        <v>45973.681115567131</v>
      </c>
      <c r="AH265" s="24">
        <v>45981.593417951386</v>
      </c>
      <c r="AI265" s="24">
        <v>45981.593417951386</v>
      </c>
      <c r="AJ265">
        <v>1</v>
      </c>
      <c r="AK265" s="24">
        <v>45981.593417951386</v>
      </c>
      <c r="AL265" s="24">
        <v>45981.593417951386</v>
      </c>
      <c r="AM265" s="24">
        <v>45982.408132164353</v>
      </c>
      <c r="AN265" s="24">
        <v>45982.408132164353</v>
      </c>
      <c r="AO265">
        <v>1</v>
      </c>
      <c r="AP265" s="24"/>
      <c r="AQ265" s="24"/>
      <c r="AR265" s="24">
        <v>45971.477410196756</v>
      </c>
      <c r="AS265" s="24">
        <v>45971.477410196756</v>
      </c>
      <c r="AX265" s="24"/>
      <c r="AY265" s="24"/>
      <c r="AZ265" s="24"/>
      <c r="BA265" s="24"/>
      <c r="BC265" s="24">
        <v>45982.408205416665</v>
      </c>
      <c r="BD265" s="24">
        <v>45982.408205416665</v>
      </c>
      <c r="BE265" s="24">
        <v>45995.596151122685</v>
      </c>
      <c r="BF265" s="24">
        <v>45995.596151122685</v>
      </c>
      <c r="BG265">
        <v>1</v>
      </c>
      <c r="BH265" s="24">
        <v>45971.477410196756</v>
      </c>
      <c r="BI265" s="24">
        <v>45971.477410196756</v>
      </c>
      <c r="BJ265" s="24">
        <v>45973.461530277775</v>
      </c>
      <c r="BK265" s="24">
        <v>45973.461530277775</v>
      </c>
      <c r="BL265">
        <v>1</v>
      </c>
      <c r="BM265" s="24"/>
      <c r="BN265" s="24"/>
      <c r="BO265" s="24"/>
      <c r="BP265" s="24"/>
      <c r="BR265" s="24">
        <v>45982.408132164353</v>
      </c>
      <c r="BS265" s="24">
        <v>45982.408132164353</v>
      </c>
      <c r="BT265" s="24">
        <v>45982.408205416665</v>
      </c>
      <c r="BU265" s="24">
        <v>45982.408205416665</v>
      </c>
      <c r="BV265">
        <v>1</v>
      </c>
      <c r="BW265" s="24"/>
      <c r="BX265" s="24"/>
      <c r="BY265" s="24"/>
      <c r="BZ265" s="24"/>
      <c r="CB265" s="24"/>
      <c r="CC265" s="24"/>
      <c r="CE265" s="24">
        <v>45995.596151122685</v>
      </c>
      <c r="CF265" s="24">
        <v>45995.596151122685</v>
      </c>
      <c r="CG265">
        <v>1</v>
      </c>
      <c r="CH265" s="24"/>
      <c r="CI265" s="24"/>
      <c r="CJ265" s="24"/>
      <c r="CK265" s="24"/>
      <c r="DE265" s="24"/>
      <c r="DF265" s="24"/>
      <c r="DG265" s="24"/>
      <c r="DH265" s="24"/>
      <c r="DJ265" t="s">
        <v>149</v>
      </c>
      <c r="DK265" t="s">
        <v>149</v>
      </c>
      <c r="DM265">
        <v>25</v>
      </c>
      <c r="DN265">
        <v>23</v>
      </c>
      <c r="DQ265" t="s">
        <v>1000</v>
      </c>
      <c r="DR265" t="s">
        <v>149</v>
      </c>
      <c r="DS265" s="24">
        <v>46160.384426226854</v>
      </c>
    </row>
    <row r="266" spans="1:123" x14ac:dyDescent="0.3">
      <c r="A266" t="s">
        <v>516</v>
      </c>
      <c r="D266" t="s">
        <v>223</v>
      </c>
      <c r="E266" s="24">
        <v>45971.472592592596</v>
      </c>
      <c r="G266" t="s">
        <v>150</v>
      </c>
      <c r="H266" t="s">
        <v>155</v>
      </c>
      <c r="I266" s="24">
        <v>46009.395132754631</v>
      </c>
      <c r="J266" s="24">
        <v>46009.395132754631</v>
      </c>
      <c r="K266" s="24">
        <v>46009.395198946761</v>
      </c>
      <c r="L266" s="24">
        <v>46009.395198946761</v>
      </c>
      <c r="M266">
        <v>1</v>
      </c>
      <c r="N266" s="24">
        <v>45994.40144228009</v>
      </c>
      <c r="O266" s="24">
        <v>45994.40144228009</v>
      </c>
      <c r="P266" s="24">
        <v>46009.395132754631</v>
      </c>
      <c r="Q266" s="24">
        <v>46009.395132754631</v>
      </c>
      <c r="R266">
        <v>1</v>
      </c>
      <c r="V266" s="24"/>
      <c r="W266" s="24"/>
      <c r="X266" s="24"/>
      <c r="Y266" s="24"/>
      <c r="AA266" s="24">
        <v>45988.466848020835</v>
      </c>
      <c r="AB266" s="24">
        <v>45988.466848020835</v>
      </c>
      <c r="AC266" s="24">
        <v>45994.40144228009</v>
      </c>
      <c r="AD266" s="24">
        <v>45994.40144228009</v>
      </c>
      <c r="AE266">
        <v>1</v>
      </c>
      <c r="AF266" s="24"/>
      <c r="AG266" s="24"/>
      <c r="AH266" s="24"/>
      <c r="AI266" s="24"/>
      <c r="AK266" s="24"/>
      <c r="AL266" s="24"/>
      <c r="AM266" s="24"/>
      <c r="AN266" s="24"/>
      <c r="AP266" s="24"/>
      <c r="AQ266" s="24"/>
      <c r="AR266" s="24">
        <v>45973.42034420139</v>
      </c>
      <c r="AS266" s="24">
        <v>45973.42034420139</v>
      </c>
      <c r="AX266" s="24"/>
      <c r="AY266" s="24"/>
      <c r="AZ266" s="24"/>
      <c r="BA266" s="24"/>
      <c r="BC266" s="24"/>
      <c r="BD266" s="24"/>
      <c r="BE266" s="24"/>
      <c r="BF266" s="24"/>
      <c r="BH266" s="24">
        <v>46009.395198946761</v>
      </c>
      <c r="BI266" s="24">
        <v>45973.42034420139</v>
      </c>
      <c r="BJ266" s="24">
        <v>45988.466848020835</v>
      </c>
      <c r="BK266" s="24">
        <v>46076.413164849539</v>
      </c>
      <c r="BL266">
        <v>2</v>
      </c>
      <c r="BM266" s="24"/>
      <c r="BN266" s="24"/>
      <c r="BO266" s="24"/>
      <c r="BP266" s="24"/>
      <c r="BR266" s="24"/>
      <c r="BS266" s="24"/>
      <c r="BT266" s="24"/>
      <c r="BU266" s="24"/>
      <c r="BW266" s="24"/>
      <c r="BX266" s="24"/>
      <c r="BY266" s="24"/>
      <c r="BZ266" s="24"/>
      <c r="CB266" s="24">
        <v>46076.413164849539</v>
      </c>
      <c r="CC266" s="24">
        <v>46076.413164849539</v>
      </c>
      <c r="CD266">
        <v>1</v>
      </c>
      <c r="CE266" s="24"/>
      <c r="CF266" s="24"/>
      <c r="CH266" s="24"/>
      <c r="CI266" s="24"/>
      <c r="CJ266" s="24"/>
      <c r="CK266" s="24"/>
      <c r="DE266" s="24"/>
      <c r="DF266" s="24"/>
      <c r="DG266" s="24"/>
      <c r="DH266" s="24"/>
      <c r="DJ266" t="s">
        <v>149</v>
      </c>
      <c r="DK266" t="s">
        <v>149</v>
      </c>
      <c r="DL266">
        <v>14.993690393518518</v>
      </c>
      <c r="DQ266" t="s">
        <v>1000</v>
      </c>
      <c r="DR266" t="s">
        <v>149</v>
      </c>
      <c r="DS266" s="24">
        <v>46160.384426226854</v>
      </c>
    </row>
    <row r="267" spans="1:123" x14ac:dyDescent="0.3">
      <c r="A267" t="s">
        <v>517</v>
      </c>
      <c r="D267" t="s">
        <v>225</v>
      </c>
      <c r="E267" s="24">
        <v>45971.47115740741</v>
      </c>
      <c r="G267" t="s">
        <v>90</v>
      </c>
      <c r="H267" t="s">
        <v>155</v>
      </c>
      <c r="I267" s="24"/>
      <c r="J267" s="24"/>
      <c r="K267" s="24"/>
      <c r="L267" s="24"/>
      <c r="N267" s="24"/>
      <c r="O267" s="24"/>
      <c r="P267" s="24"/>
      <c r="Q267" s="24"/>
      <c r="V267" s="24"/>
      <c r="W267" s="24"/>
      <c r="X267" s="24"/>
      <c r="Y267" s="24"/>
      <c r="AA267" s="24">
        <v>46073.390688912034</v>
      </c>
      <c r="AB267" s="24">
        <v>46050.349214479167</v>
      </c>
      <c r="AC267" s="24">
        <v>46056.602359826386</v>
      </c>
      <c r="AD267" s="24">
        <v>46073.398946273148</v>
      </c>
      <c r="AE267">
        <v>3</v>
      </c>
      <c r="AF267" s="24">
        <v>46073.398946273148</v>
      </c>
      <c r="AG267" s="24">
        <v>46073.339219305555</v>
      </c>
      <c r="AH267" s="24">
        <v>46073.390219259258</v>
      </c>
      <c r="AI267" s="24">
        <v>46073.418989259262</v>
      </c>
      <c r="AJ267">
        <v>2</v>
      </c>
      <c r="AK267" s="24">
        <v>46073.418989259262</v>
      </c>
      <c r="AL267" s="24">
        <v>46073.390219259258</v>
      </c>
      <c r="AM267" s="24">
        <v>46073.390688912034</v>
      </c>
      <c r="AN267" s="24">
        <v>46073.419028576391</v>
      </c>
      <c r="AO267">
        <v>2</v>
      </c>
      <c r="AP267" s="24"/>
      <c r="AQ267" s="24"/>
      <c r="AR267" s="24">
        <v>46028.336897152774</v>
      </c>
      <c r="AS267" s="24">
        <v>46028.336897152774</v>
      </c>
      <c r="AX267" s="24"/>
      <c r="AY267" s="24"/>
      <c r="AZ267" s="24"/>
      <c r="BA267" s="24"/>
      <c r="BC267" s="24">
        <v>46073.419727673609</v>
      </c>
      <c r="BD267" s="24">
        <v>46073.419727673609</v>
      </c>
      <c r="BE267" s="24">
        <v>46078.485638287035</v>
      </c>
      <c r="BF267" s="24">
        <v>46078.485638287035</v>
      </c>
      <c r="BG267">
        <v>1</v>
      </c>
      <c r="BH267" s="24">
        <v>46028.336897152774</v>
      </c>
      <c r="BI267" s="24">
        <v>46028.336897152774</v>
      </c>
      <c r="BJ267" s="24">
        <v>46050.349214479167</v>
      </c>
      <c r="BK267" s="24">
        <v>46050.349214479167</v>
      </c>
      <c r="BL267">
        <v>1</v>
      </c>
      <c r="BM267" s="24"/>
      <c r="BN267" s="24"/>
      <c r="BO267" s="24"/>
      <c r="BP267" s="24"/>
      <c r="BR267" s="24">
        <v>46073.419028576391</v>
      </c>
      <c r="BS267" s="24">
        <v>46056.602359826386</v>
      </c>
      <c r="BT267" s="24">
        <v>46056.602477199071</v>
      </c>
      <c r="BU267" s="24">
        <v>46073.419727673609</v>
      </c>
      <c r="BV267">
        <v>2</v>
      </c>
      <c r="BW267" s="24"/>
      <c r="BX267" s="24"/>
      <c r="BY267" s="24"/>
      <c r="BZ267" s="24"/>
      <c r="CB267" s="24"/>
      <c r="CC267" s="24"/>
      <c r="CE267" s="24">
        <v>46078.485638287035</v>
      </c>
      <c r="CF267" s="24">
        <v>46078.485638287035</v>
      </c>
      <c r="CG267">
        <v>1</v>
      </c>
      <c r="CH267" s="24"/>
      <c r="CI267" s="24"/>
      <c r="CJ267" s="24"/>
      <c r="CK267" s="24"/>
      <c r="DE267" s="24"/>
      <c r="DF267" s="24"/>
      <c r="DG267" s="24"/>
      <c r="DH267" s="24"/>
      <c r="DJ267" t="s">
        <v>149</v>
      </c>
      <c r="DK267" t="s">
        <v>149</v>
      </c>
      <c r="DM267">
        <v>51</v>
      </c>
      <c r="DN267">
        <v>29</v>
      </c>
      <c r="DQ267" t="s">
        <v>1000</v>
      </c>
      <c r="DR267" t="s">
        <v>149</v>
      </c>
      <c r="DS267" s="24">
        <v>46160.384426226854</v>
      </c>
    </row>
    <row r="268" spans="1:123" x14ac:dyDescent="0.3">
      <c r="A268" t="s">
        <v>518</v>
      </c>
      <c r="D268" t="s">
        <v>223</v>
      </c>
      <c r="E268" s="24">
        <v>45971.372754629629</v>
      </c>
      <c r="G268" t="s">
        <v>90</v>
      </c>
      <c r="H268" t="s">
        <v>155</v>
      </c>
      <c r="I268" s="24"/>
      <c r="J268" s="24"/>
      <c r="K268" s="24"/>
      <c r="L268" s="24"/>
      <c r="N268" s="24"/>
      <c r="O268" s="24"/>
      <c r="P268" s="24"/>
      <c r="Q268" s="24"/>
      <c r="V268" s="24"/>
      <c r="W268" s="24"/>
      <c r="X268" s="24"/>
      <c r="Y268" s="24"/>
      <c r="AA268" s="24">
        <v>45975.402274039348</v>
      </c>
      <c r="AB268" s="24">
        <v>45975.402274039348</v>
      </c>
      <c r="AC268" s="24">
        <v>45985.538646435183</v>
      </c>
      <c r="AD268" s="24">
        <v>45985.538646435183</v>
      </c>
      <c r="AE268">
        <v>1</v>
      </c>
      <c r="AF268" s="24">
        <v>45985.538646435183</v>
      </c>
      <c r="AG268" s="24">
        <v>45985.538646435183</v>
      </c>
      <c r="AH268" s="24">
        <v>45986.358238807872</v>
      </c>
      <c r="AI268" s="24">
        <v>45986.358238807872</v>
      </c>
      <c r="AJ268">
        <v>1</v>
      </c>
      <c r="AK268" s="24"/>
      <c r="AL268" s="24"/>
      <c r="AM268" s="24"/>
      <c r="AN268" s="24"/>
      <c r="AP268" s="24"/>
      <c r="AQ268" s="24"/>
      <c r="AR268" s="24">
        <v>45973.420611504633</v>
      </c>
      <c r="AS268" s="24">
        <v>45973.420611504633</v>
      </c>
      <c r="AX268" s="24"/>
      <c r="AY268" s="24"/>
      <c r="AZ268" s="24"/>
      <c r="BA268" s="24"/>
      <c r="BC268" s="24"/>
      <c r="BD268" s="24"/>
      <c r="BE268" s="24"/>
      <c r="BF268" s="24"/>
      <c r="BH268" s="24">
        <v>45973.420611504633</v>
      </c>
      <c r="BI268" s="24">
        <v>45973.420611504633</v>
      </c>
      <c r="BJ268" s="24">
        <v>45975.402274039348</v>
      </c>
      <c r="BK268" s="24">
        <v>45975.402274039348</v>
      </c>
      <c r="BL268">
        <v>1</v>
      </c>
      <c r="BM268" s="24"/>
      <c r="BN268" s="24"/>
      <c r="BO268" s="24"/>
      <c r="BP268" s="24"/>
      <c r="BR268" s="24">
        <v>45986.358238807872</v>
      </c>
      <c r="BS268" s="24">
        <v>45986.358238807872</v>
      </c>
      <c r="BT268" s="24">
        <v>45986.400931840275</v>
      </c>
      <c r="BU268" s="24">
        <v>45986.400931840275</v>
      </c>
      <c r="BV268">
        <v>1</v>
      </c>
      <c r="BW268" s="24"/>
      <c r="BX268" s="24"/>
      <c r="BY268" s="24"/>
      <c r="BZ268" s="24"/>
      <c r="CB268" s="24"/>
      <c r="CC268" s="24"/>
      <c r="CE268" s="24">
        <v>45986.400931840275</v>
      </c>
      <c r="CF268" s="24">
        <v>45986.400931840275</v>
      </c>
      <c r="CG268">
        <v>1</v>
      </c>
      <c r="CH268" s="24"/>
      <c r="CI268" s="24"/>
      <c r="CJ268" s="24"/>
      <c r="CK268" s="24"/>
      <c r="DE268" s="24"/>
      <c r="DF268" s="24"/>
      <c r="DG268" s="24"/>
      <c r="DH268" s="24"/>
      <c r="DJ268" t="s">
        <v>149</v>
      </c>
      <c r="DK268" t="s">
        <v>149</v>
      </c>
      <c r="DM268">
        <v>13</v>
      </c>
      <c r="DN268">
        <v>11</v>
      </c>
      <c r="DQ268" t="s">
        <v>1000</v>
      </c>
      <c r="DR268" t="s">
        <v>149</v>
      </c>
      <c r="DS268" s="24">
        <v>46160.384426226854</v>
      </c>
    </row>
    <row r="269" spans="1:123" x14ac:dyDescent="0.3">
      <c r="A269" t="s">
        <v>519</v>
      </c>
      <c r="D269" t="s">
        <v>223</v>
      </c>
      <c r="E269" s="24">
        <v>45968.486319444448</v>
      </c>
      <c r="G269" t="s">
        <v>90</v>
      </c>
      <c r="H269" t="s">
        <v>155</v>
      </c>
      <c r="I269" s="24"/>
      <c r="J269" s="24"/>
      <c r="K269" s="24"/>
      <c r="L269" s="24"/>
      <c r="N269" s="24"/>
      <c r="O269" s="24"/>
      <c r="P269" s="24"/>
      <c r="Q269" s="24"/>
      <c r="V269" s="24"/>
      <c r="W269" s="24"/>
      <c r="X269" s="24"/>
      <c r="Y269" s="24"/>
      <c r="AA269" s="24">
        <v>45973.471815798614</v>
      </c>
      <c r="AB269" s="24">
        <v>45973.471815798614</v>
      </c>
      <c r="AC269" s="24">
        <v>45981.558749467593</v>
      </c>
      <c r="AD269" s="24">
        <v>45981.558749467593</v>
      </c>
      <c r="AE269">
        <v>1</v>
      </c>
      <c r="AF269" s="24">
        <v>45981.558749467593</v>
      </c>
      <c r="AG269" s="24">
        <v>45981.558749467593</v>
      </c>
      <c r="AH269" s="24">
        <v>45986.358636157405</v>
      </c>
      <c r="AI269" s="24">
        <v>45986.358636157405</v>
      </c>
      <c r="AJ269">
        <v>1</v>
      </c>
      <c r="AK269" s="24"/>
      <c r="AL269" s="24"/>
      <c r="AM269" s="24"/>
      <c r="AN269" s="24"/>
      <c r="AP269" s="24"/>
      <c r="AQ269" s="24"/>
      <c r="AR269" s="24">
        <v>45973.42303662037</v>
      </c>
      <c r="AS269" s="24">
        <v>45973.42303662037</v>
      </c>
      <c r="AX269" s="24"/>
      <c r="AY269" s="24"/>
      <c r="AZ269" s="24"/>
      <c r="BA269" s="24"/>
      <c r="BC269" s="24"/>
      <c r="BD269" s="24"/>
      <c r="BE269" s="24"/>
      <c r="BF269" s="24"/>
      <c r="BH269" s="24">
        <v>45973.42303662037</v>
      </c>
      <c r="BI269" s="24">
        <v>45973.42303662037</v>
      </c>
      <c r="BJ269" s="24">
        <v>45973.471815798614</v>
      </c>
      <c r="BK269" s="24">
        <v>45973.471815798614</v>
      </c>
      <c r="BL269">
        <v>1</v>
      </c>
      <c r="BM269" s="24"/>
      <c r="BN269" s="24"/>
      <c r="BO269" s="24"/>
      <c r="BP269" s="24"/>
      <c r="BR269" s="24"/>
      <c r="BS269" s="24"/>
      <c r="BT269" s="24"/>
      <c r="BU269" s="24"/>
      <c r="BW269" s="24"/>
      <c r="BX269" s="24"/>
      <c r="BY269" s="24"/>
      <c r="BZ269" s="24"/>
      <c r="CB269" s="24"/>
      <c r="CC269" s="24"/>
      <c r="CE269" s="24">
        <v>45986.358636157405</v>
      </c>
      <c r="CF269" s="24">
        <v>45986.358636157405</v>
      </c>
      <c r="CG269">
        <v>1</v>
      </c>
      <c r="CH269" s="24"/>
      <c r="CI269" s="24"/>
      <c r="CJ269" s="24"/>
      <c r="CK269" s="24"/>
      <c r="DE269" s="24"/>
      <c r="DF269" s="24"/>
      <c r="DG269" s="24"/>
      <c r="DH269" s="24"/>
      <c r="DJ269" t="s">
        <v>149</v>
      </c>
      <c r="DK269" t="s">
        <v>149</v>
      </c>
      <c r="DM269">
        <v>13</v>
      </c>
      <c r="DN269">
        <v>13</v>
      </c>
      <c r="DQ269" t="s">
        <v>1000</v>
      </c>
      <c r="DR269" t="s">
        <v>149</v>
      </c>
      <c r="DS269" s="24">
        <v>46160.384426226854</v>
      </c>
    </row>
    <row r="270" spans="1:123" x14ac:dyDescent="0.3">
      <c r="A270" t="s">
        <v>520</v>
      </c>
      <c r="D270" t="s">
        <v>223</v>
      </c>
      <c r="E270" s="24">
        <v>45968.450509259259</v>
      </c>
      <c r="G270" t="s">
        <v>90</v>
      </c>
      <c r="H270" t="s">
        <v>155</v>
      </c>
      <c r="I270" s="24"/>
      <c r="J270" s="24"/>
      <c r="K270" s="24"/>
      <c r="L270" s="24"/>
      <c r="N270" s="24"/>
      <c r="O270" s="24"/>
      <c r="P270" s="24"/>
      <c r="Q270" s="24"/>
      <c r="V270" s="24"/>
      <c r="W270" s="24"/>
      <c r="X270" s="24"/>
      <c r="Y270" s="24"/>
      <c r="AA270" s="24">
        <v>45973.421962858796</v>
      </c>
      <c r="AB270" s="24">
        <v>45973.421962858796</v>
      </c>
      <c r="AC270" s="24">
        <v>45986.346696412038</v>
      </c>
      <c r="AD270" s="24">
        <v>45986.346696412038</v>
      </c>
      <c r="AE270">
        <v>1</v>
      </c>
      <c r="AF270" s="24"/>
      <c r="AG270" s="24"/>
      <c r="AH270" s="24"/>
      <c r="AI270" s="24"/>
      <c r="AK270" s="24"/>
      <c r="AL270" s="24"/>
      <c r="AM270" s="24"/>
      <c r="AN270" s="24"/>
      <c r="AP270" s="24"/>
      <c r="AQ270" s="24"/>
      <c r="AR270" s="24">
        <v>45973.421890196762</v>
      </c>
      <c r="AS270" s="24">
        <v>45973.421890196762</v>
      </c>
      <c r="AX270" s="24"/>
      <c r="AY270" s="24"/>
      <c r="AZ270" s="24"/>
      <c r="BA270" s="24"/>
      <c r="BC270" s="24"/>
      <c r="BD270" s="24"/>
      <c r="BE270" s="24"/>
      <c r="BF270" s="24"/>
      <c r="BH270" s="24">
        <v>45973.421890196762</v>
      </c>
      <c r="BI270" s="24">
        <v>45973.421890196762</v>
      </c>
      <c r="BJ270" s="24">
        <v>45973.421962858796</v>
      </c>
      <c r="BK270" s="24">
        <v>45973.421962858796</v>
      </c>
      <c r="BL270">
        <v>1</v>
      </c>
      <c r="BM270" s="24"/>
      <c r="BN270" s="24"/>
      <c r="BO270" s="24"/>
      <c r="BP270" s="24"/>
      <c r="BR270" s="24">
        <v>45986.346696412038</v>
      </c>
      <c r="BS270" s="24">
        <v>45986.346696412038</v>
      </c>
      <c r="BT270" s="24">
        <v>45986.401234780089</v>
      </c>
      <c r="BU270" s="24">
        <v>45986.401234780089</v>
      </c>
      <c r="BV270">
        <v>1</v>
      </c>
      <c r="BW270" s="24"/>
      <c r="BX270" s="24"/>
      <c r="BY270" s="24"/>
      <c r="BZ270" s="24"/>
      <c r="CB270" s="24"/>
      <c r="CC270" s="24"/>
      <c r="CE270" s="24">
        <v>45986.401234780089</v>
      </c>
      <c r="CF270" s="24">
        <v>45986.401234780089</v>
      </c>
      <c r="CG270">
        <v>1</v>
      </c>
      <c r="CH270" s="24"/>
      <c r="CI270" s="24"/>
      <c r="CJ270" s="24"/>
      <c r="CK270" s="24"/>
      <c r="DE270" s="24"/>
      <c r="DF270" s="24"/>
      <c r="DG270" s="24"/>
      <c r="DH270" s="24"/>
      <c r="DJ270" t="s">
        <v>149</v>
      </c>
      <c r="DK270" t="s">
        <v>149</v>
      </c>
      <c r="DM270">
        <v>13</v>
      </c>
      <c r="DN270">
        <v>13</v>
      </c>
      <c r="DQ270" t="s">
        <v>1000</v>
      </c>
      <c r="DR270" t="s">
        <v>149</v>
      </c>
      <c r="DS270" s="24">
        <v>46160.384426226854</v>
      </c>
    </row>
    <row r="271" spans="1:123" x14ac:dyDescent="0.3">
      <c r="A271" t="s">
        <v>521</v>
      </c>
      <c r="D271" t="s">
        <v>223</v>
      </c>
      <c r="E271" s="24">
        <v>45968.370243055557</v>
      </c>
      <c r="G271" t="s">
        <v>90</v>
      </c>
      <c r="H271" t="s">
        <v>155</v>
      </c>
      <c r="I271" s="24"/>
      <c r="J271" s="24"/>
      <c r="K271" s="24"/>
      <c r="L271" s="24"/>
      <c r="N271" s="24"/>
      <c r="O271" s="24"/>
      <c r="P271" s="24"/>
      <c r="Q271" s="24"/>
      <c r="V271" s="24"/>
      <c r="W271" s="24"/>
      <c r="X271" s="24"/>
      <c r="Y271" s="24"/>
      <c r="AA271" s="24">
        <v>45968.534041550927</v>
      </c>
      <c r="AB271" s="24">
        <v>45968.534041550927</v>
      </c>
      <c r="AC271" s="24">
        <v>45968.534214513886</v>
      </c>
      <c r="AD271" s="24">
        <v>45968.534214513886</v>
      </c>
      <c r="AE271">
        <v>1</v>
      </c>
      <c r="AF271" s="24">
        <v>45968.534214513886</v>
      </c>
      <c r="AG271" s="24">
        <v>45968.534214513886</v>
      </c>
      <c r="AH271" s="24">
        <v>45968.635159803242</v>
      </c>
      <c r="AI271" s="24">
        <v>45968.635159803242</v>
      </c>
      <c r="AJ271">
        <v>1</v>
      </c>
      <c r="AK271" s="24"/>
      <c r="AL271" s="24"/>
      <c r="AM271" s="24"/>
      <c r="AN271" s="24"/>
      <c r="AP271" s="24"/>
      <c r="AQ271" s="24"/>
      <c r="AR271" s="24">
        <v>45968.533992893521</v>
      </c>
      <c r="AS271" s="24">
        <v>45968.533992893521</v>
      </c>
      <c r="AX271" s="24"/>
      <c r="AY271" s="24"/>
      <c r="AZ271" s="24"/>
      <c r="BA271" s="24"/>
      <c r="BC271" s="24"/>
      <c r="BD271" s="24"/>
      <c r="BE271" s="24"/>
      <c r="BF271" s="24"/>
      <c r="BH271" s="24">
        <v>45968.533992893521</v>
      </c>
      <c r="BI271" s="24">
        <v>45968.533992893521</v>
      </c>
      <c r="BJ271" s="24">
        <v>45968.534041550927</v>
      </c>
      <c r="BK271" s="24">
        <v>45968.534041550927</v>
      </c>
      <c r="BL271">
        <v>1</v>
      </c>
      <c r="BM271" s="24"/>
      <c r="BN271" s="24"/>
      <c r="BO271" s="24"/>
      <c r="BP271" s="24"/>
      <c r="BR271" s="24">
        <v>45968.635159803242</v>
      </c>
      <c r="BS271" s="24">
        <v>45968.635159803242</v>
      </c>
      <c r="BT271" s="24">
        <v>45971.40817855324</v>
      </c>
      <c r="BU271" s="24">
        <v>45971.40817855324</v>
      </c>
      <c r="BV271">
        <v>1</v>
      </c>
      <c r="BW271" s="24"/>
      <c r="BX271" s="24"/>
      <c r="BY271" s="24"/>
      <c r="BZ271" s="24"/>
      <c r="CB271" s="24"/>
      <c r="CC271" s="24"/>
      <c r="CE271" s="24">
        <v>45971.40817855324</v>
      </c>
      <c r="CF271" s="24">
        <v>45971.40817855324</v>
      </c>
      <c r="CG271">
        <v>1</v>
      </c>
      <c r="CH271" s="24"/>
      <c r="CI271" s="24"/>
      <c r="CJ271" s="24"/>
      <c r="CK271" s="24"/>
      <c r="DE271" s="24"/>
      <c r="DF271" s="24"/>
      <c r="DG271" s="24"/>
      <c r="DH271" s="24"/>
      <c r="DJ271" t="s">
        <v>149</v>
      </c>
      <c r="DK271" t="s">
        <v>149</v>
      </c>
      <c r="DM271">
        <v>3</v>
      </c>
      <c r="DN271">
        <v>3</v>
      </c>
      <c r="DQ271" t="s">
        <v>1000</v>
      </c>
      <c r="DR271" t="s">
        <v>149</v>
      </c>
      <c r="DS271" s="24">
        <v>46160.384426226854</v>
      </c>
    </row>
    <row r="272" spans="1:123" x14ac:dyDescent="0.3">
      <c r="A272" t="s">
        <v>522</v>
      </c>
      <c r="D272" t="s">
        <v>223</v>
      </c>
      <c r="E272" s="24">
        <v>45967.355486111112</v>
      </c>
      <c r="G272" t="s">
        <v>90</v>
      </c>
      <c r="H272" t="s">
        <v>155</v>
      </c>
      <c r="I272" s="24"/>
      <c r="J272" s="24"/>
      <c r="K272" s="24"/>
      <c r="L272" s="24"/>
      <c r="N272" s="24"/>
      <c r="O272" s="24"/>
      <c r="P272" s="24"/>
      <c r="Q272" s="24"/>
      <c r="V272" s="24"/>
      <c r="W272" s="24"/>
      <c r="X272" s="24"/>
      <c r="Y272" s="24"/>
      <c r="AA272" s="24">
        <v>45974.404189907407</v>
      </c>
      <c r="AB272" s="24">
        <v>45974.404189907407</v>
      </c>
      <c r="AC272" s="24">
        <v>45985.4170443287</v>
      </c>
      <c r="AD272" s="24">
        <v>45985.4170443287</v>
      </c>
      <c r="AE272">
        <v>1</v>
      </c>
      <c r="AF272" s="24"/>
      <c r="AG272" s="24"/>
      <c r="AH272" s="24"/>
      <c r="AI272" s="24"/>
      <c r="AK272" s="24"/>
      <c r="AL272" s="24"/>
      <c r="AM272" s="24"/>
      <c r="AN272" s="24"/>
      <c r="AP272" s="24"/>
      <c r="AQ272" s="24"/>
      <c r="AR272" s="24">
        <v>45967.356053946758</v>
      </c>
      <c r="AS272" s="24">
        <v>45967.356053946758</v>
      </c>
      <c r="AX272" s="24"/>
      <c r="AY272" s="24"/>
      <c r="AZ272" s="24"/>
      <c r="BA272" s="24"/>
      <c r="BC272" s="24"/>
      <c r="BD272" s="24"/>
      <c r="BE272" s="24"/>
      <c r="BF272" s="24"/>
      <c r="BH272" s="24">
        <v>45967.356053946758</v>
      </c>
      <c r="BI272" s="24">
        <v>45967.356053946758</v>
      </c>
      <c r="BJ272" s="24">
        <v>45974.404189907407</v>
      </c>
      <c r="BK272" s="24">
        <v>45974.404189907407</v>
      </c>
      <c r="BL272">
        <v>1</v>
      </c>
      <c r="BM272" s="24"/>
      <c r="BN272" s="24"/>
      <c r="BO272" s="24"/>
      <c r="BP272" s="24"/>
      <c r="BR272" s="24">
        <v>45985.4170443287</v>
      </c>
      <c r="BS272" s="24">
        <v>45985.4170443287</v>
      </c>
      <c r="BT272" s="24">
        <v>45985.445074074072</v>
      </c>
      <c r="BU272" s="24">
        <v>45985.445074074072</v>
      </c>
      <c r="BV272">
        <v>1</v>
      </c>
      <c r="BW272" s="24"/>
      <c r="BX272" s="24"/>
      <c r="BY272" s="24"/>
      <c r="BZ272" s="24"/>
      <c r="CB272" s="24"/>
      <c r="CC272" s="24"/>
      <c r="CE272" s="24">
        <v>45985.445074074072</v>
      </c>
      <c r="CF272" s="24">
        <v>45985.445074074072</v>
      </c>
      <c r="CG272">
        <v>1</v>
      </c>
      <c r="CH272" s="24"/>
      <c r="CI272" s="24"/>
      <c r="CJ272" s="24"/>
      <c r="CK272" s="24"/>
      <c r="DE272" s="24"/>
      <c r="DF272" s="24"/>
      <c r="DG272" s="24"/>
      <c r="DH272" s="24"/>
      <c r="DJ272" t="s">
        <v>149</v>
      </c>
      <c r="DK272" t="s">
        <v>149</v>
      </c>
      <c r="DM272">
        <v>19</v>
      </c>
      <c r="DN272">
        <v>12</v>
      </c>
      <c r="DQ272" t="s">
        <v>1000</v>
      </c>
      <c r="DR272" t="s">
        <v>149</v>
      </c>
      <c r="DS272" s="24">
        <v>46160.384426226854</v>
      </c>
    </row>
    <row r="273" spans="1:123" x14ac:dyDescent="0.3">
      <c r="A273" t="s">
        <v>523</v>
      </c>
      <c r="D273" t="s">
        <v>225</v>
      </c>
      <c r="E273" s="24">
        <v>45964.587141203701</v>
      </c>
      <c r="G273" t="s">
        <v>90</v>
      </c>
      <c r="H273" t="s">
        <v>155</v>
      </c>
      <c r="I273" s="24"/>
      <c r="J273" s="24"/>
      <c r="K273" s="24"/>
      <c r="L273" s="24"/>
      <c r="N273" s="24"/>
      <c r="O273" s="24"/>
      <c r="P273" s="24"/>
      <c r="Q273" s="24"/>
      <c r="V273" s="24"/>
      <c r="W273" s="24"/>
      <c r="X273" s="24"/>
      <c r="Y273" s="24"/>
      <c r="AA273" s="24">
        <v>45986.608170717591</v>
      </c>
      <c r="AB273" s="24">
        <v>45973.683877199073</v>
      </c>
      <c r="AC273" s="24">
        <v>45974.627847777774</v>
      </c>
      <c r="AD273" s="24">
        <v>45986.608398703705</v>
      </c>
      <c r="AE273">
        <v>2</v>
      </c>
      <c r="AF273" s="24">
        <v>45974.627847777774</v>
      </c>
      <c r="AG273" s="24">
        <v>45974.627847777774</v>
      </c>
      <c r="AH273" s="24">
        <v>45986.608106956017</v>
      </c>
      <c r="AI273" s="24">
        <v>45986.608106956017</v>
      </c>
      <c r="AJ273">
        <v>1</v>
      </c>
      <c r="AK273" s="24"/>
      <c r="AL273" s="24"/>
      <c r="AM273" s="24"/>
      <c r="AN273" s="24"/>
      <c r="AP273" s="24"/>
      <c r="AQ273" s="24"/>
      <c r="AR273" s="24">
        <v>45973.681954108797</v>
      </c>
      <c r="AS273" s="24">
        <v>45973.681954108797</v>
      </c>
      <c r="AX273" s="24"/>
      <c r="AY273" s="24"/>
      <c r="AZ273" s="24"/>
      <c r="BA273" s="24"/>
      <c r="BC273" s="24">
        <v>45986.608459895833</v>
      </c>
      <c r="BD273" s="24">
        <v>45986.608459895833</v>
      </c>
      <c r="BE273" s="24">
        <v>45995.596151157406</v>
      </c>
      <c r="BF273" s="24">
        <v>45995.596151157406</v>
      </c>
      <c r="BG273">
        <v>1</v>
      </c>
      <c r="BH273" s="24">
        <v>45973.681954108797</v>
      </c>
      <c r="BI273" s="24">
        <v>45973.681954108797</v>
      </c>
      <c r="BJ273" s="24">
        <v>45973.683877199073</v>
      </c>
      <c r="BK273" s="24">
        <v>45973.683877199073</v>
      </c>
      <c r="BL273">
        <v>1</v>
      </c>
      <c r="BM273" s="24"/>
      <c r="BN273" s="24"/>
      <c r="BO273" s="24"/>
      <c r="BP273" s="24"/>
      <c r="BR273" s="24">
        <v>45986.608398703705</v>
      </c>
      <c r="BS273" s="24">
        <v>45986.608398703705</v>
      </c>
      <c r="BT273" s="24">
        <v>45986.608459895833</v>
      </c>
      <c r="BU273" s="24">
        <v>45986.608459895833</v>
      </c>
      <c r="BV273">
        <v>1</v>
      </c>
      <c r="BW273" s="24"/>
      <c r="BX273" s="24"/>
      <c r="BY273" s="24"/>
      <c r="BZ273" s="24"/>
      <c r="CB273" s="24"/>
      <c r="CC273" s="24"/>
      <c r="CE273" s="24">
        <v>45995.596151157406</v>
      </c>
      <c r="CF273" s="24">
        <v>45995.596151157406</v>
      </c>
      <c r="CG273">
        <v>1</v>
      </c>
      <c r="CH273" s="24"/>
      <c r="CI273" s="24"/>
      <c r="CJ273" s="24"/>
      <c r="CK273" s="24"/>
      <c r="DE273" s="24">
        <v>45986.608106956017</v>
      </c>
      <c r="DF273" s="24">
        <v>45986.608106956017</v>
      </c>
      <c r="DG273" s="24">
        <v>45986.608170717591</v>
      </c>
      <c r="DH273" s="24">
        <v>45986.608170717591</v>
      </c>
      <c r="DI273">
        <v>1</v>
      </c>
      <c r="DJ273" t="s">
        <v>149</v>
      </c>
      <c r="DK273" t="s">
        <v>149</v>
      </c>
      <c r="DM273">
        <v>22</v>
      </c>
      <c r="DN273">
        <v>22</v>
      </c>
      <c r="DQ273" t="s">
        <v>1000</v>
      </c>
      <c r="DR273" t="s">
        <v>149</v>
      </c>
      <c r="DS273" s="24">
        <v>46160.384426226854</v>
      </c>
    </row>
    <row r="274" spans="1:123" x14ac:dyDescent="0.3">
      <c r="A274" t="s">
        <v>524</v>
      </c>
      <c r="D274" t="s">
        <v>225</v>
      </c>
      <c r="E274" s="24">
        <v>45959.580763888887</v>
      </c>
      <c r="G274" t="s">
        <v>90</v>
      </c>
      <c r="H274" t="s">
        <v>155</v>
      </c>
      <c r="I274" s="24"/>
      <c r="J274" s="24"/>
      <c r="K274" s="24"/>
      <c r="L274" s="24"/>
      <c r="N274" s="24"/>
      <c r="O274" s="24"/>
      <c r="P274" s="24"/>
      <c r="Q274" s="24"/>
      <c r="V274" s="24"/>
      <c r="W274" s="24"/>
      <c r="X274" s="24"/>
      <c r="Y274" s="24"/>
      <c r="AA274" s="24">
        <v>45981.41117965278</v>
      </c>
      <c r="AB274" s="24">
        <v>45965.430406030093</v>
      </c>
      <c r="AC274" s="24">
        <v>45971.563632152778</v>
      </c>
      <c r="AD274" s="24">
        <v>45982.494411678243</v>
      </c>
      <c r="AE274">
        <v>2</v>
      </c>
      <c r="AF274" s="24">
        <v>45982.494411678243</v>
      </c>
      <c r="AG274" s="24">
        <v>45971.563632152778</v>
      </c>
      <c r="AH274" s="24">
        <v>45971.637219074073</v>
      </c>
      <c r="AI274" s="24">
        <v>45982.536982500002</v>
      </c>
      <c r="AJ274">
        <v>2</v>
      </c>
      <c r="AK274" s="24">
        <v>45982.536982500002</v>
      </c>
      <c r="AL274" s="24">
        <v>45971.637219074073</v>
      </c>
      <c r="AM274" s="24">
        <v>45972.400043182868</v>
      </c>
      <c r="AN274" s="24">
        <v>45982.537018981478</v>
      </c>
      <c r="AO274">
        <v>3</v>
      </c>
      <c r="AP274" s="24"/>
      <c r="AQ274" s="24"/>
      <c r="AR274" s="24">
        <v>45965.430317951388</v>
      </c>
      <c r="AS274" s="24">
        <v>45965.430317951388</v>
      </c>
      <c r="AX274" s="24"/>
      <c r="AY274" s="24"/>
      <c r="AZ274" s="24"/>
      <c r="BA274" s="24"/>
      <c r="BC274" s="24">
        <v>45985.405804548609</v>
      </c>
      <c r="BD274" s="24">
        <v>45972.400494201385</v>
      </c>
      <c r="BE274" s="24">
        <v>45975.436250833336</v>
      </c>
      <c r="BF274" s="24">
        <v>45995.596151134261</v>
      </c>
      <c r="BG274">
        <v>2</v>
      </c>
      <c r="BH274" s="24">
        <v>45965.430317951388</v>
      </c>
      <c r="BI274" s="24">
        <v>45965.430317951388</v>
      </c>
      <c r="BJ274" s="24">
        <v>45965.430406030093</v>
      </c>
      <c r="BK274" s="24">
        <v>45965.430406030093</v>
      </c>
      <c r="BL274">
        <v>1</v>
      </c>
      <c r="BM274" s="24"/>
      <c r="BN274" s="24"/>
      <c r="BO274" s="24"/>
      <c r="BP274" s="24"/>
      <c r="BR274" s="24">
        <v>45982.537018981478</v>
      </c>
      <c r="BS274" s="24">
        <v>45972.400043182868</v>
      </c>
      <c r="BT274" s="24">
        <v>45972.400494201385</v>
      </c>
      <c r="BU274" s="24">
        <v>45985.405804548609</v>
      </c>
      <c r="BV274">
        <v>3</v>
      </c>
      <c r="BW274" s="24"/>
      <c r="BX274" s="24"/>
      <c r="BY274" s="24"/>
      <c r="BZ274" s="24"/>
      <c r="CB274" s="24"/>
      <c r="CC274" s="24"/>
      <c r="CE274" s="24">
        <v>45995.596151134261</v>
      </c>
      <c r="CF274" s="24">
        <v>45995.596151134261</v>
      </c>
      <c r="CG274">
        <v>1</v>
      </c>
      <c r="CH274" s="24"/>
      <c r="CI274" s="24"/>
      <c r="CJ274" s="24"/>
      <c r="CK274" s="24"/>
      <c r="DE274" s="24"/>
      <c r="DF274" s="24"/>
      <c r="DG274" s="24"/>
      <c r="DH274" s="24"/>
      <c r="DJ274" t="s">
        <v>149</v>
      </c>
      <c r="DK274" t="s">
        <v>149</v>
      </c>
      <c r="DM274">
        <v>31</v>
      </c>
      <c r="DN274">
        <v>31</v>
      </c>
      <c r="DQ274" t="s">
        <v>1000</v>
      </c>
      <c r="DR274" t="s">
        <v>149</v>
      </c>
      <c r="DS274" s="24">
        <v>46160.384426226854</v>
      </c>
    </row>
    <row r="275" spans="1:123" x14ac:dyDescent="0.3">
      <c r="A275" t="s">
        <v>525</v>
      </c>
      <c r="D275" t="s">
        <v>225</v>
      </c>
      <c r="E275" s="24">
        <v>45958.729016203702</v>
      </c>
      <c r="G275" t="s">
        <v>102</v>
      </c>
      <c r="H275" t="s">
        <v>154</v>
      </c>
      <c r="I275" s="24"/>
      <c r="J275" s="24"/>
      <c r="K275" s="24"/>
      <c r="L275" s="24"/>
      <c r="N275" s="24"/>
      <c r="O275" s="24"/>
      <c r="P275" s="24"/>
      <c r="Q275" s="24"/>
      <c r="V275" s="24"/>
      <c r="W275" s="24"/>
      <c r="X275" s="24"/>
      <c r="Y275" s="24"/>
      <c r="AA275" s="24"/>
      <c r="AB275" s="24"/>
      <c r="AC275" s="24"/>
      <c r="AD275" s="24"/>
      <c r="AF275" s="24"/>
      <c r="AG275" s="24"/>
      <c r="AH275" s="24"/>
      <c r="AI275" s="24"/>
      <c r="AK275" s="24"/>
      <c r="AL275" s="24"/>
      <c r="AM275" s="24"/>
      <c r="AN275" s="24"/>
      <c r="AP275" s="24"/>
      <c r="AQ275" s="24"/>
      <c r="AR275" s="24"/>
      <c r="AS275" s="24"/>
      <c r="AX275" s="24"/>
      <c r="AY275" s="24"/>
      <c r="AZ275" s="24"/>
      <c r="BA275" s="24"/>
      <c r="BC275" s="24"/>
      <c r="BD275" s="24"/>
      <c r="BE275" s="24"/>
      <c r="BF275" s="24"/>
      <c r="BH275" s="24"/>
      <c r="BI275" s="24"/>
      <c r="BJ275" s="24"/>
      <c r="BK275" s="24"/>
      <c r="BM275" s="24"/>
      <c r="BN275" s="24"/>
      <c r="BO275" s="24"/>
      <c r="BP275" s="24"/>
      <c r="BR275" s="24"/>
      <c r="BS275" s="24"/>
      <c r="BT275" s="24"/>
      <c r="BU275" s="24"/>
      <c r="BW275" s="24"/>
      <c r="BX275" s="24"/>
      <c r="BY275" s="24"/>
      <c r="BZ275" s="24"/>
      <c r="CB275" s="24"/>
      <c r="CC275" s="24"/>
      <c r="CE275" s="24"/>
      <c r="CF275" s="24"/>
      <c r="CH275" s="24"/>
      <c r="CI275" s="24"/>
      <c r="CJ275" s="24"/>
      <c r="CK275" s="24"/>
      <c r="DE275" s="24"/>
      <c r="DF275" s="24"/>
      <c r="DG275" s="24"/>
      <c r="DH275" s="24"/>
      <c r="DJ275" t="s">
        <v>149</v>
      </c>
      <c r="DK275" t="s">
        <v>149</v>
      </c>
      <c r="DQ275" t="s">
        <v>1000</v>
      </c>
      <c r="DR275" t="s">
        <v>149</v>
      </c>
      <c r="DS275" s="24">
        <v>46160.384426226854</v>
      </c>
    </row>
    <row r="276" spans="1:123" x14ac:dyDescent="0.3">
      <c r="A276" t="s">
        <v>526</v>
      </c>
      <c r="D276" t="s">
        <v>223</v>
      </c>
      <c r="E276" s="24">
        <v>45958.532812500001</v>
      </c>
      <c r="G276" t="s">
        <v>90</v>
      </c>
      <c r="H276" t="s">
        <v>155</v>
      </c>
      <c r="I276" s="24"/>
      <c r="J276" s="24"/>
      <c r="K276" s="24"/>
      <c r="L276" s="24"/>
      <c r="N276" s="24"/>
      <c r="O276" s="24"/>
      <c r="P276" s="24"/>
      <c r="Q276" s="24"/>
      <c r="V276" s="24"/>
      <c r="W276" s="24"/>
      <c r="X276" s="24"/>
      <c r="Y276" s="24"/>
      <c r="AA276" s="24">
        <v>45959.346031759262</v>
      </c>
      <c r="AB276" s="24">
        <v>45959.346031759262</v>
      </c>
      <c r="AC276" s="24">
        <v>45971.53182527778</v>
      </c>
      <c r="AD276" s="24">
        <v>45971.53182527778</v>
      </c>
      <c r="AE276">
        <v>1</v>
      </c>
      <c r="AF276" s="24">
        <v>45971.53182527778</v>
      </c>
      <c r="AG276" s="24">
        <v>45971.53182527778</v>
      </c>
      <c r="AH276" s="24">
        <v>45971.531888437501</v>
      </c>
      <c r="AI276" s="24">
        <v>45971.531888437501</v>
      </c>
      <c r="AJ276">
        <v>1</v>
      </c>
      <c r="AK276" s="24"/>
      <c r="AL276" s="24"/>
      <c r="AM276" s="24"/>
      <c r="AN276" s="24"/>
      <c r="AP276" s="24"/>
      <c r="AQ276" s="24"/>
      <c r="AR276" s="24">
        <v>45958.533356446758</v>
      </c>
      <c r="AS276" s="24">
        <v>45958.533356446758</v>
      </c>
      <c r="AX276" s="24"/>
      <c r="AY276" s="24"/>
      <c r="AZ276" s="24"/>
      <c r="BA276" s="24"/>
      <c r="BC276" s="24"/>
      <c r="BD276" s="24"/>
      <c r="BE276" s="24"/>
      <c r="BF276" s="24"/>
      <c r="BH276" s="24">
        <v>45958.533356446758</v>
      </c>
      <c r="BI276" s="24">
        <v>45958.533356446758</v>
      </c>
      <c r="BJ276" s="24">
        <v>45959.346031759262</v>
      </c>
      <c r="BK276" s="24">
        <v>45959.346031759262</v>
      </c>
      <c r="BL276">
        <v>1</v>
      </c>
      <c r="BM276" s="24"/>
      <c r="BN276" s="24"/>
      <c r="BO276" s="24"/>
      <c r="BP276" s="24"/>
      <c r="BR276" s="24"/>
      <c r="BS276" s="24"/>
      <c r="BT276" s="24"/>
      <c r="BU276" s="24"/>
      <c r="BW276" s="24"/>
      <c r="BX276" s="24"/>
      <c r="BY276" s="24"/>
      <c r="BZ276" s="24"/>
      <c r="CB276" s="24"/>
      <c r="CC276" s="24"/>
      <c r="CE276" s="24">
        <v>45971.531888437501</v>
      </c>
      <c r="CF276" s="24">
        <v>45971.531888437501</v>
      </c>
      <c r="CG276">
        <v>1</v>
      </c>
      <c r="CH276" s="24"/>
      <c r="CI276" s="24"/>
      <c r="CJ276" s="24"/>
      <c r="CK276" s="24"/>
      <c r="DE276" s="24"/>
      <c r="DF276" s="24"/>
      <c r="DG276" s="24"/>
      <c r="DH276" s="24"/>
      <c r="DJ276" t="s">
        <v>149</v>
      </c>
      <c r="DK276" t="s">
        <v>149</v>
      </c>
      <c r="DM276">
        <v>13</v>
      </c>
      <c r="DN276">
        <v>13</v>
      </c>
      <c r="DQ276" t="s">
        <v>1000</v>
      </c>
      <c r="DR276" t="s">
        <v>149</v>
      </c>
      <c r="DS276" s="24">
        <v>46160.384426226854</v>
      </c>
    </row>
    <row r="277" spans="1:123" x14ac:dyDescent="0.3">
      <c r="A277" t="s">
        <v>527</v>
      </c>
      <c r="D277" t="s">
        <v>225</v>
      </c>
      <c r="E277" s="24">
        <v>45958.458402777775</v>
      </c>
      <c r="G277" t="s">
        <v>107</v>
      </c>
      <c r="H277" t="s">
        <v>154</v>
      </c>
      <c r="I277" s="24"/>
      <c r="J277" s="24"/>
      <c r="K277" s="24"/>
      <c r="L277" s="24"/>
      <c r="N277" s="24"/>
      <c r="O277" s="24"/>
      <c r="P277" s="24"/>
      <c r="Q277" s="24"/>
      <c r="V277" s="24"/>
      <c r="W277" s="24"/>
      <c r="X277" s="24"/>
      <c r="Y277" s="24"/>
      <c r="AA277" s="24"/>
      <c r="AB277" s="24"/>
      <c r="AC277" s="24"/>
      <c r="AD277" s="24"/>
      <c r="AF277" s="24"/>
      <c r="AG277" s="24"/>
      <c r="AH277" s="24"/>
      <c r="AI277" s="24"/>
      <c r="AK277" s="24"/>
      <c r="AL277" s="24"/>
      <c r="AM277" s="24"/>
      <c r="AN277" s="24"/>
      <c r="AP277" s="24"/>
      <c r="AQ277" s="24"/>
      <c r="AR277" s="24">
        <v>45958.481026250003</v>
      </c>
      <c r="AS277" s="24">
        <v>45958.481026250003</v>
      </c>
      <c r="AX277" s="24"/>
      <c r="AY277" s="24"/>
      <c r="AZ277" s="24"/>
      <c r="BA277" s="24"/>
      <c r="BC277" s="24"/>
      <c r="BD277" s="24"/>
      <c r="BE277" s="24"/>
      <c r="BF277" s="24"/>
      <c r="BH277" s="24">
        <v>45958.481026250003</v>
      </c>
      <c r="BI277" s="24">
        <v>45958.481026250003</v>
      </c>
      <c r="BJ277" s="24"/>
      <c r="BK277" s="24"/>
      <c r="BL277">
        <v>1</v>
      </c>
      <c r="BM277" s="24"/>
      <c r="BN277" s="24"/>
      <c r="BO277" s="24"/>
      <c r="BP277" s="24"/>
      <c r="BR277" s="24"/>
      <c r="BS277" s="24"/>
      <c r="BT277" s="24"/>
      <c r="BU277" s="24"/>
      <c r="BW277" s="24"/>
      <c r="BX277" s="24"/>
      <c r="BY277" s="24"/>
      <c r="BZ277" s="24"/>
      <c r="CB277" s="24"/>
      <c r="CC277" s="24"/>
      <c r="CE277" s="24"/>
      <c r="CF277" s="24"/>
      <c r="CH277" s="24"/>
      <c r="CI277" s="24"/>
      <c r="CJ277" s="24"/>
      <c r="CK277" s="24"/>
      <c r="DE277" s="24"/>
      <c r="DF277" s="24"/>
      <c r="DG277" s="24"/>
      <c r="DH277" s="24"/>
      <c r="DJ277" t="s">
        <v>149</v>
      </c>
      <c r="DK277" t="s">
        <v>149</v>
      </c>
      <c r="DP277">
        <v>202</v>
      </c>
      <c r="DQ277" t="s">
        <v>1000</v>
      </c>
      <c r="DR277" t="s">
        <v>149</v>
      </c>
      <c r="DS277" s="24">
        <v>46160.384426226854</v>
      </c>
    </row>
    <row r="278" spans="1:123" x14ac:dyDescent="0.3">
      <c r="A278" t="s">
        <v>528</v>
      </c>
      <c r="D278" t="s">
        <v>223</v>
      </c>
      <c r="E278" s="24">
        <v>45958.426979166667</v>
      </c>
      <c r="G278" t="s">
        <v>90</v>
      </c>
      <c r="H278" t="s">
        <v>155</v>
      </c>
      <c r="I278" s="24"/>
      <c r="J278" s="24"/>
      <c r="K278" s="24"/>
      <c r="L278" s="24"/>
      <c r="N278" s="24"/>
      <c r="O278" s="24"/>
      <c r="P278" s="24"/>
      <c r="Q278" s="24"/>
      <c r="V278" s="24"/>
      <c r="W278" s="24"/>
      <c r="X278" s="24"/>
      <c r="Y278" s="24"/>
      <c r="AA278" s="24">
        <v>45960.381646747686</v>
      </c>
      <c r="AB278" s="24">
        <v>45960.381646747686</v>
      </c>
      <c r="AC278" s="24">
        <v>45972.428722916666</v>
      </c>
      <c r="AD278" s="24">
        <v>45972.428722916666</v>
      </c>
      <c r="AE278">
        <v>1</v>
      </c>
      <c r="AF278" s="24"/>
      <c r="AG278" s="24"/>
      <c r="AH278" s="24"/>
      <c r="AI278" s="24"/>
      <c r="AK278" s="24"/>
      <c r="AL278" s="24"/>
      <c r="AM278" s="24"/>
      <c r="AN278" s="24"/>
      <c r="AP278" s="24"/>
      <c r="AQ278" s="24"/>
      <c r="AR278" s="24">
        <v>45958.495807534724</v>
      </c>
      <c r="AS278" s="24">
        <v>45958.495807534724</v>
      </c>
      <c r="AX278" s="24"/>
      <c r="AY278" s="24"/>
      <c r="AZ278" s="24"/>
      <c r="BA278" s="24"/>
      <c r="BC278" s="24"/>
      <c r="BD278" s="24"/>
      <c r="BE278" s="24"/>
      <c r="BF278" s="24"/>
      <c r="BH278" s="24">
        <v>45958.495807534724</v>
      </c>
      <c r="BI278" s="24">
        <v>45958.495807534724</v>
      </c>
      <c r="BJ278" s="24">
        <v>45960.381646747686</v>
      </c>
      <c r="BK278" s="24">
        <v>45960.381646747686</v>
      </c>
      <c r="BL278">
        <v>1</v>
      </c>
      <c r="BM278" s="24"/>
      <c r="BN278" s="24"/>
      <c r="BO278" s="24"/>
      <c r="BP278" s="24"/>
      <c r="BR278" s="24">
        <v>45972.428722916666</v>
      </c>
      <c r="BS278" s="24">
        <v>45972.428722916666</v>
      </c>
      <c r="BT278" s="24">
        <v>45972.428805925927</v>
      </c>
      <c r="BU278" s="24">
        <v>45972.428805925927</v>
      </c>
      <c r="BV278">
        <v>1</v>
      </c>
      <c r="BW278" s="24"/>
      <c r="BX278" s="24"/>
      <c r="BY278" s="24"/>
      <c r="BZ278" s="24"/>
      <c r="CB278" s="24"/>
      <c r="CC278" s="24"/>
      <c r="CE278" s="24">
        <v>45972.428805925927</v>
      </c>
      <c r="CF278" s="24">
        <v>45972.428805925927</v>
      </c>
      <c r="CG278">
        <v>1</v>
      </c>
      <c r="CH278" s="24"/>
      <c r="CI278" s="24"/>
      <c r="CJ278" s="24"/>
      <c r="CK278" s="24"/>
      <c r="DE278" s="24"/>
      <c r="DF278" s="24"/>
      <c r="DG278" s="24"/>
      <c r="DH278" s="24"/>
      <c r="DJ278" t="s">
        <v>149</v>
      </c>
      <c r="DK278" t="s">
        <v>149</v>
      </c>
      <c r="DM278">
        <v>14</v>
      </c>
      <c r="DN278">
        <v>13</v>
      </c>
      <c r="DQ278" t="s">
        <v>1000</v>
      </c>
      <c r="DR278" t="s">
        <v>149</v>
      </c>
      <c r="DS278" s="24">
        <v>46160.384426226854</v>
      </c>
    </row>
    <row r="279" spans="1:123" x14ac:dyDescent="0.3">
      <c r="A279" t="s">
        <v>529</v>
      </c>
      <c r="D279" t="s">
        <v>223</v>
      </c>
      <c r="E279" s="24">
        <v>45958.410902777781</v>
      </c>
      <c r="G279" t="s">
        <v>90</v>
      </c>
      <c r="H279" t="s">
        <v>155</v>
      </c>
      <c r="I279" s="24"/>
      <c r="J279" s="24"/>
      <c r="K279" s="24"/>
      <c r="L279" s="24"/>
      <c r="N279" s="24">
        <v>45960.408137106482</v>
      </c>
      <c r="O279" s="24">
        <v>45960.408137106482</v>
      </c>
      <c r="P279" s="24">
        <v>45964.57806310185</v>
      </c>
      <c r="Q279" s="24">
        <v>45964.57806310185</v>
      </c>
      <c r="R279">
        <v>1</v>
      </c>
      <c r="V279" s="24"/>
      <c r="W279" s="24"/>
      <c r="X279" s="24"/>
      <c r="Y279" s="24"/>
      <c r="AA279" s="24">
        <v>45971.315910729165</v>
      </c>
      <c r="AB279" s="24">
        <v>45959.505831134258</v>
      </c>
      <c r="AC279" s="24">
        <v>45960.408137106482</v>
      </c>
      <c r="AD279" s="24">
        <v>45972.399810763891</v>
      </c>
      <c r="AE279">
        <v>3</v>
      </c>
      <c r="AF279" s="24"/>
      <c r="AG279" s="24"/>
      <c r="AH279" s="24"/>
      <c r="AI279" s="24"/>
      <c r="AK279" s="24"/>
      <c r="AL279" s="24"/>
      <c r="AM279" s="24"/>
      <c r="AN279" s="24"/>
      <c r="AP279" s="24"/>
      <c r="AQ279" s="24"/>
      <c r="AR279" s="24">
        <v>45958.478527500003</v>
      </c>
      <c r="AS279" s="24">
        <v>45958.478527500003</v>
      </c>
      <c r="AX279" s="24"/>
      <c r="AY279" s="24"/>
      <c r="AZ279" s="24"/>
      <c r="BA279" s="24"/>
      <c r="BC279" s="24"/>
      <c r="BD279" s="24"/>
      <c r="BE279" s="24"/>
      <c r="BF279" s="24"/>
      <c r="BH279" s="24">
        <v>45958.478527500003</v>
      </c>
      <c r="BI279" s="24">
        <v>45958.478527500003</v>
      </c>
      <c r="BJ279" s="24">
        <v>45959.505831134258</v>
      </c>
      <c r="BK279" s="24">
        <v>45959.505831134258</v>
      </c>
      <c r="BL279">
        <v>1</v>
      </c>
      <c r="BM279" s="24"/>
      <c r="BN279" s="24"/>
      <c r="BO279" s="24"/>
      <c r="BP279" s="24"/>
      <c r="BR279" s="24">
        <v>45971.315708761576</v>
      </c>
      <c r="BS279" s="24">
        <v>45971.315708761576</v>
      </c>
      <c r="BT279" s="24">
        <v>45971.315910729165</v>
      </c>
      <c r="BU279" s="24">
        <v>45971.315910729165</v>
      </c>
      <c r="BV279">
        <v>1</v>
      </c>
      <c r="BW279" s="24"/>
      <c r="BX279" s="24"/>
      <c r="BY279" s="24"/>
      <c r="BZ279" s="24"/>
      <c r="CB279" s="24"/>
      <c r="CC279" s="24"/>
      <c r="CE279" s="24">
        <v>45972.399810763891</v>
      </c>
      <c r="CF279" s="24">
        <v>45972.399810763891</v>
      </c>
      <c r="CG279">
        <v>1</v>
      </c>
      <c r="CH279" s="24"/>
      <c r="CI279" s="24"/>
      <c r="CJ279" s="24"/>
      <c r="CK279" s="24"/>
      <c r="DE279" s="24"/>
      <c r="DF279" s="24"/>
      <c r="DG279" s="24"/>
      <c r="DH279" s="24"/>
      <c r="DJ279" t="s">
        <v>149</v>
      </c>
      <c r="DK279" t="s">
        <v>149</v>
      </c>
      <c r="DL279">
        <v>4.1699259259259263</v>
      </c>
      <c r="DM279">
        <v>14</v>
      </c>
      <c r="DN279">
        <v>13</v>
      </c>
      <c r="DQ279" t="s">
        <v>1000</v>
      </c>
      <c r="DR279" t="s">
        <v>149</v>
      </c>
      <c r="DS279" s="24">
        <v>46160.384426226854</v>
      </c>
    </row>
    <row r="280" spans="1:123" x14ac:dyDescent="0.3">
      <c r="A280" t="s">
        <v>530</v>
      </c>
      <c r="D280" t="s">
        <v>223</v>
      </c>
      <c r="E280" s="24">
        <v>45958.357164351852</v>
      </c>
      <c r="G280" t="s">
        <v>90</v>
      </c>
      <c r="H280" t="s">
        <v>155</v>
      </c>
      <c r="I280" s="24"/>
      <c r="J280" s="24"/>
      <c r="K280" s="24"/>
      <c r="L280" s="24"/>
      <c r="N280" s="24">
        <v>45968.595679571758</v>
      </c>
      <c r="O280" s="24">
        <v>45959.325452662037</v>
      </c>
      <c r="P280" s="24">
        <v>45964.407844270834</v>
      </c>
      <c r="Q280" s="24">
        <v>45971.580820219904</v>
      </c>
      <c r="R280">
        <v>2</v>
      </c>
      <c r="V280" s="24"/>
      <c r="W280" s="24"/>
      <c r="X280" s="24"/>
      <c r="Y280" s="24"/>
      <c r="AA280" s="24">
        <v>45971.580820219904</v>
      </c>
      <c r="AB280" s="24">
        <v>45959.324084861109</v>
      </c>
      <c r="AC280" s="24">
        <v>45959.325452662037</v>
      </c>
      <c r="AD280" s="24">
        <v>45971.581075532406</v>
      </c>
      <c r="AE280">
        <v>3</v>
      </c>
      <c r="AF280" s="24"/>
      <c r="AG280" s="24"/>
      <c r="AH280" s="24"/>
      <c r="AI280" s="24"/>
      <c r="AK280" s="24"/>
      <c r="AL280" s="24"/>
      <c r="AM280" s="24"/>
      <c r="AN280" s="24"/>
      <c r="AP280" s="24"/>
      <c r="AQ280" s="24"/>
      <c r="AR280" s="24">
        <v>45958.500176284724</v>
      </c>
      <c r="AS280" s="24">
        <v>45958.500176284724</v>
      </c>
      <c r="AX280" s="24"/>
      <c r="AY280" s="24"/>
      <c r="AZ280" s="24"/>
      <c r="BA280" s="24"/>
      <c r="BC280" s="24"/>
      <c r="BD280" s="24"/>
      <c r="BE280" s="24"/>
      <c r="BF280" s="24"/>
      <c r="BH280" s="24">
        <v>45958.500176284724</v>
      </c>
      <c r="BI280" s="24">
        <v>45958.500176284724</v>
      </c>
      <c r="BJ280" s="24">
        <v>45959.324084861109</v>
      </c>
      <c r="BK280" s="24">
        <v>45959.324084861109</v>
      </c>
      <c r="BL280">
        <v>1</v>
      </c>
      <c r="BM280" s="24"/>
      <c r="BN280" s="24"/>
      <c r="BO280" s="24"/>
      <c r="BP280" s="24"/>
      <c r="BR280" s="24">
        <v>45971.581075532406</v>
      </c>
      <c r="BS280" s="24">
        <v>45971.581075532406</v>
      </c>
      <c r="BT280" s="24">
        <v>45972.401345879633</v>
      </c>
      <c r="BU280" s="24">
        <v>45972.401345879633</v>
      </c>
      <c r="BV280">
        <v>1</v>
      </c>
      <c r="BW280" s="24"/>
      <c r="BX280" s="24"/>
      <c r="BY280" s="24"/>
      <c r="BZ280" s="24"/>
      <c r="CB280" s="24"/>
      <c r="CC280" s="24"/>
      <c r="CE280" s="24">
        <v>45972.401345879633</v>
      </c>
      <c r="CF280" s="24">
        <v>45972.401345879633</v>
      </c>
      <c r="CG280">
        <v>1</v>
      </c>
      <c r="CH280" s="24"/>
      <c r="CI280" s="24"/>
      <c r="CJ280" s="24"/>
      <c r="CK280" s="24"/>
      <c r="DE280" s="24"/>
      <c r="DF280" s="24"/>
      <c r="DG280" s="24"/>
      <c r="DH280" s="24"/>
      <c r="DJ280" t="s">
        <v>149</v>
      </c>
      <c r="DK280" t="s">
        <v>149</v>
      </c>
      <c r="DL280">
        <v>8.0675321759259262</v>
      </c>
      <c r="DM280">
        <v>14</v>
      </c>
      <c r="DN280">
        <v>14</v>
      </c>
      <c r="DQ280" t="s">
        <v>1000</v>
      </c>
      <c r="DR280" t="s">
        <v>149</v>
      </c>
      <c r="DS280" s="24">
        <v>46160.384426226854</v>
      </c>
    </row>
    <row r="281" spans="1:123" x14ac:dyDescent="0.3">
      <c r="A281" t="s">
        <v>531</v>
      </c>
      <c r="D281" t="s">
        <v>223</v>
      </c>
      <c r="E281" s="24">
        <v>45958.352592592593</v>
      </c>
      <c r="G281" t="s">
        <v>90</v>
      </c>
      <c r="H281" t="s">
        <v>155</v>
      </c>
      <c r="I281" s="24"/>
      <c r="J281" s="24"/>
      <c r="K281" s="24"/>
      <c r="L281" s="24"/>
      <c r="N281" s="24">
        <v>45981.409185625002</v>
      </c>
      <c r="O281" s="24">
        <v>45973.662462673608</v>
      </c>
      <c r="P281" s="24">
        <v>45975.684120868056</v>
      </c>
      <c r="Q281" s="24">
        <v>45985.385281782408</v>
      </c>
      <c r="R281">
        <v>2</v>
      </c>
      <c r="V281" s="24"/>
      <c r="W281" s="24"/>
      <c r="X281" s="24"/>
      <c r="Y281" s="24"/>
      <c r="AA281" s="24">
        <v>45985.385281782408</v>
      </c>
      <c r="AB281" s="24">
        <v>45973.419569699072</v>
      </c>
      <c r="AC281" s="24">
        <v>45973.662462673608</v>
      </c>
      <c r="AD281" s="24">
        <v>45992.372041354167</v>
      </c>
      <c r="AE281">
        <v>3</v>
      </c>
      <c r="AF281" s="24">
        <v>45992.372041354167</v>
      </c>
      <c r="AG281" s="24">
        <v>45992.372041354167</v>
      </c>
      <c r="AH281" s="24">
        <v>46000.595835381944</v>
      </c>
      <c r="AI281" s="24">
        <v>46000.595835381944</v>
      </c>
      <c r="AJ281">
        <v>1</v>
      </c>
      <c r="AK281" s="24"/>
      <c r="AL281" s="24"/>
      <c r="AM281" s="24"/>
      <c r="AN281" s="24"/>
      <c r="AP281" s="24"/>
      <c r="AQ281" s="24"/>
      <c r="AR281" s="24">
        <v>45958.471825613429</v>
      </c>
      <c r="AS281" s="24">
        <v>45958.471825613429</v>
      </c>
      <c r="AX281" s="24"/>
      <c r="AY281" s="24"/>
      <c r="AZ281" s="24"/>
      <c r="BA281" s="24"/>
      <c r="BC281" s="24"/>
      <c r="BD281" s="24"/>
      <c r="BE281" s="24"/>
      <c r="BF281" s="24"/>
      <c r="BH281" s="24">
        <v>45958.471825613429</v>
      </c>
      <c r="BI281" s="24">
        <v>45958.471825613429</v>
      </c>
      <c r="BJ281" s="24">
        <v>45973.419569699072</v>
      </c>
      <c r="BK281" s="24">
        <v>45973.419569699072</v>
      </c>
      <c r="BL281">
        <v>1</v>
      </c>
      <c r="BM281" s="24"/>
      <c r="BN281" s="24"/>
      <c r="BO281" s="24"/>
      <c r="BP281" s="24"/>
      <c r="BR281" s="24">
        <v>46000.595835381944</v>
      </c>
      <c r="BS281" s="24">
        <v>46000.595835381944</v>
      </c>
      <c r="BT281" s="24">
        <v>46000.595880706016</v>
      </c>
      <c r="BU281" s="24">
        <v>46000.595880706016</v>
      </c>
      <c r="BV281">
        <v>1</v>
      </c>
      <c r="BW281" s="24"/>
      <c r="BX281" s="24"/>
      <c r="BY281" s="24"/>
      <c r="BZ281" s="24"/>
      <c r="CB281" s="24"/>
      <c r="CC281" s="24"/>
      <c r="CE281" s="24">
        <v>46000.595880706016</v>
      </c>
      <c r="CF281" s="24">
        <v>46000.595880706016</v>
      </c>
      <c r="CG281">
        <v>1</v>
      </c>
      <c r="CH281" s="24"/>
      <c r="CI281" s="24"/>
      <c r="CJ281" s="24"/>
      <c r="CK281" s="24"/>
      <c r="DE281" s="24"/>
      <c r="DF281" s="24"/>
      <c r="DG281" s="24"/>
      <c r="DH281" s="24"/>
      <c r="DJ281" t="s">
        <v>149</v>
      </c>
      <c r="DK281" t="s">
        <v>149</v>
      </c>
      <c r="DL281">
        <v>5.9977542824074073</v>
      </c>
      <c r="DM281">
        <v>43</v>
      </c>
      <c r="DN281">
        <v>28</v>
      </c>
      <c r="DQ281" t="s">
        <v>1000</v>
      </c>
      <c r="DR281" t="s">
        <v>149</v>
      </c>
      <c r="DS281" s="24">
        <v>46160.384426226854</v>
      </c>
    </row>
    <row r="282" spans="1:123" x14ac:dyDescent="0.3">
      <c r="A282" t="s">
        <v>532</v>
      </c>
      <c r="D282" t="s">
        <v>223</v>
      </c>
      <c r="E282" s="24">
        <v>45957.494895833333</v>
      </c>
      <c r="G282" t="s">
        <v>90</v>
      </c>
      <c r="H282" t="s">
        <v>155</v>
      </c>
      <c r="I282" s="24"/>
      <c r="J282" s="24"/>
      <c r="K282" s="24"/>
      <c r="L282" s="24"/>
      <c r="N282" s="24">
        <v>45961.387770462963</v>
      </c>
      <c r="O282" s="24">
        <v>45961.387770462963</v>
      </c>
      <c r="P282" s="24">
        <v>45971.315342222224</v>
      </c>
      <c r="Q282" s="24">
        <v>45971.315342222224</v>
      </c>
      <c r="R282">
        <v>1</v>
      </c>
      <c r="V282" s="24"/>
      <c r="W282" s="24"/>
      <c r="X282" s="24"/>
      <c r="Y282" s="24"/>
      <c r="AA282" s="24">
        <v>45971.315342222224</v>
      </c>
      <c r="AB282" s="24">
        <v>45959.352878437501</v>
      </c>
      <c r="AC282" s="24">
        <v>45961.387770462963</v>
      </c>
      <c r="AD282" s="24">
        <v>45971.315843969911</v>
      </c>
      <c r="AE282">
        <v>2</v>
      </c>
      <c r="AF282" s="24"/>
      <c r="AG282" s="24"/>
      <c r="AH282" s="24"/>
      <c r="AI282" s="24"/>
      <c r="AK282" s="24"/>
      <c r="AL282" s="24"/>
      <c r="AM282" s="24"/>
      <c r="AN282" s="24"/>
      <c r="AP282" s="24"/>
      <c r="AQ282" s="24"/>
      <c r="AR282" s="24">
        <v>45958.478448472219</v>
      </c>
      <c r="AS282" s="24">
        <v>45958.478448472219</v>
      </c>
      <c r="AX282" s="24"/>
      <c r="AY282" s="24"/>
      <c r="AZ282" s="24"/>
      <c r="BA282" s="24"/>
      <c r="BC282" s="24"/>
      <c r="BD282" s="24"/>
      <c r="BE282" s="24"/>
      <c r="BF282" s="24"/>
      <c r="BH282" s="24">
        <v>45958.478448472219</v>
      </c>
      <c r="BI282" s="24">
        <v>45958.478448472219</v>
      </c>
      <c r="BJ282" s="24">
        <v>45959.352878437501</v>
      </c>
      <c r="BK282" s="24">
        <v>45959.352878437501</v>
      </c>
      <c r="BL282">
        <v>1</v>
      </c>
      <c r="BM282" s="24"/>
      <c r="BN282" s="24"/>
      <c r="BO282" s="24"/>
      <c r="BP282" s="24"/>
      <c r="BR282" s="24">
        <v>45971.315843969911</v>
      </c>
      <c r="BS282" s="24">
        <v>45971.315843969911</v>
      </c>
      <c r="BT282" s="24">
        <v>45971.405192430553</v>
      </c>
      <c r="BU282" s="24">
        <v>45971.405192430553</v>
      </c>
      <c r="BV282">
        <v>1</v>
      </c>
      <c r="BW282" s="24"/>
      <c r="BX282" s="24"/>
      <c r="BY282" s="24"/>
      <c r="BZ282" s="24"/>
      <c r="CB282" s="24"/>
      <c r="CC282" s="24"/>
      <c r="CE282" s="24">
        <v>45971.405192430553</v>
      </c>
      <c r="CF282" s="24">
        <v>45971.405192430553</v>
      </c>
      <c r="CG282">
        <v>1</v>
      </c>
      <c r="CH282" s="24"/>
      <c r="CI282" s="24"/>
      <c r="CJ282" s="24"/>
      <c r="CK282" s="24"/>
      <c r="DE282" s="24"/>
      <c r="DF282" s="24"/>
      <c r="DG282" s="24"/>
      <c r="DH282" s="24"/>
      <c r="DJ282" t="s">
        <v>149</v>
      </c>
      <c r="DK282" t="s">
        <v>149</v>
      </c>
      <c r="DL282">
        <v>9.9275717592592585</v>
      </c>
      <c r="DM282">
        <v>13</v>
      </c>
      <c r="DN282">
        <v>13</v>
      </c>
      <c r="DQ282" t="s">
        <v>1000</v>
      </c>
      <c r="DR282" t="s">
        <v>149</v>
      </c>
      <c r="DS282" s="24">
        <v>46160.384426226854</v>
      </c>
    </row>
    <row r="283" spans="1:123" x14ac:dyDescent="0.3">
      <c r="A283" t="s">
        <v>533</v>
      </c>
      <c r="D283" t="s">
        <v>225</v>
      </c>
      <c r="E283" s="24">
        <v>45957.46197916667</v>
      </c>
      <c r="G283" t="s">
        <v>90</v>
      </c>
      <c r="H283" t="s">
        <v>155</v>
      </c>
      <c r="I283" s="24"/>
      <c r="J283" s="24"/>
      <c r="K283" s="24"/>
      <c r="L283" s="24"/>
      <c r="N283" s="24"/>
      <c r="O283" s="24"/>
      <c r="P283" s="24"/>
      <c r="Q283" s="24"/>
      <c r="V283" s="24"/>
      <c r="W283" s="24"/>
      <c r="X283" s="24"/>
      <c r="Y283" s="24"/>
      <c r="AA283" s="24">
        <v>45957.464495729168</v>
      </c>
      <c r="AB283" s="24">
        <v>45957.464495729168</v>
      </c>
      <c r="AC283" s="24">
        <v>45958.357300393516</v>
      </c>
      <c r="AD283" s="24">
        <v>45958.357300393516</v>
      </c>
      <c r="AE283">
        <v>1</v>
      </c>
      <c r="AF283" s="24">
        <v>45958.357300393516</v>
      </c>
      <c r="AG283" s="24">
        <v>45958.357300393516</v>
      </c>
      <c r="AH283" s="24">
        <v>45958.423939756947</v>
      </c>
      <c r="AI283" s="24">
        <v>45958.423939756947</v>
      </c>
      <c r="AJ283">
        <v>1</v>
      </c>
      <c r="AK283" s="24">
        <v>45958.423939756947</v>
      </c>
      <c r="AL283" s="24">
        <v>45958.423939756947</v>
      </c>
      <c r="AM283" s="24">
        <v>45958.423983564811</v>
      </c>
      <c r="AN283" s="24">
        <v>45958.423983564811</v>
      </c>
      <c r="AO283">
        <v>1</v>
      </c>
      <c r="AP283" s="24"/>
      <c r="AQ283" s="24"/>
      <c r="AR283" s="24">
        <v>45957.463935231484</v>
      </c>
      <c r="AS283" s="24">
        <v>45957.463935231484</v>
      </c>
      <c r="AX283" s="24"/>
      <c r="AY283" s="24"/>
      <c r="AZ283" s="24"/>
      <c r="BA283" s="24"/>
      <c r="BC283" s="24">
        <v>45958.450429317127</v>
      </c>
      <c r="BD283" s="24">
        <v>45958.450429317127</v>
      </c>
      <c r="BE283" s="24">
        <v>45960.560765092596</v>
      </c>
      <c r="BF283" s="24">
        <v>45960.560765092596</v>
      </c>
      <c r="BG283">
        <v>1</v>
      </c>
      <c r="BH283" s="24">
        <v>45957.463935231484</v>
      </c>
      <c r="BI283" s="24">
        <v>45957.463935231484</v>
      </c>
      <c r="BJ283" s="24">
        <v>45957.464495729168</v>
      </c>
      <c r="BK283" s="24">
        <v>45957.464495729168</v>
      </c>
      <c r="BL283">
        <v>1</v>
      </c>
      <c r="BM283" s="24"/>
      <c r="BN283" s="24"/>
      <c r="BO283" s="24"/>
      <c r="BP283" s="24"/>
      <c r="BR283" s="24">
        <v>45958.423983564811</v>
      </c>
      <c r="BS283" s="24">
        <v>45958.423983564811</v>
      </c>
      <c r="BT283" s="24">
        <v>45958.450429317127</v>
      </c>
      <c r="BU283" s="24">
        <v>45958.450429317127</v>
      </c>
      <c r="BV283">
        <v>1</v>
      </c>
      <c r="BW283" s="24"/>
      <c r="BX283" s="24"/>
      <c r="BY283" s="24"/>
      <c r="BZ283" s="24"/>
      <c r="CB283" s="24"/>
      <c r="CC283" s="24"/>
      <c r="CE283" s="24">
        <v>45960.560765092596</v>
      </c>
      <c r="CF283" s="24">
        <v>45960.560765092596</v>
      </c>
      <c r="CG283">
        <v>1</v>
      </c>
      <c r="CH283" s="24"/>
      <c r="CI283" s="24"/>
      <c r="CJ283" s="24"/>
      <c r="CK283" s="24"/>
      <c r="DE283" s="24"/>
      <c r="DF283" s="24"/>
      <c r="DG283" s="24"/>
      <c r="DH283" s="24"/>
      <c r="DJ283" t="s">
        <v>149</v>
      </c>
      <c r="DK283" t="s">
        <v>149</v>
      </c>
      <c r="DM283">
        <v>4</v>
      </c>
      <c r="DN283">
        <v>4</v>
      </c>
      <c r="DQ283" t="s">
        <v>1000</v>
      </c>
      <c r="DR283" t="s">
        <v>149</v>
      </c>
      <c r="DS283" s="24">
        <v>46160.384426226854</v>
      </c>
    </row>
    <row r="284" spans="1:123" x14ac:dyDescent="0.3">
      <c r="A284" t="s">
        <v>534</v>
      </c>
      <c r="D284" t="s">
        <v>223</v>
      </c>
      <c r="E284" s="24">
        <v>45957.435243055559</v>
      </c>
      <c r="G284" t="s">
        <v>90</v>
      </c>
      <c r="H284" t="s">
        <v>155</v>
      </c>
      <c r="I284" s="24"/>
      <c r="J284" s="24"/>
      <c r="K284" s="24"/>
      <c r="L284" s="24"/>
      <c r="N284" s="24">
        <v>45959.530170127313</v>
      </c>
      <c r="O284" s="24">
        <v>45959.530170127313</v>
      </c>
      <c r="P284" s="24">
        <v>45965.367090520835</v>
      </c>
      <c r="Q284" s="24">
        <v>45965.367090520835</v>
      </c>
      <c r="R284">
        <v>1</v>
      </c>
      <c r="V284" s="24"/>
      <c r="W284" s="24"/>
      <c r="X284" s="24"/>
      <c r="Y284" s="24"/>
      <c r="AA284" s="24">
        <v>45965.367090520835</v>
      </c>
      <c r="AB284" s="24">
        <v>45959.529945416667</v>
      </c>
      <c r="AC284" s="24">
        <v>45959.530170127313</v>
      </c>
      <c r="AD284" s="24">
        <v>45965.543484895832</v>
      </c>
      <c r="AE284">
        <v>2</v>
      </c>
      <c r="AF284" s="24"/>
      <c r="AG284" s="24"/>
      <c r="AH284" s="24"/>
      <c r="AI284" s="24"/>
      <c r="AK284" s="24"/>
      <c r="AL284" s="24"/>
      <c r="AM284" s="24"/>
      <c r="AN284" s="24"/>
      <c r="AP284" s="24"/>
      <c r="AQ284" s="24"/>
      <c r="AR284" s="24">
        <v>45959.529739386577</v>
      </c>
      <c r="AS284" s="24">
        <v>45959.529739386577</v>
      </c>
      <c r="AX284" s="24"/>
      <c r="AY284" s="24"/>
      <c r="AZ284" s="24"/>
      <c r="BA284" s="24"/>
      <c r="BC284" s="24"/>
      <c r="BD284" s="24"/>
      <c r="BE284" s="24"/>
      <c r="BF284" s="24"/>
      <c r="BH284" s="24">
        <v>45959.529739386577</v>
      </c>
      <c r="BI284" s="24">
        <v>45959.529739386577</v>
      </c>
      <c r="BJ284" s="24">
        <v>45959.529945416667</v>
      </c>
      <c r="BK284" s="24">
        <v>45959.529945416667</v>
      </c>
      <c r="BL284">
        <v>1</v>
      </c>
      <c r="BM284" s="24"/>
      <c r="BN284" s="24"/>
      <c r="BO284" s="24"/>
      <c r="BP284" s="24"/>
      <c r="BR284" s="24"/>
      <c r="BS284" s="24"/>
      <c r="BT284" s="24"/>
      <c r="BU284" s="24"/>
      <c r="BW284" s="24"/>
      <c r="BX284" s="24"/>
      <c r="BY284" s="24"/>
      <c r="BZ284" s="24"/>
      <c r="CB284" s="24"/>
      <c r="CC284" s="24"/>
      <c r="CE284" s="24">
        <v>45965.543484895832</v>
      </c>
      <c r="CF284" s="24">
        <v>45965.543484895832</v>
      </c>
      <c r="CG284">
        <v>1</v>
      </c>
      <c r="CH284" s="24"/>
      <c r="CI284" s="24"/>
      <c r="CJ284" s="24"/>
      <c r="CK284" s="24"/>
      <c r="DE284" s="24"/>
      <c r="DF284" s="24"/>
      <c r="DG284" s="24"/>
      <c r="DH284" s="24"/>
      <c r="DJ284" t="s">
        <v>149</v>
      </c>
      <c r="DK284" t="s">
        <v>149</v>
      </c>
      <c r="DL284">
        <v>5.83692037037037</v>
      </c>
      <c r="DM284">
        <v>7</v>
      </c>
      <c r="DN284">
        <v>7</v>
      </c>
      <c r="DQ284" t="s">
        <v>1000</v>
      </c>
      <c r="DR284" t="s">
        <v>149</v>
      </c>
      <c r="DS284" s="24">
        <v>46160.384426226854</v>
      </c>
    </row>
    <row r="285" spans="1:123" x14ac:dyDescent="0.3">
      <c r="A285" t="s">
        <v>535</v>
      </c>
      <c r="D285" t="s">
        <v>223</v>
      </c>
      <c r="E285" s="24">
        <v>45954.571539351855</v>
      </c>
      <c r="G285" t="s">
        <v>90</v>
      </c>
      <c r="H285" t="s">
        <v>155</v>
      </c>
      <c r="I285" s="24"/>
      <c r="J285" s="24"/>
      <c r="K285" s="24"/>
      <c r="L285" s="24"/>
      <c r="N285" s="24"/>
      <c r="O285" s="24"/>
      <c r="P285" s="24"/>
      <c r="Q285" s="24"/>
      <c r="V285" s="24"/>
      <c r="W285" s="24"/>
      <c r="X285" s="24"/>
      <c r="Y285" s="24"/>
      <c r="AA285" s="24">
        <v>45958.611206979163</v>
      </c>
      <c r="AB285" s="24">
        <v>45958.611206979163</v>
      </c>
      <c r="AC285" s="24">
        <v>45967.401845497683</v>
      </c>
      <c r="AD285" s="24">
        <v>45967.401845497683</v>
      </c>
      <c r="AE285">
        <v>1</v>
      </c>
      <c r="AF285" s="24">
        <v>45967.401845497683</v>
      </c>
      <c r="AG285" s="24">
        <v>45967.401845497683</v>
      </c>
      <c r="AH285" s="24">
        <v>45968.585233819445</v>
      </c>
      <c r="AI285" s="24">
        <v>45968.585233819445</v>
      </c>
      <c r="AJ285">
        <v>1</v>
      </c>
      <c r="AK285" s="24"/>
      <c r="AL285" s="24"/>
      <c r="AM285" s="24"/>
      <c r="AN285" s="24"/>
      <c r="AP285" s="24"/>
      <c r="AQ285" s="24"/>
      <c r="AR285" s="24">
        <v>45958.467815995369</v>
      </c>
      <c r="AS285" s="24">
        <v>45958.467815995369</v>
      </c>
      <c r="AX285" s="24"/>
      <c r="AY285" s="24"/>
      <c r="AZ285" s="24"/>
      <c r="BA285" s="24"/>
      <c r="BC285" s="24"/>
      <c r="BD285" s="24"/>
      <c r="BE285" s="24"/>
      <c r="BF285" s="24"/>
      <c r="BH285" s="24">
        <v>45958.467815995369</v>
      </c>
      <c r="BI285" s="24">
        <v>45958.467815995369</v>
      </c>
      <c r="BJ285" s="24">
        <v>45958.611206979163</v>
      </c>
      <c r="BK285" s="24">
        <v>45958.611206979163</v>
      </c>
      <c r="BL285">
        <v>1</v>
      </c>
      <c r="BM285" s="24"/>
      <c r="BN285" s="24"/>
      <c r="BO285" s="24"/>
      <c r="BP285" s="24"/>
      <c r="BR285" s="24">
        <v>45968.585233819445</v>
      </c>
      <c r="BS285" s="24">
        <v>45968.585233819445</v>
      </c>
      <c r="BT285" s="24">
        <v>45972.399389988423</v>
      </c>
      <c r="BU285" s="24">
        <v>45972.399389988423</v>
      </c>
      <c r="BV285">
        <v>1</v>
      </c>
      <c r="BW285" s="24"/>
      <c r="BX285" s="24"/>
      <c r="BY285" s="24"/>
      <c r="BZ285" s="24"/>
      <c r="CB285" s="24"/>
      <c r="CC285" s="24"/>
      <c r="CE285" s="24">
        <v>45972.399389988423</v>
      </c>
      <c r="CF285" s="24">
        <v>45972.399389988423</v>
      </c>
      <c r="CG285">
        <v>1</v>
      </c>
      <c r="CH285" s="24"/>
      <c r="CI285" s="24"/>
      <c r="CJ285" s="24"/>
      <c r="CK285" s="24"/>
      <c r="DE285" s="24"/>
      <c r="DF285" s="24"/>
      <c r="DG285" s="24"/>
      <c r="DH285" s="24"/>
      <c r="DJ285" t="s">
        <v>149</v>
      </c>
      <c r="DK285" t="s">
        <v>149</v>
      </c>
      <c r="DM285">
        <v>14</v>
      </c>
      <c r="DN285">
        <v>14</v>
      </c>
      <c r="DQ285" t="s">
        <v>1000</v>
      </c>
      <c r="DR285" t="s">
        <v>149</v>
      </c>
      <c r="DS285" s="24">
        <v>46160.384426226854</v>
      </c>
    </row>
    <row r="286" spans="1:123" x14ac:dyDescent="0.3">
      <c r="A286" t="s">
        <v>536</v>
      </c>
      <c r="D286" t="s">
        <v>225</v>
      </c>
      <c r="E286" s="24">
        <v>45954.555925925924</v>
      </c>
      <c r="G286" t="s">
        <v>90</v>
      </c>
      <c r="H286" t="s">
        <v>155</v>
      </c>
      <c r="I286" s="24"/>
      <c r="J286" s="24"/>
      <c r="K286" s="24"/>
      <c r="L286" s="24"/>
      <c r="N286" s="24">
        <v>45959.505703136572</v>
      </c>
      <c r="O286" s="24">
        <v>45959.505703136572</v>
      </c>
      <c r="P286" s="24">
        <v>45960.411890312498</v>
      </c>
      <c r="Q286" s="24">
        <v>45960.411890312498</v>
      </c>
      <c r="R286">
        <v>1</v>
      </c>
      <c r="V286" s="24"/>
      <c r="W286" s="24"/>
      <c r="X286" s="24"/>
      <c r="Y286" s="24"/>
      <c r="AA286" s="24">
        <v>45960.411890312498</v>
      </c>
      <c r="AB286" s="24">
        <v>45959.432174155096</v>
      </c>
      <c r="AC286" s="24">
        <v>45959.505703136572</v>
      </c>
      <c r="AD286" s="24">
        <v>45965.782454363427</v>
      </c>
      <c r="AE286">
        <v>2</v>
      </c>
      <c r="AF286" s="24">
        <v>45965.782454363427</v>
      </c>
      <c r="AG286" s="24">
        <v>45965.782454363427</v>
      </c>
      <c r="AH286" s="24">
        <v>45967.93484707176</v>
      </c>
      <c r="AI286" s="24">
        <v>45967.93484707176</v>
      </c>
      <c r="AJ286">
        <v>1</v>
      </c>
      <c r="AK286" s="24">
        <v>45967.93484707176</v>
      </c>
      <c r="AL286" s="24">
        <v>45967.93484707176</v>
      </c>
      <c r="AM286" s="24">
        <v>45968.593684016203</v>
      </c>
      <c r="AN286" s="24">
        <v>45968.593684016203</v>
      </c>
      <c r="AO286">
        <v>1</v>
      </c>
      <c r="AP286" s="24"/>
      <c r="AQ286" s="24"/>
      <c r="AR286" s="24">
        <v>45959.431845046296</v>
      </c>
      <c r="AS286" s="24">
        <v>45959.431845046296</v>
      </c>
      <c r="AX286" s="24"/>
      <c r="AY286" s="24"/>
      <c r="AZ286" s="24"/>
      <c r="BA286" s="24"/>
      <c r="BC286" s="24">
        <v>45968.593774479166</v>
      </c>
      <c r="BD286" s="24">
        <v>45968.593774479166</v>
      </c>
      <c r="BE286" s="24">
        <v>45972.380275254633</v>
      </c>
      <c r="BF286" s="24">
        <v>45972.380275254633</v>
      </c>
      <c r="BG286">
        <v>1</v>
      </c>
      <c r="BH286" s="24">
        <v>45959.431845046296</v>
      </c>
      <c r="BI286" s="24">
        <v>45959.431845046296</v>
      </c>
      <c r="BJ286" s="24">
        <v>45959.432174155096</v>
      </c>
      <c r="BK286" s="24">
        <v>45959.432174155096</v>
      </c>
      <c r="BL286">
        <v>1</v>
      </c>
      <c r="BM286" s="24"/>
      <c r="BN286" s="24"/>
      <c r="BO286" s="24"/>
      <c r="BP286" s="24"/>
      <c r="BR286" s="24">
        <v>45968.593684016203</v>
      </c>
      <c r="BS286" s="24">
        <v>45968.593684016203</v>
      </c>
      <c r="BT286" s="24">
        <v>45968.593774479166</v>
      </c>
      <c r="BU286" s="24">
        <v>45968.593774479166</v>
      </c>
      <c r="BV286">
        <v>1</v>
      </c>
      <c r="BW286" s="24"/>
      <c r="BX286" s="24"/>
      <c r="BY286" s="24"/>
      <c r="BZ286" s="24"/>
      <c r="CB286" s="24"/>
      <c r="CC286" s="24"/>
      <c r="CE286" s="24">
        <v>45972.380275254633</v>
      </c>
      <c r="CF286" s="24">
        <v>45972.380275254633</v>
      </c>
      <c r="CG286">
        <v>1</v>
      </c>
      <c r="CH286" s="24"/>
      <c r="CI286" s="24"/>
      <c r="CJ286" s="24"/>
      <c r="CK286" s="24"/>
      <c r="DE286" s="24"/>
      <c r="DF286" s="24"/>
      <c r="DG286" s="24"/>
      <c r="DH286" s="24"/>
      <c r="DJ286" t="s">
        <v>149</v>
      </c>
      <c r="DK286" t="s">
        <v>149</v>
      </c>
      <c r="DL286">
        <v>0.90618715277777773</v>
      </c>
      <c r="DM286">
        <v>13</v>
      </c>
      <c r="DN286">
        <v>13</v>
      </c>
      <c r="DQ286" t="s">
        <v>1000</v>
      </c>
      <c r="DR286" t="s">
        <v>149</v>
      </c>
      <c r="DS286" s="24">
        <v>46160.384426226854</v>
      </c>
    </row>
    <row r="287" spans="1:123" x14ac:dyDescent="0.3">
      <c r="A287" t="s">
        <v>537</v>
      </c>
      <c r="D287" t="s">
        <v>223</v>
      </c>
      <c r="E287" s="24">
        <v>45952.608067129629</v>
      </c>
      <c r="G287" t="s">
        <v>90</v>
      </c>
      <c r="H287" t="s">
        <v>155</v>
      </c>
      <c r="I287" s="24"/>
      <c r="J287" s="24"/>
      <c r="K287" s="24"/>
      <c r="L287" s="24"/>
      <c r="N287" s="24"/>
      <c r="O287" s="24"/>
      <c r="P287" s="24"/>
      <c r="Q287" s="24"/>
      <c r="V287" s="24"/>
      <c r="W287" s="24"/>
      <c r="X287" s="24"/>
      <c r="Y287" s="24"/>
      <c r="AA287" s="24">
        <v>45952.611664386575</v>
      </c>
      <c r="AB287" s="24">
        <v>45952.611664386575</v>
      </c>
      <c r="AC287" s="24">
        <v>45952.768092280094</v>
      </c>
      <c r="AD287" s="24">
        <v>45952.768092280094</v>
      </c>
      <c r="AE287">
        <v>1</v>
      </c>
      <c r="AF287" s="24">
        <v>45952.768092280094</v>
      </c>
      <c r="AG287" s="24">
        <v>45952.768092280094</v>
      </c>
      <c r="AH287" s="24">
        <v>45953.545346851854</v>
      </c>
      <c r="AI287" s="24">
        <v>45953.545346851854</v>
      </c>
      <c r="AJ287">
        <v>1</v>
      </c>
      <c r="AK287" s="24"/>
      <c r="AL287" s="24"/>
      <c r="AM287" s="24"/>
      <c r="AN287" s="24"/>
      <c r="AP287" s="24"/>
      <c r="AQ287" s="24"/>
      <c r="AR287" s="24">
        <v>45952.611624988429</v>
      </c>
      <c r="AS287" s="24">
        <v>45952.611624988429</v>
      </c>
      <c r="AX287" s="24"/>
      <c r="AY287" s="24"/>
      <c r="AZ287" s="24"/>
      <c r="BA287" s="24"/>
      <c r="BC287" s="24"/>
      <c r="BD287" s="24"/>
      <c r="BE287" s="24"/>
      <c r="BF287" s="24"/>
      <c r="BH287" s="24">
        <v>45952.611624988429</v>
      </c>
      <c r="BI287" s="24">
        <v>45952.611624988429</v>
      </c>
      <c r="BJ287" s="24">
        <v>45952.611664386575</v>
      </c>
      <c r="BK287" s="24">
        <v>45952.611664386575</v>
      </c>
      <c r="BL287">
        <v>1</v>
      </c>
      <c r="BM287" s="24"/>
      <c r="BN287" s="24"/>
      <c r="BO287" s="24"/>
      <c r="BP287" s="24"/>
      <c r="BR287" s="24">
        <v>45953.545346851854</v>
      </c>
      <c r="BS287" s="24">
        <v>45953.545346851854</v>
      </c>
      <c r="BT287" s="24">
        <v>45953.68908822917</v>
      </c>
      <c r="BU287" s="24">
        <v>45953.68908822917</v>
      </c>
      <c r="BV287">
        <v>1</v>
      </c>
      <c r="BW287" s="24"/>
      <c r="BX287" s="24"/>
      <c r="BY287" s="24"/>
      <c r="BZ287" s="24"/>
      <c r="CB287" s="24"/>
      <c r="CC287" s="24"/>
      <c r="CE287" s="24">
        <v>45953.68908822917</v>
      </c>
      <c r="CF287" s="24">
        <v>45953.68908822917</v>
      </c>
      <c r="CG287">
        <v>1</v>
      </c>
      <c r="CH287" s="24"/>
      <c r="CI287" s="24"/>
      <c r="CJ287" s="24"/>
      <c r="CK287" s="24"/>
      <c r="DE287" s="24"/>
      <c r="DF287" s="24"/>
      <c r="DG287" s="24"/>
      <c r="DH287" s="24"/>
      <c r="DJ287" t="s">
        <v>149</v>
      </c>
      <c r="DK287" t="s">
        <v>149</v>
      </c>
      <c r="DM287">
        <v>2</v>
      </c>
      <c r="DN287">
        <v>2</v>
      </c>
      <c r="DQ287" t="s">
        <v>1000</v>
      </c>
      <c r="DR287" t="s">
        <v>149</v>
      </c>
      <c r="DS287" s="24">
        <v>46160.384426226854</v>
      </c>
    </row>
    <row r="288" spans="1:123" x14ac:dyDescent="0.3">
      <c r="A288" t="s">
        <v>538</v>
      </c>
      <c r="D288" t="s">
        <v>225</v>
      </c>
      <c r="E288" s="24">
        <v>45952.409016203703</v>
      </c>
      <c r="G288" t="s">
        <v>150</v>
      </c>
      <c r="H288" t="s">
        <v>155</v>
      </c>
      <c r="I288" s="24">
        <v>45995.569321261573</v>
      </c>
      <c r="J288" s="24">
        <v>45995.569321261573</v>
      </c>
      <c r="K288" s="24">
        <v>45995.569407974537</v>
      </c>
      <c r="L288" s="24">
        <v>45995.569407974537</v>
      </c>
      <c r="M288">
        <v>1</v>
      </c>
      <c r="N288" s="24"/>
      <c r="O288" s="24"/>
      <c r="P288" s="24"/>
      <c r="Q288" s="24"/>
      <c r="V288" s="24"/>
      <c r="W288" s="24"/>
      <c r="X288" s="24"/>
      <c r="Y288" s="24"/>
      <c r="AA288" s="24"/>
      <c r="AB288" s="24"/>
      <c r="AC288" s="24"/>
      <c r="AD288" s="24"/>
      <c r="AF288" s="24"/>
      <c r="AG288" s="24"/>
      <c r="AH288" s="24"/>
      <c r="AI288" s="24"/>
      <c r="AK288" s="24"/>
      <c r="AL288" s="24"/>
      <c r="AM288" s="24"/>
      <c r="AN288" s="24"/>
      <c r="AP288" s="24"/>
      <c r="AQ288" s="24"/>
      <c r="AR288" s="24">
        <v>45995.569321261573</v>
      </c>
      <c r="AS288" s="24">
        <v>45995.569321261573</v>
      </c>
      <c r="AX288" s="24"/>
      <c r="AY288" s="24"/>
      <c r="AZ288" s="24"/>
      <c r="BA288" s="24"/>
      <c r="BC288" s="24"/>
      <c r="BD288" s="24"/>
      <c r="BE288" s="24"/>
      <c r="BF288" s="24"/>
      <c r="BH288" s="24"/>
      <c r="BI288" s="24"/>
      <c r="BJ288" s="24"/>
      <c r="BK288" s="24"/>
      <c r="BM288" s="24"/>
      <c r="BN288" s="24"/>
      <c r="BO288" s="24"/>
      <c r="BP288" s="24"/>
      <c r="BR288" s="24"/>
      <c r="BS288" s="24"/>
      <c r="BT288" s="24"/>
      <c r="BU288" s="24"/>
      <c r="BW288" s="24"/>
      <c r="BX288" s="24"/>
      <c r="BY288" s="24"/>
      <c r="BZ288" s="24"/>
      <c r="CB288" s="24">
        <v>45995.569407974537</v>
      </c>
      <c r="CC288" s="24">
        <v>45995.569407974537</v>
      </c>
      <c r="CD288">
        <v>1</v>
      </c>
      <c r="CE288" s="24"/>
      <c r="CF288" s="24"/>
      <c r="CH288" s="24"/>
      <c r="CI288" s="24"/>
      <c r="CJ288" s="24"/>
      <c r="CK288" s="24"/>
      <c r="DE288" s="24"/>
      <c r="DF288" s="24"/>
      <c r="DG288" s="24"/>
      <c r="DH288" s="24"/>
      <c r="DJ288" t="s">
        <v>149</v>
      </c>
      <c r="DK288" t="s">
        <v>149</v>
      </c>
      <c r="DQ288" t="s">
        <v>1000</v>
      </c>
      <c r="DR288" t="s">
        <v>149</v>
      </c>
      <c r="DS288" s="24">
        <v>46160.384426226854</v>
      </c>
    </row>
    <row r="289" spans="1:123" x14ac:dyDescent="0.3">
      <c r="A289" t="s">
        <v>539</v>
      </c>
      <c r="D289" t="s">
        <v>223</v>
      </c>
      <c r="E289" s="24">
        <v>45951.377326388887</v>
      </c>
      <c r="G289" t="s">
        <v>90</v>
      </c>
      <c r="H289" t="s">
        <v>155</v>
      </c>
      <c r="I289" s="24"/>
      <c r="J289" s="24"/>
      <c r="K289" s="24"/>
      <c r="L289" s="24"/>
      <c r="N289" s="24"/>
      <c r="O289" s="24"/>
      <c r="P289" s="24"/>
      <c r="Q289" s="24"/>
      <c r="V289" s="24"/>
      <c r="W289" s="24"/>
      <c r="X289" s="24"/>
      <c r="Y289" s="24"/>
      <c r="AA289" s="24">
        <v>45953.36197740741</v>
      </c>
      <c r="AB289" s="24">
        <v>45953.36197740741</v>
      </c>
      <c r="AC289" s="24">
        <v>45954.337864953704</v>
      </c>
      <c r="AD289" s="24">
        <v>45954.337864953704</v>
      </c>
      <c r="AE289">
        <v>1</v>
      </c>
      <c r="AF289" s="24"/>
      <c r="AG289" s="24"/>
      <c r="AH289" s="24"/>
      <c r="AI289" s="24"/>
      <c r="AK289" s="24"/>
      <c r="AL289" s="24"/>
      <c r="AM289" s="24"/>
      <c r="AN289" s="24"/>
      <c r="AP289" s="24"/>
      <c r="AQ289" s="24"/>
      <c r="AR289" s="24">
        <v>45953.36195082176</v>
      </c>
      <c r="AS289" s="24">
        <v>45953.36195082176</v>
      </c>
      <c r="AX289" s="24"/>
      <c r="AY289" s="24"/>
      <c r="AZ289" s="24"/>
      <c r="BA289" s="24"/>
      <c r="BC289" s="24"/>
      <c r="BD289" s="24"/>
      <c r="BE289" s="24"/>
      <c r="BF289" s="24"/>
      <c r="BH289" s="24">
        <v>45953.36195082176</v>
      </c>
      <c r="BI289" s="24">
        <v>45953.36195082176</v>
      </c>
      <c r="BJ289" s="24">
        <v>45953.36197740741</v>
      </c>
      <c r="BK289" s="24">
        <v>45953.36197740741</v>
      </c>
      <c r="BL289">
        <v>1</v>
      </c>
      <c r="BM289" s="24"/>
      <c r="BN289" s="24"/>
      <c r="BO289" s="24"/>
      <c r="BP289" s="24"/>
      <c r="BR289" s="24">
        <v>45954.337864953704</v>
      </c>
      <c r="BS289" s="24">
        <v>45954.337864953704</v>
      </c>
      <c r="BT289" s="24">
        <v>45954.338808553242</v>
      </c>
      <c r="BU289" s="24">
        <v>45954.338808553242</v>
      </c>
      <c r="BV289">
        <v>1</v>
      </c>
      <c r="BW289" s="24"/>
      <c r="BX289" s="24"/>
      <c r="BY289" s="24"/>
      <c r="BZ289" s="24"/>
      <c r="CB289" s="24"/>
      <c r="CC289" s="24"/>
      <c r="CE289" s="24">
        <v>45954.338808553242</v>
      </c>
      <c r="CF289" s="24">
        <v>45954.338808553242</v>
      </c>
      <c r="CG289">
        <v>1</v>
      </c>
      <c r="CH289" s="24"/>
      <c r="CI289" s="24"/>
      <c r="CJ289" s="24"/>
      <c r="CK289" s="24"/>
      <c r="DE289" s="24"/>
      <c r="DF289" s="24"/>
      <c r="DG289" s="24"/>
      <c r="DH289" s="24"/>
      <c r="DJ289" t="s">
        <v>149</v>
      </c>
      <c r="DK289" t="s">
        <v>149</v>
      </c>
      <c r="DM289">
        <v>1</v>
      </c>
      <c r="DN289">
        <v>1</v>
      </c>
      <c r="DQ289" t="s">
        <v>1000</v>
      </c>
      <c r="DR289" t="s">
        <v>149</v>
      </c>
      <c r="DS289" s="24">
        <v>46160.384426226854</v>
      </c>
    </row>
    <row r="290" spans="1:123" x14ac:dyDescent="0.3">
      <c r="A290" t="s">
        <v>540</v>
      </c>
      <c r="D290" t="s">
        <v>225</v>
      </c>
      <c r="E290" s="24">
        <v>45950.451643518521</v>
      </c>
      <c r="G290" t="s">
        <v>102</v>
      </c>
      <c r="H290" t="s">
        <v>154</v>
      </c>
      <c r="I290" s="24"/>
      <c r="J290" s="24"/>
      <c r="K290" s="24"/>
      <c r="L290" s="24"/>
      <c r="N290" s="24"/>
      <c r="O290" s="24"/>
      <c r="P290" s="24"/>
      <c r="Q290" s="24"/>
      <c r="V290" s="24"/>
      <c r="W290" s="24"/>
      <c r="X290" s="24"/>
      <c r="Y290" s="24"/>
      <c r="AA290" s="24"/>
      <c r="AB290" s="24"/>
      <c r="AC290" s="24"/>
      <c r="AD290" s="24"/>
      <c r="AF290" s="24"/>
      <c r="AG290" s="24"/>
      <c r="AH290" s="24"/>
      <c r="AI290" s="24"/>
      <c r="AK290" s="24"/>
      <c r="AL290" s="24"/>
      <c r="AM290" s="24"/>
      <c r="AN290" s="24"/>
      <c r="AP290" s="24"/>
      <c r="AQ290" s="24"/>
      <c r="AR290" s="24"/>
      <c r="AS290" s="24"/>
      <c r="AX290" s="24"/>
      <c r="AY290" s="24"/>
      <c r="AZ290" s="24"/>
      <c r="BA290" s="24"/>
      <c r="BC290" s="24"/>
      <c r="BD290" s="24"/>
      <c r="BE290" s="24"/>
      <c r="BF290" s="24"/>
      <c r="BH290" s="24"/>
      <c r="BI290" s="24"/>
      <c r="BJ290" s="24"/>
      <c r="BK290" s="24"/>
      <c r="BM290" s="24"/>
      <c r="BN290" s="24"/>
      <c r="BO290" s="24"/>
      <c r="BP290" s="24"/>
      <c r="BR290" s="24"/>
      <c r="BS290" s="24"/>
      <c r="BT290" s="24"/>
      <c r="BU290" s="24"/>
      <c r="BW290" s="24"/>
      <c r="BX290" s="24"/>
      <c r="BY290" s="24"/>
      <c r="BZ290" s="24"/>
      <c r="CB290" s="24"/>
      <c r="CC290" s="24"/>
      <c r="CE290" s="24"/>
      <c r="CF290" s="24"/>
      <c r="CH290" s="24"/>
      <c r="CI290" s="24"/>
      <c r="CJ290" s="24"/>
      <c r="CK290" s="24"/>
      <c r="DE290" s="24"/>
      <c r="DF290" s="24"/>
      <c r="DG290" s="24"/>
      <c r="DH290" s="24"/>
      <c r="DJ290" t="s">
        <v>149</v>
      </c>
      <c r="DK290" t="s">
        <v>149</v>
      </c>
      <c r="DQ290" t="s">
        <v>1000</v>
      </c>
      <c r="DR290" t="s">
        <v>149</v>
      </c>
      <c r="DS290" s="24">
        <v>46160.384426226854</v>
      </c>
    </row>
    <row r="291" spans="1:123" x14ac:dyDescent="0.3">
      <c r="A291" t="s">
        <v>541</v>
      </c>
      <c r="D291" t="s">
        <v>225</v>
      </c>
      <c r="E291" s="24">
        <v>45950.448912037034</v>
      </c>
      <c r="G291" t="s">
        <v>90</v>
      </c>
      <c r="H291" t="s">
        <v>155</v>
      </c>
      <c r="I291" s="24"/>
      <c r="J291" s="24"/>
      <c r="K291" s="24"/>
      <c r="L291" s="24"/>
      <c r="N291" s="24"/>
      <c r="O291" s="24"/>
      <c r="P291" s="24"/>
      <c r="Q291" s="24"/>
      <c r="V291" s="24"/>
      <c r="W291" s="24"/>
      <c r="X291" s="24"/>
      <c r="Y291" s="24"/>
      <c r="AA291" s="24">
        <v>45950.450136168984</v>
      </c>
      <c r="AB291" s="24">
        <v>45950.450136168984</v>
      </c>
      <c r="AC291" s="24">
        <v>45952.762020937502</v>
      </c>
      <c r="AD291" s="24">
        <v>45952.762020937502</v>
      </c>
      <c r="AE291">
        <v>1</v>
      </c>
      <c r="AF291" s="24">
        <v>45952.762020937502</v>
      </c>
      <c r="AG291" s="24">
        <v>45952.762020937502</v>
      </c>
      <c r="AH291" s="24">
        <v>45957.46708505787</v>
      </c>
      <c r="AI291" s="24">
        <v>45957.46708505787</v>
      </c>
      <c r="AJ291">
        <v>1</v>
      </c>
      <c r="AK291" s="24">
        <v>45957.46708505787</v>
      </c>
      <c r="AL291" s="24">
        <v>45957.46708505787</v>
      </c>
      <c r="AM291" s="24">
        <v>45958.479005706016</v>
      </c>
      <c r="AN291" s="24">
        <v>45958.479005706016</v>
      </c>
      <c r="AO291">
        <v>1</v>
      </c>
      <c r="AP291" s="24"/>
      <c r="AQ291" s="24"/>
      <c r="AR291" s="24">
        <v>45950.45006328704</v>
      </c>
      <c r="AS291" s="24">
        <v>45950.45006328704</v>
      </c>
      <c r="AX291" s="24"/>
      <c r="AY291" s="24"/>
      <c r="AZ291" s="24"/>
      <c r="BA291" s="24"/>
      <c r="BC291" s="24">
        <v>45958.47908996528</v>
      </c>
      <c r="BD291" s="24">
        <v>45958.47908996528</v>
      </c>
      <c r="BE291" s="24">
        <v>45960.56076472222</v>
      </c>
      <c r="BF291" s="24">
        <v>45960.56076472222</v>
      </c>
      <c r="BG291">
        <v>1</v>
      </c>
      <c r="BH291" s="24">
        <v>45950.45006328704</v>
      </c>
      <c r="BI291" s="24">
        <v>45950.45006328704</v>
      </c>
      <c r="BJ291" s="24">
        <v>45950.450136168984</v>
      </c>
      <c r="BK291" s="24">
        <v>45950.450136168984</v>
      </c>
      <c r="BL291">
        <v>1</v>
      </c>
      <c r="BM291" s="24"/>
      <c r="BN291" s="24"/>
      <c r="BO291" s="24"/>
      <c r="BP291" s="24"/>
      <c r="BR291" s="24">
        <v>45958.479005706016</v>
      </c>
      <c r="BS291" s="24">
        <v>45958.479005706016</v>
      </c>
      <c r="BT291" s="24">
        <v>45958.47908996528</v>
      </c>
      <c r="BU291" s="24">
        <v>45958.47908996528</v>
      </c>
      <c r="BV291">
        <v>1</v>
      </c>
      <c r="BW291" s="24"/>
      <c r="BX291" s="24"/>
      <c r="BY291" s="24"/>
      <c r="BZ291" s="24"/>
      <c r="CB291" s="24"/>
      <c r="CC291" s="24"/>
      <c r="CE291" s="24">
        <v>45960.56076472222</v>
      </c>
      <c r="CF291" s="24">
        <v>45960.56076472222</v>
      </c>
      <c r="CG291">
        <v>1</v>
      </c>
      <c r="CH291" s="24"/>
      <c r="CI291" s="24"/>
      <c r="CJ291" s="24"/>
      <c r="CK291" s="24"/>
      <c r="DE291" s="24"/>
      <c r="DF291" s="24"/>
      <c r="DG291" s="24"/>
      <c r="DH291" s="24"/>
      <c r="DJ291" t="s">
        <v>149</v>
      </c>
      <c r="DK291" t="s">
        <v>149</v>
      </c>
      <c r="DM291">
        <v>11</v>
      </c>
      <c r="DN291">
        <v>11</v>
      </c>
      <c r="DQ291" t="s">
        <v>1000</v>
      </c>
      <c r="DR291" t="s">
        <v>149</v>
      </c>
      <c r="DS291" s="24">
        <v>46160.384426226854</v>
      </c>
    </row>
    <row r="292" spans="1:123" x14ac:dyDescent="0.3">
      <c r="A292" t="s">
        <v>542</v>
      </c>
      <c r="D292" t="s">
        <v>223</v>
      </c>
      <c r="E292" s="24">
        <v>45945.747199074074</v>
      </c>
      <c r="G292" t="s">
        <v>102</v>
      </c>
      <c r="H292" t="s">
        <v>154</v>
      </c>
      <c r="I292" s="24"/>
      <c r="J292" s="24"/>
      <c r="K292" s="24"/>
      <c r="L292" s="24"/>
      <c r="N292" s="24"/>
      <c r="O292" s="24"/>
      <c r="P292" s="24"/>
      <c r="Q292" s="24"/>
      <c r="V292" s="24"/>
      <c r="W292" s="24"/>
      <c r="X292" s="24"/>
      <c r="Y292" s="24"/>
      <c r="AA292" s="24"/>
      <c r="AB292" s="24"/>
      <c r="AC292" s="24"/>
      <c r="AD292" s="24"/>
      <c r="AF292" s="24"/>
      <c r="AG292" s="24"/>
      <c r="AH292" s="24"/>
      <c r="AI292" s="24"/>
      <c r="AK292" s="24"/>
      <c r="AL292" s="24"/>
      <c r="AM292" s="24"/>
      <c r="AN292" s="24"/>
      <c r="AP292" s="24"/>
      <c r="AQ292" s="24"/>
      <c r="AR292" s="24"/>
      <c r="AS292" s="24"/>
      <c r="AX292" s="24"/>
      <c r="AY292" s="24"/>
      <c r="AZ292" s="24"/>
      <c r="BA292" s="24"/>
      <c r="BC292" s="24"/>
      <c r="BD292" s="24"/>
      <c r="BE292" s="24"/>
      <c r="BF292" s="24"/>
      <c r="BH292" s="24"/>
      <c r="BI292" s="24"/>
      <c r="BJ292" s="24"/>
      <c r="BK292" s="24"/>
      <c r="BM292" s="24"/>
      <c r="BN292" s="24"/>
      <c r="BO292" s="24"/>
      <c r="BP292" s="24"/>
      <c r="BR292" s="24"/>
      <c r="BS292" s="24"/>
      <c r="BT292" s="24"/>
      <c r="BU292" s="24"/>
      <c r="BW292" s="24"/>
      <c r="BX292" s="24"/>
      <c r="BY292" s="24"/>
      <c r="BZ292" s="24"/>
      <c r="CB292" s="24"/>
      <c r="CC292" s="24"/>
      <c r="CE292" s="24"/>
      <c r="CF292" s="24"/>
      <c r="CH292" s="24"/>
      <c r="CI292" s="24"/>
      <c r="CJ292" s="24"/>
      <c r="CK292" s="24"/>
      <c r="DE292" s="24"/>
      <c r="DF292" s="24"/>
      <c r="DG292" s="24"/>
      <c r="DH292" s="24"/>
      <c r="DJ292" t="s">
        <v>149</v>
      </c>
      <c r="DK292" t="s">
        <v>149</v>
      </c>
      <c r="DQ292" t="s">
        <v>1000</v>
      </c>
      <c r="DR292" t="s">
        <v>149</v>
      </c>
      <c r="DS292" s="24">
        <v>46160.384426226854</v>
      </c>
    </row>
    <row r="293" spans="1:123" x14ac:dyDescent="0.3">
      <c r="A293" t="s">
        <v>543</v>
      </c>
      <c r="D293" t="s">
        <v>223</v>
      </c>
      <c r="E293" s="24">
        <v>45944.456550925926</v>
      </c>
      <c r="G293" t="s">
        <v>90</v>
      </c>
      <c r="H293" t="s">
        <v>155</v>
      </c>
      <c r="I293" s="24"/>
      <c r="J293" s="24"/>
      <c r="K293" s="24"/>
      <c r="L293" s="24"/>
      <c r="N293" s="24"/>
      <c r="O293" s="24"/>
      <c r="P293" s="24"/>
      <c r="Q293" s="24"/>
      <c r="V293" s="24"/>
      <c r="W293" s="24"/>
      <c r="X293" s="24"/>
      <c r="Y293" s="24"/>
      <c r="AA293" s="24">
        <v>45947.418242337961</v>
      </c>
      <c r="AB293" s="24">
        <v>45947.418242337961</v>
      </c>
      <c r="AC293" s="24">
        <v>45958.445436620372</v>
      </c>
      <c r="AD293" s="24">
        <v>45958.445436620372</v>
      </c>
      <c r="AE293">
        <v>1</v>
      </c>
      <c r="AF293" s="24">
        <v>45958.445436620372</v>
      </c>
      <c r="AG293" s="24">
        <v>45958.445436620372</v>
      </c>
      <c r="AH293" s="24">
        <v>45958.449867557872</v>
      </c>
      <c r="AI293" s="24">
        <v>45958.449867557872</v>
      </c>
      <c r="AJ293">
        <v>1</v>
      </c>
      <c r="AK293" s="24"/>
      <c r="AL293" s="24"/>
      <c r="AM293" s="24"/>
      <c r="AN293" s="24"/>
      <c r="AP293" s="24"/>
      <c r="AQ293" s="24"/>
      <c r="AR293" s="24">
        <v>45947.356675381947</v>
      </c>
      <c r="AS293" s="24">
        <v>45947.356675381947</v>
      </c>
      <c r="AX293" s="24"/>
      <c r="AY293" s="24"/>
      <c r="AZ293" s="24"/>
      <c r="BA293" s="24"/>
      <c r="BC293" s="24"/>
      <c r="BD293" s="24"/>
      <c r="BE293" s="24"/>
      <c r="BF293" s="24"/>
      <c r="BH293" s="24">
        <v>45947.356675381947</v>
      </c>
      <c r="BI293" s="24">
        <v>45947.356675381947</v>
      </c>
      <c r="BJ293" s="24">
        <v>45947.418242337961</v>
      </c>
      <c r="BK293" s="24">
        <v>45947.418242337961</v>
      </c>
      <c r="BL293">
        <v>1</v>
      </c>
      <c r="BM293" s="24"/>
      <c r="BN293" s="24"/>
      <c r="BO293" s="24"/>
      <c r="BP293" s="24"/>
      <c r="BR293" s="24">
        <v>45958.449867557872</v>
      </c>
      <c r="BS293" s="24">
        <v>45958.449867557872</v>
      </c>
      <c r="BT293" s="24">
        <v>45958.449917546299</v>
      </c>
      <c r="BU293" s="24">
        <v>45958.449917546299</v>
      </c>
      <c r="BV293">
        <v>1</v>
      </c>
      <c r="BW293" s="24"/>
      <c r="BX293" s="24"/>
      <c r="BY293" s="24"/>
      <c r="BZ293" s="24"/>
      <c r="CB293" s="24"/>
      <c r="CC293" s="24"/>
      <c r="CE293" s="24">
        <v>45958.449917546299</v>
      </c>
      <c r="CF293" s="24">
        <v>45958.449917546299</v>
      </c>
      <c r="CG293">
        <v>1</v>
      </c>
      <c r="CH293" s="24"/>
      <c r="CI293" s="24"/>
      <c r="CJ293" s="24"/>
      <c r="CK293" s="24"/>
      <c r="DE293" s="24"/>
      <c r="DF293" s="24"/>
      <c r="DG293" s="24"/>
      <c r="DH293" s="24"/>
      <c r="DJ293" t="s">
        <v>149</v>
      </c>
      <c r="DK293" t="s">
        <v>149</v>
      </c>
      <c r="DM293">
        <v>12</v>
      </c>
      <c r="DN293">
        <v>12</v>
      </c>
      <c r="DQ293" t="s">
        <v>1000</v>
      </c>
      <c r="DR293" t="s">
        <v>149</v>
      </c>
      <c r="DS293" s="24">
        <v>46160.384426226854</v>
      </c>
    </row>
    <row r="294" spans="1:123" x14ac:dyDescent="0.3">
      <c r="A294" t="s">
        <v>544</v>
      </c>
      <c r="D294" t="s">
        <v>225</v>
      </c>
      <c r="E294" s="24">
        <v>45944.450138888889</v>
      </c>
      <c r="G294" t="s">
        <v>90</v>
      </c>
      <c r="H294" t="s">
        <v>155</v>
      </c>
      <c r="I294" s="24"/>
      <c r="J294" s="24"/>
      <c r="K294" s="24"/>
      <c r="L294" s="24"/>
      <c r="N294" s="24"/>
      <c r="O294" s="24"/>
      <c r="P294" s="24"/>
      <c r="Q294" s="24"/>
      <c r="V294" s="24"/>
      <c r="W294" s="24"/>
      <c r="X294" s="24"/>
      <c r="Y294" s="24"/>
      <c r="AA294" s="24">
        <v>45947.412983240742</v>
      </c>
      <c r="AB294" s="24">
        <v>45947.412983240742</v>
      </c>
      <c r="AC294" s="24">
        <v>45952.400951469906</v>
      </c>
      <c r="AD294" s="24">
        <v>45952.400951469906</v>
      </c>
      <c r="AE294">
        <v>1</v>
      </c>
      <c r="AF294" s="24">
        <v>45952.400951469906</v>
      </c>
      <c r="AG294" s="24">
        <v>45952.400951469906</v>
      </c>
      <c r="AH294" s="24">
        <v>45958.42133099537</v>
      </c>
      <c r="AI294" s="24">
        <v>45958.42133099537</v>
      </c>
      <c r="AJ294">
        <v>1</v>
      </c>
      <c r="AK294" s="24">
        <v>45958.42133099537</v>
      </c>
      <c r="AL294" s="24">
        <v>45958.42133099537</v>
      </c>
      <c r="AM294" s="24">
        <v>45959.611865914354</v>
      </c>
      <c r="AN294" s="24">
        <v>45959.611865914354</v>
      </c>
      <c r="AO294">
        <v>1</v>
      </c>
      <c r="AP294" s="24"/>
      <c r="AQ294" s="24"/>
      <c r="AR294" s="24">
        <v>45947.412196273151</v>
      </c>
      <c r="AS294" s="24">
        <v>45947.412196273151</v>
      </c>
      <c r="AX294" s="24"/>
      <c r="AY294" s="24"/>
      <c r="AZ294" s="24"/>
      <c r="BA294" s="24"/>
      <c r="BC294" s="24">
        <v>45959.612066608795</v>
      </c>
      <c r="BD294" s="24">
        <v>45959.612066608795</v>
      </c>
      <c r="BE294" s="24">
        <v>45960.560765011571</v>
      </c>
      <c r="BF294" s="24">
        <v>45960.560765011571</v>
      </c>
      <c r="BG294">
        <v>1</v>
      </c>
      <c r="BH294" s="24">
        <v>45947.412196273151</v>
      </c>
      <c r="BI294" s="24">
        <v>45947.412196273151</v>
      </c>
      <c r="BJ294" s="24">
        <v>45947.412983240742</v>
      </c>
      <c r="BK294" s="24">
        <v>45947.412983240742</v>
      </c>
      <c r="BL294">
        <v>1</v>
      </c>
      <c r="BM294" s="24"/>
      <c r="BN294" s="24"/>
      <c r="BO294" s="24"/>
      <c r="BP294" s="24"/>
      <c r="BR294" s="24">
        <v>45959.611865914354</v>
      </c>
      <c r="BS294" s="24">
        <v>45959.611865914354</v>
      </c>
      <c r="BT294" s="24">
        <v>45959.612066608795</v>
      </c>
      <c r="BU294" s="24">
        <v>45959.612066608795</v>
      </c>
      <c r="BV294">
        <v>1</v>
      </c>
      <c r="BW294" s="24"/>
      <c r="BX294" s="24"/>
      <c r="BY294" s="24"/>
      <c r="BZ294" s="24"/>
      <c r="CB294" s="24"/>
      <c r="CC294" s="24"/>
      <c r="CE294" s="24">
        <v>45960.560765011571</v>
      </c>
      <c r="CF294" s="24">
        <v>45960.560765011571</v>
      </c>
      <c r="CG294">
        <v>1</v>
      </c>
      <c r="CH294" s="24"/>
      <c r="CI294" s="24"/>
      <c r="CJ294" s="24"/>
      <c r="CK294" s="24"/>
      <c r="DE294" s="24"/>
      <c r="DF294" s="24"/>
      <c r="DG294" s="24"/>
      <c r="DH294" s="24"/>
      <c r="DJ294" t="s">
        <v>149</v>
      </c>
      <c r="DK294" t="s">
        <v>149</v>
      </c>
      <c r="DM294">
        <v>14</v>
      </c>
      <c r="DN294">
        <v>14</v>
      </c>
      <c r="DQ294" t="s">
        <v>1000</v>
      </c>
      <c r="DR294" t="s">
        <v>149</v>
      </c>
      <c r="DS294" s="24">
        <v>46160.384426226854</v>
      </c>
    </row>
    <row r="295" spans="1:123" x14ac:dyDescent="0.3">
      <c r="A295" t="s">
        <v>545</v>
      </c>
      <c r="D295" t="s">
        <v>225</v>
      </c>
      <c r="E295" s="24">
        <v>45943.368067129632</v>
      </c>
      <c r="G295" t="s">
        <v>107</v>
      </c>
      <c r="H295" t="s">
        <v>154</v>
      </c>
      <c r="I295" s="24">
        <v>46035.455258321759</v>
      </c>
      <c r="J295" s="24">
        <v>46035.455258321759</v>
      </c>
      <c r="K295" s="24">
        <v>46035.455325636576</v>
      </c>
      <c r="L295" s="24">
        <v>46035.455325636576</v>
      </c>
      <c r="M295">
        <v>1</v>
      </c>
      <c r="N295" s="24">
        <v>45965.567940752313</v>
      </c>
      <c r="O295" s="24">
        <v>45965.567940752313</v>
      </c>
      <c r="P295" s="24">
        <v>46035.455258321759</v>
      </c>
      <c r="Q295" s="24">
        <v>46035.455258321759</v>
      </c>
      <c r="R295">
        <v>1</v>
      </c>
      <c r="V295" s="24"/>
      <c r="W295" s="24"/>
      <c r="X295" s="24"/>
      <c r="Y295" s="24"/>
      <c r="AA295" s="24">
        <v>45947.419072314813</v>
      </c>
      <c r="AB295" s="24">
        <v>45947.419072314813</v>
      </c>
      <c r="AC295" s="24">
        <v>45965.567940752313</v>
      </c>
      <c r="AD295" s="24">
        <v>45965.567940752313</v>
      </c>
      <c r="AE295">
        <v>1</v>
      </c>
      <c r="AF295" s="24"/>
      <c r="AG295" s="24"/>
      <c r="AH295" s="24"/>
      <c r="AI295" s="24"/>
      <c r="AK295" s="24"/>
      <c r="AL295" s="24"/>
      <c r="AM295" s="24"/>
      <c r="AN295" s="24"/>
      <c r="AP295" s="24"/>
      <c r="AQ295" s="24"/>
      <c r="AR295" s="24">
        <v>45947.418967847225</v>
      </c>
      <c r="AS295" s="24">
        <v>45947.418967847225</v>
      </c>
      <c r="AX295" s="24"/>
      <c r="AY295" s="24"/>
      <c r="AZ295" s="24"/>
      <c r="BA295" s="24"/>
      <c r="BC295" s="24"/>
      <c r="BD295" s="24"/>
      <c r="BE295" s="24"/>
      <c r="BF295" s="24"/>
      <c r="BH295" s="24">
        <v>46035.455325636576</v>
      </c>
      <c r="BI295" s="24">
        <v>45947.418967847225</v>
      </c>
      <c r="BJ295" s="24">
        <v>45947.419072314813</v>
      </c>
      <c r="BK295" s="24">
        <v>45947.419072314813</v>
      </c>
      <c r="BL295">
        <v>2</v>
      </c>
      <c r="BM295" s="24"/>
      <c r="BN295" s="24"/>
      <c r="BO295" s="24"/>
      <c r="BP295" s="24"/>
      <c r="BR295" s="24"/>
      <c r="BS295" s="24"/>
      <c r="BT295" s="24"/>
      <c r="BU295" s="24"/>
      <c r="BW295" s="24"/>
      <c r="BX295" s="24"/>
      <c r="BY295" s="24"/>
      <c r="BZ295" s="24"/>
      <c r="CB295" s="24"/>
      <c r="CC295" s="24"/>
      <c r="CE295" s="24"/>
      <c r="CF295" s="24"/>
      <c r="CH295" s="24"/>
      <c r="CI295" s="24"/>
      <c r="CJ295" s="24"/>
      <c r="CK295" s="24"/>
      <c r="DE295" s="24"/>
      <c r="DF295" s="24"/>
      <c r="DG295" s="24"/>
      <c r="DH295" s="24"/>
      <c r="DJ295" t="s">
        <v>149</v>
      </c>
      <c r="DK295" t="s">
        <v>149</v>
      </c>
      <c r="DO295">
        <v>213</v>
      </c>
      <c r="DP295">
        <v>125</v>
      </c>
      <c r="DQ295" t="s">
        <v>1000</v>
      </c>
      <c r="DR295" t="s">
        <v>149</v>
      </c>
      <c r="DS295" s="24">
        <v>46160.384426226854</v>
      </c>
    </row>
    <row r="296" spans="1:123" x14ac:dyDescent="0.3">
      <c r="A296" t="s">
        <v>546</v>
      </c>
      <c r="D296" t="s">
        <v>223</v>
      </c>
      <c r="E296" s="24">
        <v>45940.414513888885</v>
      </c>
      <c r="G296" t="s">
        <v>90</v>
      </c>
      <c r="H296" t="s">
        <v>155</v>
      </c>
      <c r="I296" s="24"/>
      <c r="J296" s="24"/>
      <c r="K296" s="24"/>
      <c r="L296" s="24"/>
      <c r="N296" s="24"/>
      <c r="O296" s="24"/>
      <c r="P296" s="24"/>
      <c r="Q296" s="24"/>
      <c r="V296" s="24"/>
      <c r="W296" s="24"/>
      <c r="X296" s="24"/>
      <c r="Y296" s="24"/>
      <c r="AA296" s="24">
        <v>45953.409330023147</v>
      </c>
      <c r="AB296" s="24">
        <v>45953.409330023147</v>
      </c>
      <c r="AC296" s="24">
        <v>45958.580997557867</v>
      </c>
      <c r="AD296" s="24">
        <v>45958.580997557867</v>
      </c>
      <c r="AE296">
        <v>1</v>
      </c>
      <c r="AF296" s="24"/>
      <c r="AG296" s="24"/>
      <c r="AH296" s="24"/>
      <c r="AI296" s="24"/>
      <c r="AK296" s="24"/>
      <c r="AL296" s="24"/>
      <c r="AM296" s="24"/>
      <c r="AN296" s="24"/>
      <c r="AP296" s="24"/>
      <c r="AQ296" s="24"/>
      <c r="AR296" s="24">
        <v>45940.419771435183</v>
      </c>
      <c r="AS296" s="24">
        <v>45940.419771435183</v>
      </c>
      <c r="AX296" s="24"/>
      <c r="AY296" s="24"/>
      <c r="AZ296" s="24"/>
      <c r="BA296" s="24"/>
      <c r="BC296" s="24"/>
      <c r="BD296" s="24"/>
      <c r="BE296" s="24"/>
      <c r="BF296" s="24"/>
      <c r="BH296" s="24">
        <v>45940.419771435183</v>
      </c>
      <c r="BI296" s="24">
        <v>45940.419771435183</v>
      </c>
      <c r="BJ296" s="24">
        <v>45953.409330023147</v>
      </c>
      <c r="BK296" s="24">
        <v>45953.409330023147</v>
      </c>
      <c r="BL296">
        <v>1</v>
      </c>
      <c r="BM296" s="24"/>
      <c r="BN296" s="24"/>
      <c r="BO296" s="24"/>
      <c r="BP296" s="24"/>
      <c r="BR296" s="24">
        <v>45958.580997557867</v>
      </c>
      <c r="BS296" s="24">
        <v>45958.580997557867</v>
      </c>
      <c r="BT296" s="24">
        <v>45958.5810384375</v>
      </c>
      <c r="BU296" s="24">
        <v>45958.5810384375</v>
      </c>
      <c r="BV296">
        <v>1</v>
      </c>
      <c r="BW296" s="24"/>
      <c r="BX296" s="24"/>
      <c r="BY296" s="24"/>
      <c r="BZ296" s="24"/>
      <c r="CB296" s="24"/>
      <c r="CC296" s="24"/>
      <c r="CE296" s="24">
        <v>45958.5810384375</v>
      </c>
      <c r="CF296" s="24">
        <v>45958.5810384375</v>
      </c>
      <c r="CG296">
        <v>1</v>
      </c>
      <c r="CH296" s="24"/>
      <c r="CI296" s="24"/>
      <c r="CJ296" s="24"/>
      <c r="CK296" s="24"/>
      <c r="DE296" s="24"/>
      <c r="DF296" s="24"/>
      <c r="DG296" s="24"/>
      <c r="DH296" s="24"/>
      <c r="DJ296" t="s">
        <v>149</v>
      </c>
      <c r="DK296" t="s">
        <v>149</v>
      </c>
      <c r="DM296">
        <v>19</v>
      </c>
      <c r="DN296">
        <v>6</v>
      </c>
      <c r="DQ296" t="s">
        <v>1000</v>
      </c>
      <c r="DR296" t="s">
        <v>149</v>
      </c>
      <c r="DS296" s="24">
        <v>46160.384426226854</v>
      </c>
    </row>
    <row r="297" spans="1:123" x14ac:dyDescent="0.3">
      <c r="A297" t="s">
        <v>547</v>
      </c>
      <c r="D297" t="s">
        <v>223</v>
      </c>
      <c r="E297" s="24">
        <v>45940.315775462965</v>
      </c>
      <c r="G297" t="s">
        <v>90</v>
      </c>
      <c r="H297" t="s">
        <v>155</v>
      </c>
      <c r="I297" s="24"/>
      <c r="J297" s="24"/>
      <c r="K297" s="24"/>
      <c r="L297" s="24"/>
      <c r="N297" s="24"/>
      <c r="O297" s="24"/>
      <c r="P297" s="24"/>
      <c r="Q297" s="24"/>
      <c r="V297" s="24"/>
      <c r="W297" s="24"/>
      <c r="X297" s="24"/>
      <c r="Y297" s="24"/>
      <c r="AA297" s="24">
        <v>45945.389106747687</v>
      </c>
      <c r="AB297" s="24">
        <v>45945.389106747687</v>
      </c>
      <c r="AC297" s="24">
        <v>45957.341353703705</v>
      </c>
      <c r="AD297" s="24">
        <v>45957.341353703705</v>
      </c>
      <c r="AE297">
        <v>1</v>
      </c>
      <c r="AF297" s="24"/>
      <c r="AG297" s="24"/>
      <c r="AH297" s="24"/>
      <c r="AI297" s="24"/>
      <c r="AK297" s="24"/>
      <c r="AL297" s="24"/>
      <c r="AM297" s="24"/>
      <c r="AN297" s="24"/>
      <c r="AP297" s="24"/>
      <c r="AQ297" s="24"/>
      <c r="AR297" s="24">
        <v>45940.325879212964</v>
      </c>
      <c r="AS297" s="24">
        <v>45940.325879212964</v>
      </c>
      <c r="AX297" s="24"/>
      <c r="AY297" s="24"/>
      <c r="AZ297" s="24"/>
      <c r="BA297" s="24"/>
      <c r="BC297" s="24"/>
      <c r="BD297" s="24"/>
      <c r="BE297" s="24"/>
      <c r="BF297" s="24"/>
      <c r="BH297" s="24">
        <v>45940.325879212964</v>
      </c>
      <c r="BI297" s="24">
        <v>45940.325879212964</v>
      </c>
      <c r="BJ297" s="24">
        <v>45945.389106747687</v>
      </c>
      <c r="BK297" s="24">
        <v>45945.389106747687</v>
      </c>
      <c r="BL297">
        <v>1</v>
      </c>
      <c r="BM297" s="24"/>
      <c r="BN297" s="24"/>
      <c r="BO297" s="24"/>
      <c r="BP297" s="24"/>
      <c r="BR297" s="24"/>
      <c r="BS297" s="24"/>
      <c r="BT297" s="24"/>
      <c r="BU297" s="24"/>
      <c r="BW297" s="24"/>
      <c r="BX297" s="24"/>
      <c r="BY297" s="24"/>
      <c r="BZ297" s="24"/>
      <c r="CB297" s="24"/>
      <c r="CC297" s="24"/>
      <c r="CE297" s="24">
        <v>45957.341353703705</v>
      </c>
      <c r="CF297" s="24">
        <v>45957.341353703705</v>
      </c>
      <c r="CG297">
        <v>1</v>
      </c>
      <c r="CH297" s="24"/>
      <c r="CI297" s="24"/>
      <c r="CJ297" s="24"/>
      <c r="CK297" s="24"/>
      <c r="DE297" s="24"/>
      <c r="DF297" s="24"/>
      <c r="DG297" s="24"/>
      <c r="DH297" s="24"/>
      <c r="DJ297" t="s">
        <v>149</v>
      </c>
      <c r="DK297" t="s">
        <v>149</v>
      </c>
      <c r="DM297">
        <v>18</v>
      </c>
      <c r="DN297">
        <v>12</v>
      </c>
      <c r="DQ297" t="s">
        <v>1000</v>
      </c>
      <c r="DR297" t="s">
        <v>149</v>
      </c>
      <c r="DS297" s="24">
        <v>46160.384426226854</v>
      </c>
    </row>
    <row r="298" spans="1:123" x14ac:dyDescent="0.3">
      <c r="A298" t="s">
        <v>548</v>
      </c>
      <c r="D298" t="s">
        <v>223</v>
      </c>
      <c r="E298" s="24">
        <v>45939.606678240743</v>
      </c>
      <c r="G298" t="s">
        <v>90</v>
      </c>
      <c r="H298" t="s">
        <v>155</v>
      </c>
      <c r="I298" s="24"/>
      <c r="J298" s="24"/>
      <c r="K298" s="24"/>
      <c r="L298" s="24"/>
      <c r="N298" s="24"/>
      <c r="O298" s="24"/>
      <c r="P298" s="24"/>
      <c r="Q298" s="24"/>
      <c r="V298" s="24"/>
      <c r="W298" s="24"/>
      <c r="X298" s="24"/>
      <c r="Y298" s="24"/>
      <c r="AA298" s="24">
        <v>45950.353952546298</v>
      </c>
      <c r="AB298" s="24">
        <v>45950.353952546298</v>
      </c>
      <c r="AC298" s="24">
        <v>45958.353097060186</v>
      </c>
      <c r="AD298" s="24">
        <v>45958.353097060186</v>
      </c>
      <c r="AE298">
        <v>1</v>
      </c>
      <c r="AF298" s="24"/>
      <c r="AG298" s="24"/>
      <c r="AH298" s="24"/>
      <c r="AI298" s="24"/>
      <c r="AK298" s="24"/>
      <c r="AL298" s="24"/>
      <c r="AM298" s="24"/>
      <c r="AN298" s="24"/>
      <c r="AP298" s="24"/>
      <c r="AQ298" s="24"/>
      <c r="AR298" s="24">
        <v>45950.353829525462</v>
      </c>
      <c r="AS298" s="24">
        <v>45950.353829525462</v>
      </c>
      <c r="AX298" s="24"/>
      <c r="AY298" s="24"/>
      <c r="AZ298" s="24"/>
      <c r="BA298" s="24"/>
      <c r="BC298" s="24"/>
      <c r="BD298" s="24"/>
      <c r="BE298" s="24"/>
      <c r="BF298" s="24"/>
      <c r="BH298" s="24">
        <v>45950.353829525462</v>
      </c>
      <c r="BI298" s="24">
        <v>45950.353829525462</v>
      </c>
      <c r="BJ298" s="24">
        <v>45950.353952546298</v>
      </c>
      <c r="BK298" s="24">
        <v>45950.353952546298</v>
      </c>
      <c r="BL298">
        <v>1</v>
      </c>
      <c r="BM298" s="24"/>
      <c r="BN298" s="24"/>
      <c r="BO298" s="24"/>
      <c r="BP298" s="24"/>
      <c r="BR298" s="24"/>
      <c r="BS298" s="24"/>
      <c r="BT298" s="24"/>
      <c r="BU298" s="24"/>
      <c r="BW298" s="24"/>
      <c r="BX298" s="24"/>
      <c r="BY298" s="24"/>
      <c r="BZ298" s="24"/>
      <c r="CB298" s="24"/>
      <c r="CC298" s="24"/>
      <c r="CE298" s="24">
        <v>45958.353097060186</v>
      </c>
      <c r="CF298" s="24">
        <v>45958.353097060186</v>
      </c>
      <c r="CG298">
        <v>1</v>
      </c>
      <c r="CH298" s="24"/>
      <c r="CI298" s="24"/>
      <c r="CJ298" s="24"/>
      <c r="CK298" s="24"/>
      <c r="DE298" s="24"/>
      <c r="DF298" s="24"/>
      <c r="DG298" s="24"/>
      <c r="DH298" s="24"/>
      <c r="DJ298" t="s">
        <v>149</v>
      </c>
      <c r="DK298" t="s">
        <v>149</v>
      </c>
      <c r="DM298">
        <v>8</v>
      </c>
      <c r="DN298">
        <v>8</v>
      </c>
      <c r="DQ298" t="s">
        <v>1000</v>
      </c>
      <c r="DR298" t="s">
        <v>149</v>
      </c>
      <c r="DS298" s="24">
        <v>46160.384426226854</v>
      </c>
    </row>
    <row r="299" spans="1:123" x14ac:dyDescent="0.3">
      <c r="A299" t="s">
        <v>549</v>
      </c>
      <c r="D299" t="s">
        <v>223</v>
      </c>
      <c r="E299" s="24">
        <v>45939.361296296294</v>
      </c>
      <c r="G299" t="s">
        <v>90</v>
      </c>
      <c r="H299" t="s">
        <v>155</v>
      </c>
      <c r="I299" s="24"/>
      <c r="J299" s="24"/>
      <c r="K299" s="24"/>
      <c r="L299" s="24"/>
      <c r="N299" s="24"/>
      <c r="O299" s="24"/>
      <c r="P299" s="24"/>
      <c r="Q299" s="24"/>
      <c r="V299" s="24"/>
      <c r="W299" s="24"/>
      <c r="X299" s="24"/>
      <c r="Y299" s="24"/>
      <c r="AA299" s="24">
        <v>45946.405112939814</v>
      </c>
      <c r="AB299" s="24">
        <v>45946.405112939814</v>
      </c>
      <c r="AC299" s="24">
        <v>45958.304617719907</v>
      </c>
      <c r="AD299" s="24">
        <v>45958.304617719907</v>
      </c>
      <c r="AE299">
        <v>1</v>
      </c>
      <c r="AF299" s="24">
        <v>45958.304617719907</v>
      </c>
      <c r="AG299" s="24">
        <v>45958.304617719907</v>
      </c>
      <c r="AH299" s="24">
        <v>45958.304729374999</v>
      </c>
      <c r="AI299" s="24">
        <v>45958.304729374999</v>
      </c>
      <c r="AJ299">
        <v>1</v>
      </c>
      <c r="AK299" s="24"/>
      <c r="AL299" s="24"/>
      <c r="AM299" s="24"/>
      <c r="AN299" s="24"/>
      <c r="AP299" s="24"/>
      <c r="AQ299" s="24"/>
      <c r="AR299" s="24">
        <v>45939.362160266202</v>
      </c>
      <c r="AS299" s="24">
        <v>45939.362160266202</v>
      </c>
      <c r="AX299" s="24"/>
      <c r="AY299" s="24"/>
      <c r="AZ299" s="24"/>
      <c r="BA299" s="24"/>
      <c r="BC299" s="24"/>
      <c r="BD299" s="24"/>
      <c r="BE299" s="24"/>
      <c r="BF299" s="24"/>
      <c r="BH299" s="24">
        <v>45939.362160266202</v>
      </c>
      <c r="BI299" s="24">
        <v>45939.362160266202</v>
      </c>
      <c r="BJ299" s="24">
        <v>45946.405112939814</v>
      </c>
      <c r="BK299" s="24">
        <v>45946.405112939814</v>
      </c>
      <c r="BL299">
        <v>1</v>
      </c>
      <c r="BM299" s="24"/>
      <c r="BN299" s="24"/>
      <c r="BO299" s="24"/>
      <c r="BP299" s="24"/>
      <c r="BR299" s="24"/>
      <c r="BS299" s="24"/>
      <c r="BT299" s="24"/>
      <c r="BU299" s="24"/>
      <c r="BW299" s="24"/>
      <c r="BX299" s="24"/>
      <c r="BY299" s="24"/>
      <c r="BZ299" s="24"/>
      <c r="CB299" s="24"/>
      <c r="CC299" s="24"/>
      <c r="CE299" s="24">
        <v>45958.304729374999</v>
      </c>
      <c r="CF299" s="24">
        <v>45958.304729374999</v>
      </c>
      <c r="CG299">
        <v>1</v>
      </c>
      <c r="CH299" s="24"/>
      <c r="CI299" s="24"/>
      <c r="CJ299" s="24"/>
      <c r="CK299" s="24"/>
      <c r="DE299" s="24"/>
      <c r="DF299" s="24"/>
      <c r="DG299" s="24"/>
      <c r="DH299" s="24"/>
      <c r="DJ299" t="s">
        <v>149</v>
      </c>
      <c r="DK299" t="s">
        <v>149</v>
      </c>
      <c r="DM299">
        <v>19</v>
      </c>
      <c r="DN299">
        <v>12</v>
      </c>
      <c r="DQ299" t="s">
        <v>1000</v>
      </c>
      <c r="DR299" t="s">
        <v>149</v>
      </c>
      <c r="DS299" s="24">
        <v>46160.384426226854</v>
      </c>
    </row>
    <row r="300" spans="1:123" x14ac:dyDescent="0.3">
      <c r="A300" t="s">
        <v>550</v>
      </c>
      <c r="D300" t="s">
        <v>223</v>
      </c>
      <c r="E300" s="24">
        <v>45937.465092592596</v>
      </c>
      <c r="G300" t="s">
        <v>90</v>
      </c>
      <c r="H300" t="s">
        <v>155</v>
      </c>
      <c r="I300" s="24"/>
      <c r="J300" s="24"/>
      <c r="K300" s="24"/>
      <c r="L300" s="24"/>
      <c r="N300" s="24"/>
      <c r="O300" s="24"/>
      <c r="P300" s="24"/>
      <c r="Q300" s="24"/>
      <c r="V300" s="24"/>
      <c r="W300" s="24"/>
      <c r="X300" s="24"/>
      <c r="Y300" s="24"/>
      <c r="AA300" s="24">
        <v>45965.406396655089</v>
      </c>
      <c r="AB300" s="24">
        <v>45965.406396655089</v>
      </c>
      <c r="AC300" s="24">
        <v>45967.397232569441</v>
      </c>
      <c r="AD300" s="24">
        <v>45967.397232569441</v>
      </c>
      <c r="AE300">
        <v>1</v>
      </c>
      <c r="AF300" s="24">
        <v>45967.397232569441</v>
      </c>
      <c r="AG300" s="24">
        <v>45967.397232569441</v>
      </c>
      <c r="AH300" s="24">
        <v>45967.753181296299</v>
      </c>
      <c r="AI300" s="24">
        <v>45967.753181296299</v>
      </c>
      <c r="AJ300">
        <v>1</v>
      </c>
      <c r="AK300" s="24"/>
      <c r="AL300" s="24"/>
      <c r="AM300" s="24"/>
      <c r="AN300" s="24"/>
      <c r="AP300" s="24"/>
      <c r="AQ300" s="24"/>
      <c r="AR300" s="24">
        <v>45959.662428495372</v>
      </c>
      <c r="AS300" s="24">
        <v>45959.662428495372</v>
      </c>
      <c r="AX300" s="24"/>
      <c r="AY300" s="24"/>
      <c r="AZ300" s="24"/>
      <c r="BA300" s="24"/>
      <c r="BC300" s="24"/>
      <c r="BD300" s="24"/>
      <c r="BE300" s="24"/>
      <c r="BF300" s="24"/>
      <c r="BH300" s="24">
        <v>45959.662428495372</v>
      </c>
      <c r="BI300" s="24">
        <v>45959.662428495372</v>
      </c>
      <c r="BJ300" s="24">
        <v>45965.406396655089</v>
      </c>
      <c r="BK300" s="24">
        <v>45965.406396655089</v>
      </c>
      <c r="BL300">
        <v>1</v>
      </c>
      <c r="BM300" s="24"/>
      <c r="BN300" s="24"/>
      <c r="BO300" s="24"/>
      <c r="BP300" s="24"/>
      <c r="BR300" s="24">
        <v>45967.753181296299</v>
      </c>
      <c r="BS300" s="24">
        <v>45967.753181296299</v>
      </c>
      <c r="BT300" s="24">
        <v>45968.40336384259</v>
      </c>
      <c r="BU300" s="24">
        <v>45968.40336384259</v>
      </c>
      <c r="BV300">
        <v>1</v>
      </c>
      <c r="BW300" s="24"/>
      <c r="BX300" s="24"/>
      <c r="BY300" s="24"/>
      <c r="BZ300" s="24"/>
      <c r="CB300" s="24"/>
      <c r="CC300" s="24"/>
      <c r="CE300" s="24">
        <v>45968.40336384259</v>
      </c>
      <c r="CF300" s="24">
        <v>45968.40336384259</v>
      </c>
      <c r="CG300">
        <v>1</v>
      </c>
      <c r="CH300" s="24"/>
      <c r="CI300" s="24"/>
      <c r="CJ300" s="24"/>
      <c r="CK300" s="24"/>
      <c r="DE300" s="24"/>
      <c r="DF300" s="24"/>
      <c r="DG300" s="24"/>
      <c r="DH300" s="24"/>
      <c r="DJ300" t="s">
        <v>149</v>
      </c>
      <c r="DK300" t="s">
        <v>149</v>
      </c>
      <c r="DM300">
        <v>9</v>
      </c>
      <c r="DN300">
        <v>3</v>
      </c>
      <c r="DQ300" t="s">
        <v>1000</v>
      </c>
      <c r="DR300" t="s">
        <v>149</v>
      </c>
      <c r="DS300" s="24">
        <v>46160.384426226854</v>
      </c>
    </row>
    <row r="301" spans="1:123" x14ac:dyDescent="0.3">
      <c r="A301" t="s">
        <v>551</v>
      </c>
      <c r="D301" t="s">
        <v>223</v>
      </c>
      <c r="E301" s="24">
        <v>45937.40625</v>
      </c>
      <c r="G301" t="s">
        <v>90</v>
      </c>
      <c r="H301" t="s">
        <v>155</v>
      </c>
      <c r="I301" s="24">
        <v>45960.442835381946</v>
      </c>
      <c r="J301" s="24">
        <v>45960.442835381946</v>
      </c>
      <c r="K301" s="24">
        <v>45978.360088657406</v>
      </c>
      <c r="L301" s="24">
        <v>45978.360088657406</v>
      </c>
      <c r="M301">
        <v>1</v>
      </c>
      <c r="N301" s="24">
        <v>45992.371802499998</v>
      </c>
      <c r="O301" s="24">
        <v>45946.342476631944</v>
      </c>
      <c r="P301" s="24">
        <v>45960.442835381946</v>
      </c>
      <c r="Q301" s="24">
        <v>45994.399951851854</v>
      </c>
      <c r="R301">
        <v>4</v>
      </c>
      <c r="V301" s="24"/>
      <c r="W301" s="24"/>
      <c r="X301" s="24"/>
      <c r="Y301" s="24"/>
      <c r="AA301" s="24">
        <v>45994.399951851854</v>
      </c>
      <c r="AB301" s="24">
        <v>45937.414756284721</v>
      </c>
      <c r="AC301" s="24">
        <v>45946.342476631944</v>
      </c>
      <c r="AD301" s="24">
        <v>45999.629075520832</v>
      </c>
      <c r="AE301">
        <v>6</v>
      </c>
      <c r="AF301" s="24">
        <v>45999.629075520832</v>
      </c>
      <c r="AG301" s="24">
        <v>45987.471546111112</v>
      </c>
      <c r="AH301" s="24">
        <v>45988.36801820602</v>
      </c>
      <c r="AI301" s="24">
        <v>46000.595627303243</v>
      </c>
      <c r="AJ301">
        <v>2</v>
      </c>
      <c r="AK301" s="24"/>
      <c r="AL301" s="24"/>
      <c r="AM301" s="24"/>
      <c r="AN301" s="24"/>
      <c r="AP301" s="24"/>
      <c r="AQ301" s="24"/>
      <c r="AR301" s="24">
        <v>45937.414706875003</v>
      </c>
      <c r="AS301" s="24">
        <v>45937.414706875003</v>
      </c>
      <c r="AX301" s="24"/>
      <c r="AY301" s="24"/>
      <c r="AZ301" s="24"/>
      <c r="BA301" s="24"/>
      <c r="BC301" s="24"/>
      <c r="BD301" s="24"/>
      <c r="BE301" s="24"/>
      <c r="BF301" s="24"/>
      <c r="BH301" s="24">
        <v>45978.360088657406</v>
      </c>
      <c r="BI301" s="24">
        <v>45937.414706875003</v>
      </c>
      <c r="BJ301" s="24">
        <v>45937.414756284721</v>
      </c>
      <c r="BK301" s="24">
        <v>45978.456681365744</v>
      </c>
      <c r="BL301">
        <v>2</v>
      </c>
      <c r="BM301" s="24"/>
      <c r="BN301" s="24"/>
      <c r="BO301" s="24"/>
      <c r="BP301" s="24"/>
      <c r="BR301" s="24">
        <v>46000.595627303243</v>
      </c>
      <c r="BS301" s="24">
        <v>46000.595627303243</v>
      </c>
      <c r="BT301" s="24">
        <v>46000.595665393521</v>
      </c>
      <c r="BU301" s="24">
        <v>46000.595665393521</v>
      </c>
      <c r="BV301">
        <v>1</v>
      </c>
      <c r="BW301" s="24"/>
      <c r="BX301" s="24"/>
      <c r="BY301" s="24"/>
      <c r="BZ301" s="24"/>
      <c r="CB301" s="24"/>
      <c r="CC301" s="24"/>
      <c r="CE301" s="24">
        <v>46000.595665393521</v>
      </c>
      <c r="CF301" s="24">
        <v>46000.595665393521</v>
      </c>
      <c r="CG301">
        <v>1</v>
      </c>
      <c r="CH301" s="24"/>
      <c r="CI301" s="24"/>
      <c r="CJ301" s="24"/>
      <c r="CK301" s="24"/>
      <c r="DE301" s="24"/>
      <c r="DF301" s="24"/>
      <c r="DG301" s="24"/>
      <c r="DH301" s="24"/>
      <c r="DJ301" t="s">
        <v>149</v>
      </c>
      <c r="DK301" t="s">
        <v>149</v>
      </c>
      <c r="DL301">
        <v>24.050397569444446</v>
      </c>
      <c r="DM301">
        <v>64</v>
      </c>
      <c r="DN301">
        <v>64</v>
      </c>
      <c r="DQ301" t="s">
        <v>1000</v>
      </c>
      <c r="DR301" t="s">
        <v>149</v>
      </c>
      <c r="DS301" s="24">
        <v>46160.384426226854</v>
      </c>
    </row>
    <row r="302" spans="1:123" x14ac:dyDescent="0.3">
      <c r="A302" t="s">
        <v>552</v>
      </c>
      <c r="D302" t="s">
        <v>223</v>
      </c>
      <c r="E302" s="24">
        <v>45936.59778935185</v>
      </c>
      <c r="G302" t="s">
        <v>90</v>
      </c>
      <c r="H302" t="s">
        <v>155</v>
      </c>
      <c r="I302" s="24">
        <v>45954.673898194444</v>
      </c>
      <c r="J302" s="24">
        <v>45954.673898194444</v>
      </c>
      <c r="K302" s="24">
        <v>45954.67397866898</v>
      </c>
      <c r="L302" s="24">
        <v>45954.67397866898</v>
      </c>
      <c r="M302">
        <v>1</v>
      </c>
      <c r="N302" s="24"/>
      <c r="O302" s="24"/>
      <c r="P302" s="24"/>
      <c r="Q302" s="24"/>
      <c r="V302" s="24"/>
      <c r="W302" s="24"/>
      <c r="X302" s="24"/>
      <c r="Y302" s="24"/>
      <c r="AA302" s="24">
        <v>45954.674017268517</v>
      </c>
      <c r="AB302" s="24">
        <v>45952.408599872688</v>
      </c>
      <c r="AC302" s="24">
        <v>45954.399939444447</v>
      </c>
      <c r="AD302" s="24">
        <v>45957.683221122687</v>
      </c>
      <c r="AE302">
        <v>2</v>
      </c>
      <c r="AF302" s="24">
        <v>45957.683221122687</v>
      </c>
      <c r="AG302" s="24">
        <v>45957.683221122687</v>
      </c>
      <c r="AH302" s="24">
        <v>45958.457393240744</v>
      </c>
      <c r="AI302" s="24">
        <v>45958.457393240744</v>
      </c>
      <c r="AJ302">
        <v>1</v>
      </c>
      <c r="AK302" s="24"/>
      <c r="AL302" s="24"/>
      <c r="AM302" s="24"/>
      <c r="AN302" s="24"/>
      <c r="AP302" s="24"/>
      <c r="AQ302" s="24"/>
      <c r="AR302" s="24">
        <v>45951.350213425925</v>
      </c>
      <c r="AS302" s="24">
        <v>45951.350213425925</v>
      </c>
      <c r="AX302" s="24"/>
      <c r="AY302" s="24"/>
      <c r="AZ302" s="24"/>
      <c r="BA302" s="24"/>
      <c r="BC302" s="24"/>
      <c r="BD302" s="24"/>
      <c r="BE302" s="24"/>
      <c r="BF302" s="24"/>
      <c r="BH302" s="24">
        <v>45954.67397866898</v>
      </c>
      <c r="BI302" s="24">
        <v>45951.350213425925</v>
      </c>
      <c r="BJ302" s="24">
        <v>45952.408599872688</v>
      </c>
      <c r="BK302" s="24">
        <v>45954.674017268517</v>
      </c>
      <c r="BL302">
        <v>2</v>
      </c>
      <c r="BM302" s="24"/>
      <c r="BN302" s="24"/>
      <c r="BO302" s="24"/>
      <c r="BP302" s="24"/>
      <c r="BR302" s="24">
        <v>45958.457393240744</v>
      </c>
      <c r="BS302" s="24">
        <v>45954.399939444447</v>
      </c>
      <c r="BT302" s="24">
        <v>45954.399981562499</v>
      </c>
      <c r="BU302" s="24">
        <v>45958.458083263889</v>
      </c>
      <c r="BV302">
        <v>2</v>
      </c>
      <c r="BW302" s="24"/>
      <c r="BX302" s="24"/>
      <c r="BY302" s="24"/>
      <c r="BZ302" s="24"/>
      <c r="CB302" s="24"/>
      <c r="CC302" s="24"/>
      <c r="CE302" s="24">
        <v>45958.458083263889</v>
      </c>
      <c r="CF302" s="24">
        <v>45954.399981562499</v>
      </c>
      <c r="CG302">
        <v>2</v>
      </c>
      <c r="CH302" s="24"/>
      <c r="CI302" s="24"/>
      <c r="CJ302" s="24"/>
      <c r="CK302" s="24"/>
      <c r="DE302" s="24"/>
      <c r="DF302" s="24"/>
      <c r="DG302" s="24"/>
      <c r="DH302" s="24"/>
      <c r="DJ302" t="s">
        <v>149</v>
      </c>
      <c r="DK302" t="s">
        <v>149</v>
      </c>
      <c r="DM302">
        <v>8</v>
      </c>
      <c r="DN302">
        <v>7</v>
      </c>
      <c r="DQ302" t="s">
        <v>1000</v>
      </c>
      <c r="DR302" t="s">
        <v>149</v>
      </c>
      <c r="DS302" s="24">
        <v>46160.384426226854</v>
      </c>
    </row>
    <row r="303" spans="1:123" x14ac:dyDescent="0.3">
      <c r="A303" t="s">
        <v>553</v>
      </c>
      <c r="D303" t="s">
        <v>225</v>
      </c>
      <c r="E303" s="24">
        <v>45931.665613425925</v>
      </c>
      <c r="G303" t="s">
        <v>90</v>
      </c>
      <c r="H303" t="s">
        <v>155</v>
      </c>
      <c r="I303" s="24"/>
      <c r="J303" s="24"/>
      <c r="K303" s="24"/>
      <c r="L303" s="24"/>
      <c r="N303" s="24">
        <v>45945.342384780095</v>
      </c>
      <c r="O303" s="24">
        <v>45945.342384780095</v>
      </c>
      <c r="P303" s="24">
        <v>45947.411879513886</v>
      </c>
      <c r="Q303" s="24">
        <v>45947.411879513886</v>
      </c>
      <c r="R303">
        <v>1</v>
      </c>
      <c r="V303" s="24"/>
      <c r="W303" s="24"/>
      <c r="X303" s="24"/>
      <c r="Y303" s="24"/>
      <c r="AA303" s="24">
        <v>45947.411879513886</v>
      </c>
      <c r="AB303" s="24">
        <v>45937.631952638891</v>
      </c>
      <c r="AC303" s="24">
        <v>45945.342384780095</v>
      </c>
      <c r="AD303" s="24">
        <v>45952.480965891205</v>
      </c>
      <c r="AE303">
        <v>2</v>
      </c>
      <c r="AF303" s="24">
        <v>45952.480965891205</v>
      </c>
      <c r="AG303" s="24">
        <v>45952.480965891205</v>
      </c>
      <c r="AH303" s="24">
        <v>45953.714322743057</v>
      </c>
      <c r="AI303" s="24">
        <v>45953.714322743057</v>
      </c>
      <c r="AJ303">
        <v>1</v>
      </c>
      <c r="AK303" s="24">
        <v>45953.714322743057</v>
      </c>
      <c r="AL303" s="24">
        <v>45953.714322743057</v>
      </c>
      <c r="AM303" s="24">
        <v>45954.535736053243</v>
      </c>
      <c r="AN303" s="24">
        <v>45954.535736053243</v>
      </c>
      <c r="AO303">
        <v>1</v>
      </c>
      <c r="AP303" s="24"/>
      <c r="AQ303" s="24"/>
      <c r="AR303" s="24">
        <v>45937.631917615741</v>
      </c>
      <c r="AS303" s="24">
        <v>45937.631917615741</v>
      </c>
      <c r="AX303" s="24"/>
      <c r="AY303" s="24"/>
      <c r="AZ303" s="24"/>
      <c r="BA303" s="24"/>
      <c r="BC303" s="24">
        <v>45954.535848807871</v>
      </c>
      <c r="BD303" s="24">
        <v>45954.535848807871</v>
      </c>
      <c r="BE303" s="24">
        <v>45960.560765416667</v>
      </c>
      <c r="BF303" s="24">
        <v>45960.560765416667</v>
      </c>
      <c r="BG303">
        <v>1</v>
      </c>
      <c r="BH303" s="24">
        <v>45937.631917615741</v>
      </c>
      <c r="BI303" s="24">
        <v>45937.631917615741</v>
      </c>
      <c r="BJ303" s="24">
        <v>45937.631952638891</v>
      </c>
      <c r="BK303" s="24">
        <v>45937.631952638891</v>
      </c>
      <c r="BL303">
        <v>1</v>
      </c>
      <c r="BM303" s="24"/>
      <c r="BN303" s="24"/>
      <c r="BO303" s="24"/>
      <c r="BP303" s="24"/>
      <c r="BR303" s="24">
        <v>45954.535736053243</v>
      </c>
      <c r="BS303" s="24">
        <v>45954.535736053243</v>
      </c>
      <c r="BT303" s="24">
        <v>45954.535848807871</v>
      </c>
      <c r="BU303" s="24">
        <v>45954.535848807871</v>
      </c>
      <c r="BV303">
        <v>1</v>
      </c>
      <c r="BW303" s="24"/>
      <c r="BX303" s="24"/>
      <c r="BY303" s="24"/>
      <c r="BZ303" s="24"/>
      <c r="CB303" s="24"/>
      <c r="CC303" s="24"/>
      <c r="CE303" s="24">
        <v>45960.560765416667</v>
      </c>
      <c r="CF303" s="24">
        <v>45960.560765416667</v>
      </c>
      <c r="CG303">
        <v>1</v>
      </c>
      <c r="CH303" s="24"/>
      <c r="CI303" s="24"/>
      <c r="CJ303" s="24"/>
      <c r="CK303" s="24"/>
      <c r="DE303" s="24"/>
      <c r="DF303" s="24"/>
      <c r="DG303" s="24"/>
      <c r="DH303" s="24"/>
      <c r="DJ303" t="s">
        <v>149</v>
      </c>
      <c r="DK303" t="s">
        <v>149</v>
      </c>
      <c r="DL303">
        <v>2.0694946759259261</v>
      </c>
      <c r="DM303">
        <v>23</v>
      </c>
      <c r="DN303">
        <v>23</v>
      </c>
      <c r="DQ303" t="s">
        <v>1000</v>
      </c>
      <c r="DR303" t="s">
        <v>149</v>
      </c>
      <c r="DS303" s="24">
        <v>46160.384426226854</v>
      </c>
    </row>
    <row r="304" spans="1:123" x14ac:dyDescent="0.3">
      <c r="A304" t="s">
        <v>554</v>
      </c>
      <c r="D304" t="s">
        <v>225</v>
      </c>
      <c r="E304" s="24">
        <v>45930.485451388886</v>
      </c>
      <c r="G304" t="s">
        <v>90</v>
      </c>
      <c r="H304" t="s">
        <v>155</v>
      </c>
      <c r="I304" s="24"/>
      <c r="J304" s="24"/>
      <c r="K304" s="24"/>
      <c r="L304" s="24"/>
      <c r="N304" s="24"/>
      <c r="O304" s="24"/>
      <c r="P304" s="24"/>
      <c r="Q304" s="24"/>
      <c r="V304" s="24"/>
      <c r="W304" s="24"/>
      <c r="X304" s="24"/>
      <c r="Y304" s="24"/>
      <c r="AA304" s="24">
        <v>45959.583960034724</v>
      </c>
      <c r="AB304" s="24">
        <v>45959.583960034724</v>
      </c>
      <c r="AC304" s="24">
        <v>45960.381601134257</v>
      </c>
      <c r="AD304" s="24">
        <v>45960.381601134257</v>
      </c>
      <c r="AE304">
        <v>1</v>
      </c>
      <c r="AF304" s="24">
        <v>45960.381601134257</v>
      </c>
      <c r="AG304" s="24">
        <v>45960.381601134257</v>
      </c>
      <c r="AH304" s="24">
        <v>45964.619321909726</v>
      </c>
      <c r="AI304" s="24">
        <v>45964.619321909726</v>
      </c>
      <c r="AJ304">
        <v>1</v>
      </c>
      <c r="AK304" s="24">
        <v>45964.619321909726</v>
      </c>
      <c r="AL304" s="24">
        <v>45964.619321909726</v>
      </c>
      <c r="AM304" s="24">
        <v>45971.500036886573</v>
      </c>
      <c r="AN304" s="24">
        <v>45971.500036886573</v>
      </c>
      <c r="AO304">
        <v>1</v>
      </c>
      <c r="AP304" s="24"/>
      <c r="AQ304" s="24"/>
      <c r="AR304" s="24">
        <v>45958.49191769676</v>
      </c>
      <c r="AS304" s="24">
        <v>45958.49191769676</v>
      </c>
      <c r="AX304" s="24"/>
      <c r="AY304" s="24"/>
      <c r="AZ304" s="24"/>
      <c r="BA304" s="24"/>
      <c r="BC304" s="24">
        <v>45971.500370497684</v>
      </c>
      <c r="BD304" s="24">
        <v>45971.500370497684</v>
      </c>
      <c r="BE304" s="24">
        <v>45972.380275277777</v>
      </c>
      <c r="BF304" s="24">
        <v>45972.380275277777</v>
      </c>
      <c r="BG304">
        <v>1</v>
      </c>
      <c r="BH304" s="24">
        <v>45958.49191769676</v>
      </c>
      <c r="BI304" s="24">
        <v>45958.49191769676</v>
      </c>
      <c r="BJ304" s="24">
        <v>45959.583960034724</v>
      </c>
      <c r="BK304" s="24">
        <v>45959.583960034724</v>
      </c>
      <c r="BL304">
        <v>1</v>
      </c>
      <c r="BM304" s="24"/>
      <c r="BN304" s="24"/>
      <c r="BO304" s="24"/>
      <c r="BP304" s="24"/>
      <c r="BR304" s="24">
        <v>45971.500036886573</v>
      </c>
      <c r="BS304" s="24">
        <v>45971.500036886573</v>
      </c>
      <c r="BT304" s="24">
        <v>45971.500370497684</v>
      </c>
      <c r="BU304" s="24">
        <v>45971.500370497684</v>
      </c>
      <c r="BV304">
        <v>1</v>
      </c>
      <c r="BW304" s="24"/>
      <c r="BX304" s="24"/>
      <c r="BY304" s="24"/>
      <c r="BZ304" s="24"/>
      <c r="CB304" s="24"/>
      <c r="CC304" s="24"/>
      <c r="CE304" s="24">
        <v>45972.380275277777</v>
      </c>
      <c r="CF304" s="24">
        <v>45972.380275277777</v>
      </c>
      <c r="CG304">
        <v>1</v>
      </c>
      <c r="CH304" s="24"/>
      <c r="CI304" s="24"/>
      <c r="CJ304" s="24"/>
      <c r="CK304" s="24"/>
      <c r="DE304" s="24"/>
      <c r="DF304" s="24"/>
      <c r="DG304" s="24"/>
      <c r="DH304" s="24"/>
      <c r="DJ304" t="s">
        <v>149</v>
      </c>
      <c r="DK304" t="s">
        <v>149</v>
      </c>
      <c r="DM304">
        <v>14</v>
      </c>
      <c r="DN304">
        <v>13</v>
      </c>
      <c r="DQ304" t="s">
        <v>1000</v>
      </c>
      <c r="DR304" t="s">
        <v>149</v>
      </c>
      <c r="DS304" s="24">
        <v>46160.384426226854</v>
      </c>
    </row>
    <row r="305" spans="1:123" x14ac:dyDescent="0.3">
      <c r="A305" t="s">
        <v>555</v>
      </c>
      <c r="D305" t="s">
        <v>223</v>
      </c>
      <c r="E305" s="24">
        <v>45929.439398148148</v>
      </c>
      <c r="G305" t="s">
        <v>90</v>
      </c>
      <c r="H305" t="s">
        <v>155</v>
      </c>
      <c r="I305" s="24"/>
      <c r="J305" s="24"/>
      <c r="K305" s="24"/>
      <c r="L305" s="24"/>
      <c r="N305" s="24"/>
      <c r="O305" s="24"/>
      <c r="P305" s="24"/>
      <c r="Q305" s="24"/>
      <c r="V305" s="24"/>
      <c r="W305" s="24"/>
      <c r="X305" s="24"/>
      <c r="Y305" s="24"/>
      <c r="AA305" s="24">
        <v>45937.607989398151</v>
      </c>
      <c r="AB305" s="24">
        <v>45937.607989398151</v>
      </c>
      <c r="AC305" s="24">
        <v>45939.727580625004</v>
      </c>
      <c r="AD305" s="24">
        <v>45939.727580625004</v>
      </c>
      <c r="AE305">
        <v>1</v>
      </c>
      <c r="AF305" s="24">
        <v>45939.727580625004</v>
      </c>
      <c r="AG305" s="24">
        <v>45939.727580625004</v>
      </c>
      <c r="AH305" s="24">
        <v>45939.727617951386</v>
      </c>
      <c r="AI305" s="24">
        <v>45939.727617951386</v>
      </c>
      <c r="AJ305">
        <v>1</v>
      </c>
      <c r="AK305" s="24"/>
      <c r="AL305" s="24"/>
      <c r="AM305" s="24"/>
      <c r="AN305" s="24"/>
      <c r="AP305" s="24"/>
      <c r="AQ305" s="24"/>
      <c r="AR305" s="24">
        <v>45930.478194699077</v>
      </c>
      <c r="AS305" s="24">
        <v>45930.478194699077</v>
      </c>
      <c r="AX305" s="24"/>
      <c r="AY305" s="24"/>
      <c r="AZ305" s="24"/>
      <c r="BA305" s="24"/>
      <c r="BC305" s="24"/>
      <c r="BD305" s="24"/>
      <c r="BE305" s="24"/>
      <c r="BF305" s="24"/>
      <c r="BH305" s="24">
        <v>45930.478194699077</v>
      </c>
      <c r="BI305" s="24">
        <v>45930.478194699077</v>
      </c>
      <c r="BJ305" s="24">
        <v>45937.607989398151</v>
      </c>
      <c r="BK305" s="24">
        <v>45937.607989398151</v>
      </c>
      <c r="BL305">
        <v>1</v>
      </c>
      <c r="BM305" s="24"/>
      <c r="BN305" s="24"/>
      <c r="BO305" s="24"/>
      <c r="BP305" s="24"/>
      <c r="BR305" s="24">
        <v>45939.727617951386</v>
      </c>
      <c r="BS305" s="24">
        <v>45939.727617951386</v>
      </c>
      <c r="BT305" s="24">
        <v>45940.404511967594</v>
      </c>
      <c r="BU305" s="24">
        <v>45940.404511967594</v>
      </c>
      <c r="BV305">
        <v>1</v>
      </c>
      <c r="BW305" s="24"/>
      <c r="BX305" s="24"/>
      <c r="BY305" s="24"/>
      <c r="BZ305" s="24"/>
      <c r="CB305" s="24"/>
      <c r="CC305" s="24"/>
      <c r="CE305" s="24">
        <v>45940.404511967594</v>
      </c>
      <c r="CF305" s="24">
        <v>45940.404511967594</v>
      </c>
      <c r="CG305">
        <v>1</v>
      </c>
      <c r="CH305" s="24"/>
      <c r="CI305" s="24"/>
      <c r="CJ305" s="24"/>
      <c r="CK305" s="24"/>
      <c r="DE305" s="24"/>
      <c r="DF305" s="24"/>
      <c r="DG305" s="24"/>
      <c r="DH305" s="24"/>
      <c r="DJ305" t="s">
        <v>149</v>
      </c>
      <c r="DK305" t="s">
        <v>149</v>
      </c>
      <c r="DM305">
        <v>10</v>
      </c>
      <c r="DN305">
        <v>3</v>
      </c>
      <c r="DQ305" t="s">
        <v>1000</v>
      </c>
      <c r="DR305" t="s">
        <v>149</v>
      </c>
      <c r="DS305" s="24">
        <v>46160.384426226854</v>
      </c>
    </row>
    <row r="306" spans="1:123" x14ac:dyDescent="0.3">
      <c r="A306" t="s">
        <v>556</v>
      </c>
      <c r="D306" t="s">
        <v>223</v>
      </c>
      <c r="E306" s="24">
        <v>45929.436122685183</v>
      </c>
      <c r="G306" t="s">
        <v>90</v>
      </c>
      <c r="H306" t="s">
        <v>155</v>
      </c>
      <c r="I306" s="24"/>
      <c r="J306" s="24"/>
      <c r="K306" s="24"/>
      <c r="L306" s="24"/>
      <c r="N306" s="24">
        <v>45930.480820763885</v>
      </c>
      <c r="O306" s="24">
        <v>45930.480820763885</v>
      </c>
      <c r="P306" s="24">
        <v>45937.479782731483</v>
      </c>
      <c r="Q306" s="24">
        <v>45937.479782731483</v>
      </c>
      <c r="R306">
        <v>1</v>
      </c>
      <c r="V306" s="24"/>
      <c r="W306" s="24"/>
      <c r="X306" s="24"/>
      <c r="Y306" s="24"/>
      <c r="AA306" s="24">
        <v>45937.479782731483</v>
      </c>
      <c r="AB306" s="24">
        <v>45930.480464687498</v>
      </c>
      <c r="AC306" s="24">
        <v>45930.480820763885</v>
      </c>
      <c r="AD306" s="24">
        <v>45939.62657778935</v>
      </c>
      <c r="AE306">
        <v>2</v>
      </c>
      <c r="AF306" s="24"/>
      <c r="AG306" s="24"/>
      <c r="AH306" s="24"/>
      <c r="AI306" s="24"/>
      <c r="AK306" s="24"/>
      <c r="AL306" s="24"/>
      <c r="AM306" s="24"/>
      <c r="AN306" s="24"/>
      <c r="AP306" s="24"/>
      <c r="AQ306" s="24"/>
      <c r="AR306" s="24">
        <v>45930.478046504628</v>
      </c>
      <c r="AS306" s="24">
        <v>45930.478046504628</v>
      </c>
      <c r="AX306" s="24"/>
      <c r="AY306" s="24"/>
      <c r="AZ306" s="24"/>
      <c r="BA306" s="24"/>
      <c r="BC306" s="24"/>
      <c r="BD306" s="24"/>
      <c r="BE306" s="24"/>
      <c r="BF306" s="24"/>
      <c r="BH306" s="24">
        <v>45930.478046504628</v>
      </c>
      <c r="BI306" s="24">
        <v>45930.478046504628</v>
      </c>
      <c r="BJ306" s="24">
        <v>45930.480464687498</v>
      </c>
      <c r="BK306" s="24">
        <v>45930.480464687498</v>
      </c>
      <c r="BL306">
        <v>1</v>
      </c>
      <c r="BM306" s="24"/>
      <c r="BN306" s="24"/>
      <c r="BO306" s="24"/>
      <c r="BP306" s="24"/>
      <c r="BR306" s="24">
        <v>45939.62657778935</v>
      </c>
      <c r="BS306" s="24">
        <v>45939.62657778935</v>
      </c>
      <c r="BT306" s="24">
        <v>45939.626770868053</v>
      </c>
      <c r="BU306" s="24">
        <v>45939.626770868053</v>
      </c>
      <c r="BV306">
        <v>1</v>
      </c>
      <c r="BW306" s="24"/>
      <c r="BX306" s="24"/>
      <c r="BY306" s="24"/>
      <c r="BZ306" s="24"/>
      <c r="CB306" s="24"/>
      <c r="CC306" s="24"/>
      <c r="CE306" s="24">
        <v>45939.626770868053</v>
      </c>
      <c r="CF306" s="24">
        <v>45939.626770868053</v>
      </c>
      <c r="CG306">
        <v>1</v>
      </c>
      <c r="CH306" s="24"/>
      <c r="CI306" s="24"/>
      <c r="CJ306" s="24"/>
      <c r="CK306" s="24"/>
      <c r="DE306" s="24"/>
      <c r="DF306" s="24"/>
      <c r="DG306" s="24"/>
      <c r="DH306" s="24"/>
      <c r="DJ306" t="s">
        <v>149</v>
      </c>
      <c r="DK306" t="s">
        <v>149</v>
      </c>
      <c r="DL306">
        <v>6.9989619212962966</v>
      </c>
      <c r="DM306">
        <v>10</v>
      </c>
      <c r="DN306">
        <v>10</v>
      </c>
      <c r="DQ306" t="s">
        <v>1000</v>
      </c>
      <c r="DR306" t="s">
        <v>149</v>
      </c>
      <c r="DS306" s="24">
        <v>46160.384426226854</v>
      </c>
    </row>
    <row r="307" spans="1:123" x14ac:dyDescent="0.3">
      <c r="A307" t="s">
        <v>557</v>
      </c>
      <c r="D307" t="s">
        <v>223</v>
      </c>
      <c r="E307" s="24">
        <v>45929.415532407409</v>
      </c>
      <c r="G307" t="s">
        <v>150</v>
      </c>
      <c r="H307" t="s">
        <v>155</v>
      </c>
      <c r="I307" s="24"/>
      <c r="J307" s="24"/>
      <c r="K307" s="24"/>
      <c r="L307" s="24"/>
      <c r="N307" s="24"/>
      <c r="O307" s="24"/>
      <c r="P307" s="24"/>
      <c r="Q307" s="24"/>
      <c r="V307" s="24"/>
      <c r="W307" s="24"/>
      <c r="X307" s="24"/>
      <c r="Y307" s="24"/>
      <c r="AA307" s="24"/>
      <c r="AB307" s="24"/>
      <c r="AC307" s="24"/>
      <c r="AD307" s="24"/>
      <c r="AF307" s="24"/>
      <c r="AG307" s="24"/>
      <c r="AH307" s="24"/>
      <c r="AI307" s="24"/>
      <c r="AK307" s="24"/>
      <c r="AL307" s="24"/>
      <c r="AM307" s="24"/>
      <c r="AN307" s="24"/>
      <c r="AP307" s="24"/>
      <c r="AQ307" s="24"/>
      <c r="AR307" s="24">
        <v>45995.57122834491</v>
      </c>
      <c r="AS307" s="24">
        <v>45995.57122834491</v>
      </c>
      <c r="AX307" s="24"/>
      <c r="AY307" s="24"/>
      <c r="AZ307" s="24"/>
      <c r="BA307" s="24"/>
      <c r="BC307" s="24"/>
      <c r="BD307" s="24"/>
      <c r="BE307" s="24"/>
      <c r="BF307" s="24"/>
      <c r="BH307" s="24"/>
      <c r="BI307" s="24"/>
      <c r="BJ307" s="24"/>
      <c r="BK307" s="24"/>
      <c r="BM307" s="24"/>
      <c r="BN307" s="24"/>
      <c r="BO307" s="24"/>
      <c r="BP307" s="24"/>
      <c r="BR307" s="24"/>
      <c r="BS307" s="24"/>
      <c r="BT307" s="24"/>
      <c r="BU307" s="24"/>
      <c r="BW307" s="24"/>
      <c r="BX307" s="24"/>
      <c r="BY307" s="24"/>
      <c r="BZ307" s="24"/>
      <c r="CB307" s="24">
        <v>45995.57122834491</v>
      </c>
      <c r="CC307" s="24">
        <v>45995.57122834491</v>
      </c>
      <c r="CD307">
        <v>1</v>
      </c>
      <c r="CE307" s="24"/>
      <c r="CF307" s="24"/>
      <c r="CH307" s="24"/>
      <c r="CI307" s="24"/>
      <c r="CJ307" s="24"/>
      <c r="CK307" s="24"/>
      <c r="DE307" s="24"/>
      <c r="DF307" s="24"/>
      <c r="DG307" s="24"/>
      <c r="DH307" s="24"/>
      <c r="DJ307" t="s">
        <v>149</v>
      </c>
      <c r="DK307" t="s">
        <v>149</v>
      </c>
      <c r="DQ307" t="s">
        <v>1000</v>
      </c>
      <c r="DR307" t="s">
        <v>149</v>
      </c>
      <c r="DS307" s="24">
        <v>46160.384426226854</v>
      </c>
    </row>
    <row r="308" spans="1:123" x14ac:dyDescent="0.3">
      <c r="A308" t="s">
        <v>558</v>
      </c>
      <c r="D308" t="s">
        <v>223</v>
      </c>
      <c r="E308" s="24">
        <v>45929.348298611112</v>
      </c>
      <c r="G308" t="s">
        <v>90</v>
      </c>
      <c r="H308" t="s">
        <v>155</v>
      </c>
      <c r="I308" s="24"/>
      <c r="J308" s="24"/>
      <c r="K308" s="24"/>
      <c r="L308" s="24"/>
      <c r="N308" s="24"/>
      <c r="O308" s="24"/>
      <c r="P308" s="24"/>
      <c r="Q308" s="24"/>
      <c r="V308" s="24"/>
      <c r="W308" s="24"/>
      <c r="X308" s="24"/>
      <c r="Y308" s="24"/>
      <c r="AA308" s="24">
        <v>45931.399257268517</v>
      </c>
      <c r="AB308" s="24">
        <v>45931.399257268517</v>
      </c>
      <c r="AC308" s="24">
        <v>45940.407364236111</v>
      </c>
      <c r="AD308" s="24">
        <v>45940.407364236111</v>
      </c>
      <c r="AE308">
        <v>1</v>
      </c>
      <c r="AF308" s="24"/>
      <c r="AG308" s="24"/>
      <c r="AH308" s="24"/>
      <c r="AI308" s="24"/>
      <c r="AK308" s="24"/>
      <c r="AL308" s="24"/>
      <c r="AM308" s="24"/>
      <c r="AN308" s="24"/>
      <c r="AP308" s="24"/>
      <c r="AQ308" s="24"/>
      <c r="AR308" s="24">
        <v>45929.349319560184</v>
      </c>
      <c r="AS308" s="24">
        <v>45929.349319560184</v>
      </c>
      <c r="AX308" s="24"/>
      <c r="AY308" s="24"/>
      <c r="AZ308" s="24"/>
      <c r="BA308" s="24"/>
      <c r="BC308" s="24"/>
      <c r="BD308" s="24"/>
      <c r="BE308" s="24"/>
      <c r="BF308" s="24"/>
      <c r="BH308" s="24">
        <v>45929.349319560184</v>
      </c>
      <c r="BI308" s="24">
        <v>45929.349319560184</v>
      </c>
      <c r="BJ308" s="24">
        <v>45931.399257268517</v>
      </c>
      <c r="BK308" s="24">
        <v>45931.399257268517</v>
      </c>
      <c r="BL308">
        <v>1</v>
      </c>
      <c r="BM308" s="24"/>
      <c r="BN308" s="24"/>
      <c r="BO308" s="24"/>
      <c r="BP308" s="24"/>
      <c r="BR308" s="24"/>
      <c r="BS308" s="24"/>
      <c r="BT308" s="24"/>
      <c r="BU308" s="24"/>
      <c r="BW308" s="24"/>
      <c r="BX308" s="24"/>
      <c r="BY308" s="24"/>
      <c r="BZ308" s="24"/>
      <c r="CB308" s="24"/>
      <c r="CC308" s="24"/>
      <c r="CE308" s="24">
        <v>45940.407364236111</v>
      </c>
      <c r="CF308" s="24">
        <v>45940.407364236111</v>
      </c>
      <c r="CG308">
        <v>1</v>
      </c>
      <c r="CH308" s="24"/>
      <c r="CI308" s="24"/>
      <c r="CJ308" s="24"/>
      <c r="CK308" s="24"/>
      <c r="DE308" s="24"/>
      <c r="DF308" s="24"/>
      <c r="DG308" s="24"/>
      <c r="DH308" s="24"/>
      <c r="DJ308" t="s">
        <v>149</v>
      </c>
      <c r="DK308" t="s">
        <v>149</v>
      </c>
      <c r="DM308">
        <v>12</v>
      </c>
      <c r="DN308">
        <v>10</v>
      </c>
      <c r="DQ308" t="s">
        <v>1000</v>
      </c>
      <c r="DR308" t="s">
        <v>149</v>
      </c>
      <c r="DS308" s="24">
        <v>46160.384426226854</v>
      </c>
    </row>
    <row r="309" spans="1:123" x14ac:dyDescent="0.3">
      <c r="A309" t="s">
        <v>559</v>
      </c>
      <c r="D309" t="s">
        <v>223</v>
      </c>
      <c r="E309" s="24">
        <v>45926.599560185183</v>
      </c>
      <c r="G309" t="s">
        <v>90</v>
      </c>
      <c r="H309" t="s">
        <v>155</v>
      </c>
      <c r="I309" s="24"/>
      <c r="J309" s="24"/>
      <c r="K309" s="24"/>
      <c r="L309" s="24"/>
      <c r="N309" s="24"/>
      <c r="O309" s="24"/>
      <c r="P309" s="24"/>
      <c r="Q309" s="24"/>
      <c r="V309" s="24"/>
      <c r="W309" s="24"/>
      <c r="X309" s="24"/>
      <c r="Y309" s="24"/>
      <c r="AA309" s="24">
        <v>45939.460214930557</v>
      </c>
      <c r="AB309" s="24">
        <v>45939.460214930557</v>
      </c>
      <c r="AC309" s="24">
        <v>45940.411474606481</v>
      </c>
      <c r="AD309" s="24">
        <v>45940.411474606481</v>
      </c>
      <c r="AE309">
        <v>1</v>
      </c>
      <c r="AF309" s="24"/>
      <c r="AG309" s="24"/>
      <c r="AH309" s="24"/>
      <c r="AI309" s="24"/>
      <c r="AK309" s="24"/>
      <c r="AL309" s="24"/>
      <c r="AM309" s="24"/>
      <c r="AN309" s="24"/>
      <c r="AP309" s="24"/>
      <c r="AQ309" s="24"/>
      <c r="AR309" s="24">
        <v>45930.48274738426</v>
      </c>
      <c r="AS309" s="24">
        <v>45930.48274738426</v>
      </c>
      <c r="AX309" s="24"/>
      <c r="AY309" s="24"/>
      <c r="AZ309" s="24"/>
      <c r="BA309" s="24"/>
      <c r="BC309" s="24"/>
      <c r="BD309" s="24"/>
      <c r="BE309" s="24"/>
      <c r="BF309" s="24"/>
      <c r="BH309" s="24">
        <v>45930.48274738426</v>
      </c>
      <c r="BI309" s="24">
        <v>45930.48274738426</v>
      </c>
      <c r="BJ309" s="24">
        <v>45939.460214930557</v>
      </c>
      <c r="BK309" s="24">
        <v>45939.460214930557</v>
      </c>
      <c r="BL309">
        <v>1</v>
      </c>
      <c r="BM309" s="24"/>
      <c r="BN309" s="24"/>
      <c r="BO309" s="24"/>
      <c r="BP309" s="24"/>
      <c r="BR309" s="24">
        <v>45940.411474606481</v>
      </c>
      <c r="BS309" s="24">
        <v>45940.411474606481</v>
      </c>
      <c r="BT309" s="24">
        <v>45940.417496261573</v>
      </c>
      <c r="BU309" s="24">
        <v>45940.417496261573</v>
      </c>
      <c r="BV309">
        <v>1</v>
      </c>
      <c r="BW309" s="24"/>
      <c r="BX309" s="24"/>
      <c r="BY309" s="24"/>
      <c r="BZ309" s="24"/>
      <c r="CB309" s="24"/>
      <c r="CC309" s="24"/>
      <c r="CE309" s="24">
        <v>45940.417496261573</v>
      </c>
      <c r="CF309" s="24">
        <v>45940.417496261573</v>
      </c>
      <c r="CG309">
        <v>1</v>
      </c>
      <c r="CH309" s="24"/>
      <c r="CI309" s="24"/>
      <c r="CJ309" s="24"/>
      <c r="CK309" s="24"/>
      <c r="DE309" s="24"/>
      <c r="DF309" s="24"/>
      <c r="DG309" s="24"/>
      <c r="DH309" s="24"/>
      <c r="DJ309" t="s">
        <v>149</v>
      </c>
      <c r="DK309" t="s">
        <v>149</v>
      </c>
      <c r="DM309">
        <v>10</v>
      </c>
      <c r="DN309">
        <v>1</v>
      </c>
      <c r="DQ309" t="s">
        <v>1000</v>
      </c>
      <c r="DR309" t="s">
        <v>149</v>
      </c>
      <c r="DS309" s="24">
        <v>46160.384426226854</v>
      </c>
    </row>
    <row r="310" spans="1:123" x14ac:dyDescent="0.3">
      <c r="A310" t="s">
        <v>560</v>
      </c>
      <c r="D310" t="s">
        <v>223</v>
      </c>
      <c r="E310" s="24">
        <v>45924.636921296296</v>
      </c>
      <c r="G310" t="s">
        <v>90</v>
      </c>
      <c r="H310" t="s">
        <v>155</v>
      </c>
      <c r="I310" s="24"/>
      <c r="J310" s="24"/>
      <c r="K310" s="24"/>
      <c r="L310" s="24"/>
      <c r="N310" s="24"/>
      <c r="O310" s="24"/>
      <c r="P310" s="24"/>
      <c r="Q310" s="24"/>
      <c r="V310" s="24"/>
      <c r="W310" s="24"/>
      <c r="X310" s="24"/>
      <c r="Y310" s="24"/>
      <c r="AA310" s="24">
        <v>45952.694641828704</v>
      </c>
      <c r="AB310" s="24">
        <v>45952.694641828704</v>
      </c>
      <c r="AC310" s="24">
        <v>45958.459457280092</v>
      </c>
      <c r="AD310" s="24">
        <v>45958.459457280092</v>
      </c>
      <c r="AE310">
        <v>1</v>
      </c>
      <c r="AF310" s="24"/>
      <c r="AG310" s="24"/>
      <c r="AH310" s="24"/>
      <c r="AI310" s="24"/>
      <c r="AK310" s="24"/>
      <c r="AL310" s="24"/>
      <c r="AM310" s="24"/>
      <c r="AN310" s="24"/>
      <c r="AP310" s="24"/>
      <c r="AQ310" s="24"/>
      <c r="AR310" s="24">
        <v>45952.691835405094</v>
      </c>
      <c r="AS310" s="24">
        <v>45952.691835405094</v>
      </c>
      <c r="AX310" s="24"/>
      <c r="AY310" s="24"/>
      <c r="AZ310" s="24"/>
      <c r="BA310" s="24"/>
      <c r="BC310" s="24"/>
      <c r="BD310" s="24"/>
      <c r="BE310" s="24"/>
      <c r="BF310" s="24"/>
      <c r="BH310" s="24">
        <v>45952.691835405094</v>
      </c>
      <c r="BI310" s="24">
        <v>45952.691835405094</v>
      </c>
      <c r="BJ310" s="24">
        <v>45952.694641828704</v>
      </c>
      <c r="BK310" s="24">
        <v>45952.694641828704</v>
      </c>
      <c r="BL310">
        <v>1</v>
      </c>
      <c r="BM310" s="24"/>
      <c r="BN310" s="24"/>
      <c r="BO310" s="24"/>
      <c r="BP310" s="24"/>
      <c r="BR310" s="24"/>
      <c r="BS310" s="24"/>
      <c r="BT310" s="24"/>
      <c r="BU310" s="24"/>
      <c r="BW310" s="24"/>
      <c r="BX310" s="24"/>
      <c r="BY310" s="24"/>
      <c r="BZ310" s="24"/>
      <c r="CB310" s="24"/>
      <c r="CC310" s="24"/>
      <c r="CE310" s="24">
        <v>45958.459457280092</v>
      </c>
      <c r="CF310" s="24">
        <v>45958.459457280092</v>
      </c>
      <c r="CG310">
        <v>1</v>
      </c>
      <c r="CH310" s="24"/>
      <c r="CI310" s="24"/>
      <c r="CJ310" s="24"/>
      <c r="CK310" s="24"/>
      <c r="DE310" s="24"/>
      <c r="DF310" s="24"/>
      <c r="DG310" s="24"/>
      <c r="DH310" s="24"/>
      <c r="DJ310" t="s">
        <v>149</v>
      </c>
      <c r="DK310" t="s">
        <v>149</v>
      </c>
      <c r="DM310">
        <v>6</v>
      </c>
      <c r="DN310">
        <v>6</v>
      </c>
      <c r="DQ310" t="s">
        <v>1000</v>
      </c>
      <c r="DR310" t="s">
        <v>149</v>
      </c>
      <c r="DS310" s="24">
        <v>46160.384426226854</v>
      </c>
    </row>
    <row r="311" spans="1:123" x14ac:dyDescent="0.3">
      <c r="A311" t="s">
        <v>561</v>
      </c>
      <c r="D311" t="s">
        <v>225</v>
      </c>
      <c r="E311" s="24">
        <v>45924.594872685186</v>
      </c>
      <c r="G311" t="s">
        <v>90</v>
      </c>
      <c r="H311" t="s">
        <v>155</v>
      </c>
      <c r="I311" s="24"/>
      <c r="J311" s="24"/>
      <c r="K311" s="24"/>
      <c r="L311" s="24"/>
      <c r="N311" s="24"/>
      <c r="O311" s="24"/>
      <c r="P311" s="24"/>
      <c r="Q311" s="24"/>
      <c r="V311" s="24"/>
      <c r="W311" s="24"/>
      <c r="X311" s="24"/>
      <c r="Y311" s="24"/>
      <c r="AA311" s="24">
        <v>45930.524730590281</v>
      </c>
      <c r="AB311" s="24">
        <v>45930.524730590281</v>
      </c>
      <c r="AC311" s="24">
        <v>45936.367111446758</v>
      </c>
      <c r="AD311" s="24">
        <v>45936.367111446758</v>
      </c>
      <c r="AE311">
        <v>1</v>
      </c>
      <c r="AF311" s="24">
        <v>45936.367111446758</v>
      </c>
      <c r="AG311" s="24">
        <v>45936.367111446758</v>
      </c>
      <c r="AH311" s="24">
        <v>45936.36769939815</v>
      </c>
      <c r="AI311" s="24">
        <v>45936.36769939815</v>
      </c>
      <c r="AJ311">
        <v>1</v>
      </c>
      <c r="AK311" s="24">
        <v>45940.583421203701</v>
      </c>
      <c r="AL311" s="24">
        <v>45936.36769939815</v>
      </c>
      <c r="AM311" s="24">
        <v>45936.544299675923</v>
      </c>
      <c r="AN311" s="24">
        <v>45943.381563993054</v>
      </c>
      <c r="AO311">
        <v>2</v>
      </c>
      <c r="AP311" s="24"/>
      <c r="AQ311" s="24"/>
      <c r="AR311" s="24">
        <v>45930.524703113428</v>
      </c>
      <c r="AS311" s="24">
        <v>45930.524703113428</v>
      </c>
      <c r="AX311" s="24"/>
      <c r="AY311" s="24"/>
      <c r="AZ311" s="24"/>
      <c r="BA311" s="24"/>
      <c r="BC311" s="24">
        <v>45943.381617812498</v>
      </c>
      <c r="BD311" s="24">
        <v>45936.544482557867</v>
      </c>
      <c r="BE311" s="24">
        <v>45940.583232118057</v>
      </c>
      <c r="BF311" s="24">
        <v>45947.628681076392</v>
      </c>
      <c r="BG311">
        <v>2</v>
      </c>
      <c r="BH311" s="24">
        <v>45930.524703113428</v>
      </c>
      <c r="BI311" s="24">
        <v>45930.524703113428</v>
      </c>
      <c r="BJ311" s="24">
        <v>45930.524730590281</v>
      </c>
      <c r="BK311" s="24">
        <v>45930.524730590281</v>
      </c>
      <c r="BL311">
        <v>1</v>
      </c>
      <c r="BM311" s="24"/>
      <c r="BN311" s="24"/>
      <c r="BO311" s="24"/>
      <c r="BP311" s="24"/>
      <c r="BR311" s="24">
        <v>45943.381563993054</v>
      </c>
      <c r="BS311" s="24">
        <v>45936.544299675923</v>
      </c>
      <c r="BT311" s="24">
        <v>45936.544482557867</v>
      </c>
      <c r="BU311" s="24">
        <v>45943.381617812498</v>
      </c>
      <c r="BV311">
        <v>3</v>
      </c>
      <c r="BW311" s="24"/>
      <c r="BX311" s="24"/>
      <c r="BY311" s="24"/>
      <c r="BZ311" s="24"/>
      <c r="CB311" s="24"/>
      <c r="CC311" s="24"/>
      <c r="CE311" s="24">
        <v>45947.628681076392</v>
      </c>
      <c r="CF311" s="24">
        <v>45947.628681076392</v>
      </c>
      <c r="CG311">
        <v>1</v>
      </c>
      <c r="CH311" s="24"/>
      <c r="CI311" s="24"/>
      <c r="CJ311" s="24"/>
      <c r="CK311" s="24"/>
      <c r="DE311" s="24"/>
      <c r="DF311" s="24"/>
      <c r="DG311" s="24"/>
      <c r="DH311" s="24"/>
      <c r="DJ311" t="s">
        <v>149</v>
      </c>
      <c r="DK311" t="s">
        <v>149</v>
      </c>
      <c r="DM311">
        <v>18</v>
      </c>
      <c r="DN311">
        <v>18</v>
      </c>
      <c r="DQ311" t="s">
        <v>1000</v>
      </c>
      <c r="DR311" t="s">
        <v>149</v>
      </c>
      <c r="DS311" s="24">
        <v>46160.384426226854</v>
      </c>
    </row>
    <row r="312" spans="1:123" x14ac:dyDescent="0.3">
      <c r="A312" t="s">
        <v>562</v>
      </c>
      <c r="D312" t="s">
        <v>223</v>
      </c>
      <c r="E312" s="24">
        <v>45924.421006944445</v>
      </c>
      <c r="G312" t="s">
        <v>90</v>
      </c>
      <c r="H312" t="s">
        <v>155</v>
      </c>
      <c r="I312" s="24"/>
      <c r="J312" s="24"/>
      <c r="K312" s="24"/>
      <c r="L312" s="24"/>
      <c r="N312" s="24"/>
      <c r="O312" s="24"/>
      <c r="P312" s="24"/>
      <c r="Q312" s="24"/>
      <c r="V312" s="24"/>
      <c r="W312" s="24"/>
      <c r="X312" s="24"/>
      <c r="Y312" s="24"/>
      <c r="AA312" s="24">
        <v>45924.422148356483</v>
      </c>
      <c r="AB312" s="24">
        <v>45924.422148356483</v>
      </c>
      <c r="AC312" s="24">
        <v>45924.422264363428</v>
      </c>
      <c r="AD312" s="24">
        <v>45924.422264363428</v>
      </c>
      <c r="AE312">
        <v>1</v>
      </c>
      <c r="AF312" s="24"/>
      <c r="AG312" s="24"/>
      <c r="AH312" s="24"/>
      <c r="AI312" s="24"/>
      <c r="AK312" s="24"/>
      <c r="AL312" s="24"/>
      <c r="AM312" s="24"/>
      <c r="AN312" s="24"/>
      <c r="AP312" s="24"/>
      <c r="AQ312" s="24"/>
      <c r="AR312" s="24">
        <v>45924.42168122685</v>
      </c>
      <c r="AS312" s="24">
        <v>45924.42168122685</v>
      </c>
      <c r="AX312" s="24"/>
      <c r="AY312" s="24"/>
      <c r="AZ312" s="24"/>
      <c r="BA312" s="24"/>
      <c r="BC312" s="24"/>
      <c r="BD312" s="24"/>
      <c r="BE312" s="24"/>
      <c r="BF312" s="24"/>
      <c r="BH312" s="24">
        <v>45924.42168122685</v>
      </c>
      <c r="BI312" s="24">
        <v>45924.42168122685</v>
      </c>
      <c r="BJ312" s="24">
        <v>45924.422148356483</v>
      </c>
      <c r="BK312" s="24">
        <v>45924.422148356483</v>
      </c>
      <c r="BL312">
        <v>1</v>
      </c>
      <c r="BM312" s="24"/>
      <c r="BN312" s="24"/>
      <c r="BO312" s="24"/>
      <c r="BP312" s="24"/>
      <c r="BR312" s="24"/>
      <c r="BS312" s="24"/>
      <c r="BT312" s="24"/>
      <c r="BU312" s="24"/>
      <c r="BW312" s="24"/>
      <c r="BX312" s="24"/>
      <c r="BY312" s="24"/>
      <c r="BZ312" s="24"/>
      <c r="CB312" s="24"/>
      <c r="CC312" s="24"/>
      <c r="CE312" s="24">
        <v>45924.422264363428</v>
      </c>
      <c r="CF312" s="24">
        <v>45924.422264363428</v>
      </c>
      <c r="CG312">
        <v>1</v>
      </c>
      <c r="CH312" s="24"/>
      <c r="CI312" s="24"/>
      <c r="CJ312" s="24"/>
      <c r="CK312" s="24"/>
      <c r="DE312" s="24"/>
      <c r="DF312" s="24"/>
      <c r="DG312" s="24"/>
      <c r="DH312" s="24"/>
      <c r="DJ312" t="s">
        <v>149</v>
      </c>
      <c r="DK312" t="s">
        <v>149</v>
      </c>
      <c r="DM312">
        <v>1</v>
      </c>
      <c r="DN312">
        <v>1</v>
      </c>
      <c r="DQ312" t="s">
        <v>1000</v>
      </c>
      <c r="DR312" t="s">
        <v>149</v>
      </c>
      <c r="DS312" s="24">
        <v>46160.384426226854</v>
      </c>
    </row>
    <row r="313" spans="1:123" x14ac:dyDescent="0.3">
      <c r="A313" t="s">
        <v>563</v>
      </c>
      <c r="D313" t="s">
        <v>223</v>
      </c>
      <c r="E313" s="24">
        <v>45919.497442129628</v>
      </c>
      <c r="G313" t="s">
        <v>90</v>
      </c>
      <c r="H313" t="s">
        <v>155</v>
      </c>
      <c r="I313" s="24"/>
      <c r="J313" s="24"/>
      <c r="K313" s="24"/>
      <c r="L313" s="24"/>
      <c r="N313" s="24"/>
      <c r="O313" s="24"/>
      <c r="P313" s="24"/>
      <c r="Q313" s="24"/>
      <c r="V313" s="24"/>
      <c r="W313" s="24"/>
      <c r="X313" s="24"/>
      <c r="Y313" s="24"/>
      <c r="AA313" s="24">
        <v>45931.397215509256</v>
      </c>
      <c r="AB313" s="24">
        <v>45931.397215509256</v>
      </c>
      <c r="AC313" s="24">
        <v>45931.733328958333</v>
      </c>
      <c r="AD313" s="24">
        <v>45931.733328958333</v>
      </c>
      <c r="AE313">
        <v>1</v>
      </c>
      <c r="AF313" s="24">
        <v>45931.733328958333</v>
      </c>
      <c r="AG313" s="24">
        <v>45931.733328958333</v>
      </c>
      <c r="AH313" s="24">
        <v>45937.402392777774</v>
      </c>
      <c r="AI313" s="24">
        <v>45937.402392777774</v>
      </c>
      <c r="AJ313">
        <v>1</v>
      </c>
      <c r="AK313" s="24"/>
      <c r="AL313" s="24"/>
      <c r="AM313" s="24"/>
      <c r="AN313" s="24"/>
      <c r="AP313" s="24"/>
      <c r="AQ313" s="24"/>
      <c r="AR313" s="24">
        <v>45930.482315671296</v>
      </c>
      <c r="AS313" s="24">
        <v>45930.482315671296</v>
      </c>
      <c r="AX313" s="24"/>
      <c r="AY313" s="24"/>
      <c r="AZ313" s="24"/>
      <c r="BA313" s="24"/>
      <c r="BC313" s="24"/>
      <c r="BD313" s="24"/>
      <c r="BE313" s="24"/>
      <c r="BF313" s="24"/>
      <c r="BH313" s="24">
        <v>45930.482315671296</v>
      </c>
      <c r="BI313" s="24">
        <v>45930.482315671296</v>
      </c>
      <c r="BJ313" s="24">
        <v>45931.397215509256</v>
      </c>
      <c r="BK313" s="24">
        <v>45931.397215509256</v>
      </c>
      <c r="BL313">
        <v>1</v>
      </c>
      <c r="BM313" s="24"/>
      <c r="BN313" s="24"/>
      <c r="BO313" s="24"/>
      <c r="BP313" s="24"/>
      <c r="BR313" s="24"/>
      <c r="BS313" s="24"/>
      <c r="BT313" s="24"/>
      <c r="BU313" s="24"/>
      <c r="BW313" s="24"/>
      <c r="BX313" s="24"/>
      <c r="BY313" s="24"/>
      <c r="BZ313" s="24"/>
      <c r="CB313" s="24"/>
      <c r="CC313" s="24"/>
      <c r="CE313" s="24">
        <v>45937.402392777774</v>
      </c>
      <c r="CF313" s="24">
        <v>45937.402392777774</v>
      </c>
      <c r="CG313">
        <v>1</v>
      </c>
      <c r="CH313" s="24"/>
      <c r="CI313" s="24"/>
      <c r="CJ313" s="24"/>
      <c r="CK313" s="24"/>
      <c r="DE313" s="24"/>
      <c r="DF313" s="24"/>
      <c r="DG313" s="24"/>
      <c r="DH313" s="24"/>
      <c r="DJ313" t="s">
        <v>149</v>
      </c>
      <c r="DK313" t="s">
        <v>149</v>
      </c>
      <c r="DM313">
        <v>7</v>
      </c>
      <c r="DN313">
        <v>7</v>
      </c>
      <c r="DQ313" t="s">
        <v>1000</v>
      </c>
      <c r="DR313" t="s">
        <v>149</v>
      </c>
      <c r="DS313" s="24">
        <v>46160.384426226854</v>
      </c>
    </row>
    <row r="314" spans="1:123" x14ac:dyDescent="0.3">
      <c r="A314" t="s">
        <v>564</v>
      </c>
      <c r="D314" t="s">
        <v>225</v>
      </c>
      <c r="E314" s="24">
        <v>45918.547314814816</v>
      </c>
      <c r="G314" t="s">
        <v>90</v>
      </c>
      <c r="H314" t="s">
        <v>155</v>
      </c>
      <c r="I314" s="24"/>
      <c r="J314" s="24"/>
      <c r="K314" s="24"/>
      <c r="L314" s="24"/>
      <c r="N314" s="24"/>
      <c r="O314" s="24"/>
      <c r="P314" s="24"/>
      <c r="Q314" s="24"/>
      <c r="V314" s="24"/>
      <c r="W314" s="24"/>
      <c r="X314" s="24"/>
      <c r="Y314" s="24"/>
      <c r="AA314" s="24">
        <v>46073.507403900461</v>
      </c>
      <c r="AB314" s="24">
        <v>46073.507403900461</v>
      </c>
      <c r="AC314" s="24">
        <v>46076.359967893521</v>
      </c>
      <c r="AD314" s="24">
        <v>46076.359967893521</v>
      </c>
      <c r="AE314">
        <v>1</v>
      </c>
      <c r="AF314" s="24">
        <v>46076.359967893521</v>
      </c>
      <c r="AG314" s="24">
        <v>46076.359967893521</v>
      </c>
      <c r="AH314" s="24">
        <v>46076.393395902778</v>
      </c>
      <c r="AI314" s="24">
        <v>46076.393395902778</v>
      </c>
      <c r="AJ314">
        <v>1</v>
      </c>
      <c r="AK314" s="24">
        <v>46076.393395902778</v>
      </c>
      <c r="AL314" s="24">
        <v>46076.393395902778</v>
      </c>
      <c r="AM314" s="24">
        <v>46077.383686608795</v>
      </c>
      <c r="AN314" s="24">
        <v>46077.383686608795</v>
      </c>
      <c r="AO314">
        <v>1</v>
      </c>
      <c r="AP314" s="24"/>
      <c r="AQ314" s="24"/>
      <c r="AR314" s="24">
        <v>46072.657609907408</v>
      </c>
      <c r="AS314" s="24">
        <v>46072.657609907408</v>
      </c>
      <c r="AX314" s="24"/>
      <c r="AY314" s="24"/>
      <c r="AZ314" s="24"/>
      <c r="BA314" s="24"/>
      <c r="BC314" s="24">
        <v>46077.413146273146</v>
      </c>
      <c r="BD314" s="24">
        <v>46077.413146273146</v>
      </c>
      <c r="BE314" s="24">
        <v>46086.451876076389</v>
      </c>
      <c r="BF314" s="24">
        <v>46086.451876076389</v>
      </c>
      <c r="BG314">
        <v>1</v>
      </c>
      <c r="BH314" s="24">
        <v>46072.657609907408</v>
      </c>
      <c r="BI314" s="24">
        <v>46072.657609907408</v>
      </c>
      <c r="BJ314" s="24">
        <v>46073.507403900461</v>
      </c>
      <c r="BK314" s="24">
        <v>46073.507403900461</v>
      </c>
      <c r="BL314">
        <v>1</v>
      </c>
      <c r="BM314" s="24"/>
      <c r="BN314" s="24"/>
      <c r="BO314" s="24"/>
      <c r="BP314" s="24"/>
      <c r="BR314" s="24">
        <v>46077.383686608795</v>
      </c>
      <c r="BS314" s="24">
        <v>46077.383686608795</v>
      </c>
      <c r="BT314" s="24">
        <v>46077.413146273146</v>
      </c>
      <c r="BU314" s="24">
        <v>46077.413146273146</v>
      </c>
      <c r="BV314">
        <v>1</v>
      </c>
      <c r="BW314" s="24"/>
      <c r="BX314" s="24"/>
      <c r="BY314" s="24"/>
      <c r="BZ314" s="24"/>
      <c r="CB314" s="24"/>
      <c r="CC314" s="24"/>
      <c r="CE314" s="24">
        <v>46086.451876076389</v>
      </c>
      <c r="CF314" s="24">
        <v>46086.451876076389</v>
      </c>
      <c r="CG314">
        <v>1</v>
      </c>
      <c r="CH314" s="24"/>
      <c r="CI314" s="24"/>
      <c r="CJ314" s="24"/>
      <c r="CK314" s="24"/>
      <c r="DE314" s="24"/>
      <c r="DF314" s="24"/>
      <c r="DG314" s="24"/>
      <c r="DH314" s="24"/>
      <c r="DJ314" t="s">
        <v>149</v>
      </c>
      <c r="DK314" t="s">
        <v>149</v>
      </c>
      <c r="DM314">
        <v>14</v>
      </c>
      <c r="DN314">
        <v>13</v>
      </c>
      <c r="DQ314" t="s">
        <v>1000</v>
      </c>
      <c r="DR314" t="s">
        <v>149</v>
      </c>
      <c r="DS314" s="24">
        <v>46160.384426226854</v>
      </c>
    </row>
    <row r="315" spans="1:123" x14ac:dyDescent="0.3">
      <c r="A315" t="s">
        <v>565</v>
      </c>
      <c r="D315" t="s">
        <v>223</v>
      </c>
      <c r="E315" s="24">
        <v>45918.501099537039</v>
      </c>
      <c r="G315" t="s">
        <v>90</v>
      </c>
      <c r="H315" t="s">
        <v>155</v>
      </c>
      <c r="I315" s="24"/>
      <c r="J315" s="24"/>
      <c r="K315" s="24"/>
      <c r="L315" s="24"/>
      <c r="N315" s="24"/>
      <c r="O315" s="24"/>
      <c r="P315" s="24"/>
      <c r="Q315" s="24"/>
      <c r="V315" s="24"/>
      <c r="W315" s="24"/>
      <c r="X315" s="24"/>
      <c r="Y315" s="24"/>
      <c r="AA315" s="24">
        <v>45987.337471597224</v>
      </c>
      <c r="AB315" s="24">
        <v>45987.337471597224</v>
      </c>
      <c r="AC315" s="24">
        <v>46000.595062812499</v>
      </c>
      <c r="AD315" s="24">
        <v>46000.595062812499</v>
      </c>
      <c r="AE315">
        <v>1</v>
      </c>
      <c r="AF315" s="24"/>
      <c r="AG315" s="24"/>
      <c r="AH315" s="24"/>
      <c r="AI315" s="24"/>
      <c r="AK315" s="24"/>
      <c r="AL315" s="24"/>
      <c r="AM315" s="24"/>
      <c r="AN315" s="24"/>
      <c r="AP315" s="24"/>
      <c r="AQ315" s="24"/>
      <c r="AR315" s="24">
        <v>45986.672562557869</v>
      </c>
      <c r="AS315" s="24">
        <v>45986.672562557869</v>
      </c>
      <c r="AX315" s="24"/>
      <c r="AY315" s="24"/>
      <c r="AZ315" s="24"/>
      <c r="BA315" s="24"/>
      <c r="BC315" s="24"/>
      <c r="BD315" s="24"/>
      <c r="BE315" s="24"/>
      <c r="BF315" s="24"/>
      <c r="BH315" s="24">
        <v>45986.672562557869</v>
      </c>
      <c r="BI315" s="24">
        <v>45986.672562557869</v>
      </c>
      <c r="BJ315" s="24">
        <v>45987.337471597224</v>
      </c>
      <c r="BK315" s="24">
        <v>45987.337471597224</v>
      </c>
      <c r="BL315">
        <v>1</v>
      </c>
      <c r="BM315" s="24"/>
      <c r="BN315" s="24"/>
      <c r="BO315" s="24"/>
      <c r="BP315" s="24"/>
      <c r="BR315" s="24"/>
      <c r="BS315" s="24"/>
      <c r="BT315" s="24"/>
      <c r="BU315" s="24"/>
      <c r="BW315" s="24"/>
      <c r="BX315" s="24"/>
      <c r="BY315" s="24"/>
      <c r="BZ315" s="24"/>
      <c r="CB315" s="24"/>
      <c r="CC315" s="24"/>
      <c r="CE315" s="24">
        <v>46000.595062812499</v>
      </c>
      <c r="CF315" s="24">
        <v>46000.595062812499</v>
      </c>
      <c r="CG315">
        <v>1</v>
      </c>
      <c r="CH315" s="24"/>
      <c r="CI315" s="24"/>
      <c r="CJ315" s="24"/>
      <c r="CK315" s="24"/>
      <c r="DE315" s="24"/>
      <c r="DF315" s="24"/>
      <c r="DG315" s="24"/>
      <c r="DH315" s="24"/>
      <c r="DJ315" t="s">
        <v>149</v>
      </c>
      <c r="DK315" t="s">
        <v>149</v>
      </c>
      <c r="DM315">
        <v>14</v>
      </c>
      <c r="DN315">
        <v>14</v>
      </c>
      <c r="DQ315" t="s">
        <v>1000</v>
      </c>
      <c r="DR315" t="s">
        <v>149</v>
      </c>
      <c r="DS315" s="24">
        <v>46160.384426226854</v>
      </c>
    </row>
    <row r="316" spans="1:123" x14ac:dyDescent="0.3">
      <c r="A316" t="s">
        <v>566</v>
      </c>
      <c r="D316" t="s">
        <v>223</v>
      </c>
      <c r="E316" s="24">
        <v>45918.432175925926</v>
      </c>
      <c r="G316" t="s">
        <v>90</v>
      </c>
      <c r="H316" t="s">
        <v>155</v>
      </c>
      <c r="I316" s="24"/>
      <c r="J316" s="24"/>
      <c r="K316" s="24"/>
      <c r="L316" s="24"/>
      <c r="N316" s="24">
        <v>45923.413916469908</v>
      </c>
      <c r="O316" s="24">
        <v>45923.413916469908</v>
      </c>
      <c r="P316" s="24">
        <v>45958.725675358794</v>
      </c>
      <c r="Q316" s="24">
        <v>45958.725675358794</v>
      </c>
      <c r="R316">
        <v>1</v>
      </c>
      <c r="V316" s="24"/>
      <c r="W316" s="24"/>
      <c r="X316" s="24"/>
      <c r="Y316" s="24"/>
      <c r="AA316" s="24">
        <v>45958.725675358794</v>
      </c>
      <c r="AB316" s="24">
        <v>45918.434268495374</v>
      </c>
      <c r="AC316" s="24">
        <v>45923.413916469908</v>
      </c>
      <c r="AD316" s="24">
        <v>45958.72572224537</v>
      </c>
      <c r="AE316">
        <v>2</v>
      </c>
      <c r="AF316" s="24">
        <v>45958.72572224537</v>
      </c>
      <c r="AG316" s="24">
        <v>45958.72572224537</v>
      </c>
      <c r="AH316" s="24">
        <v>45959.355559131945</v>
      </c>
      <c r="AI316" s="24">
        <v>45959.355559131945</v>
      </c>
      <c r="AJ316">
        <v>1</v>
      </c>
      <c r="AK316" s="24"/>
      <c r="AL316" s="24"/>
      <c r="AM316" s="24"/>
      <c r="AN316" s="24"/>
      <c r="AP316" s="24"/>
      <c r="AQ316" s="24"/>
      <c r="AR316" s="24">
        <v>45918.432849212964</v>
      </c>
      <c r="AS316" s="24">
        <v>45918.432849212964</v>
      </c>
      <c r="AX316" s="24"/>
      <c r="AY316" s="24"/>
      <c r="AZ316" s="24"/>
      <c r="BA316" s="24"/>
      <c r="BC316" s="24"/>
      <c r="BD316" s="24"/>
      <c r="BE316" s="24"/>
      <c r="BF316" s="24"/>
      <c r="BH316" s="24">
        <v>45918.432849212964</v>
      </c>
      <c r="BI316" s="24">
        <v>45918.432849212964</v>
      </c>
      <c r="BJ316" s="24">
        <v>45918.434268495374</v>
      </c>
      <c r="BK316" s="24">
        <v>45918.434268495374</v>
      </c>
      <c r="BL316">
        <v>1</v>
      </c>
      <c r="BM316" s="24"/>
      <c r="BN316" s="24"/>
      <c r="BO316" s="24"/>
      <c r="BP316" s="24"/>
      <c r="BR316" s="24">
        <v>45959.355559131945</v>
      </c>
      <c r="BS316" s="24">
        <v>45959.355559131945</v>
      </c>
      <c r="BT316" s="24">
        <v>45959.406478217592</v>
      </c>
      <c r="BU316" s="24">
        <v>45959.406478217592</v>
      </c>
      <c r="BV316">
        <v>1</v>
      </c>
      <c r="BW316" s="24"/>
      <c r="BX316" s="24"/>
      <c r="BY316" s="24"/>
      <c r="BZ316" s="24"/>
      <c r="CB316" s="24"/>
      <c r="CC316" s="24"/>
      <c r="CE316" s="24">
        <v>45959.406478217592</v>
      </c>
      <c r="CF316" s="24">
        <v>45959.406478217592</v>
      </c>
      <c r="CG316">
        <v>1</v>
      </c>
      <c r="CH316" s="24"/>
      <c r="CI316" s="24"/>
      <c r="CJ316" s="24"/>
      <c r="CK316" s="24"/>
      <c r="DE316" s="24"/>
      <c r="DF316" s="24"/>
      <c r="DG316" s="24"/>
      <c r="DH316" s="24"/>
      <c r="DJ316" t="s">
        <v>149</v>
      </c>
      <c r="DK316" t="s">
        <v>149</v>
      </c>
      <c r="DL316">
        <v>35.35342546296296</v>
      </c>
      <c r="DM316">
        <v>41</v>
      </c>
      <c r="DN316">
        <v>41</v>
      </c>
      <c r="DQ316" t="s">
        <v>1000</v>
      </c>
      <c r="DR316" t="s">
        <v>149</v>
      </c>
      <c r="DS316" s="24">
        <v>46160.384426226854</v>
      </c>
    </row>
    <row r="317" spans="1:123" x14ac:dyDescent="0.3">
      <c r="A317" t="s">
        <v>567</v>
      </c>
      <c r="D317" t="s">
        <v>223</v>
      </c>
      <c r="E317" s="24">
        <v>45917.576840277776</v>
      </c>
      <c r="G317" t="s">
        <v>90</v>
      </c>
      <c r="H317" t="s">
        <v>155</v>
      </c>
      <c r="I317" s="24"/>
      <c r="J317" s="24"/>
      <c r="K317" s="24"/>
      <c r="L317" s="24"/>
      <c r="N317" s="24"/>
      <c r="O317" s="24"/>
      <c r="P317" s="24"/>
      <c r="Q317" s="24"/>
      <c r="V317" s="24"/>
      <c r="W317" s="24"/>
      <c r="X317" s="24"/>
      <c r="Y317" s="24"/>
      <c r="AA317" s="24">
        <v>45919.40366974537</v>
      </c>
      <c r="AB317" s="24">
        <v>45917.687244513887</v>
      </c>
      <c r="AC317" s="24">
        <v>45919.377755636575</v>
      </c>
      <c r="AD317" s="24">
        <v>45922.591264120369</v>
      </c>
      <c r="AE317">
        <v>2</v>
      </c>
      <c r="AF317" s="24"/>
      <c r="AG317" s="24"/>
      <c r="AH317" s="24"/>
      <c r="AI317" s="24"/>
      <c r="AK317" s="24"/>
      <c r="AL317" s="24"/>
      <c r="AM317" s="24"/>
      <c r="AN317" s="24"/>
      <c r="AP317" s="24"/>
      <c r="AQ317" s="24"/>
      <c r="AR317" s="24">
        <v>45917.686828819446</v>
      </c>
      <c r="AS317" s="24">
        <v>45917.686828819446</v>
      </c>
      <c r="AX317" s="24"/>
      <c r="AY317" s="24"/>
      <c r="AZ317" s="24"/>
      <c r="BA317" s="24"/>
      <c r="BC317" s="24"/>
      <c r="BD317" s="24"/>
      <c r="BE317" s="24"/>
      <c r="BF317" s="24"/>
      <c r="BH317" s="24">
        <v>45917.686828819446</v>
      </c>
      <c r="BI317" s="24">
        <v>45917.686828819446</v>
      </c>
      <c r="BJ317" s="24">
        <v>45917.687244513887</v>
      </c>
      <c r="BK317" s="24">
        <v>45917.687244513887</v>
      </c>
      <c r="BL317">
        <v>1</v>
      </c>
      <c r="BM317" s="24"/>
      <c r="BN317" s="24"/>
      <c r="BO317" s="24"/>
      <c r="BP317" s="24"/>
      <c r="BR317" s="24">
        <v>45922.591264120369</v>
      </c>
      <c r="BS317" s="24">
        <v>45919.377755636575</v>
      </c>
      <c r="BT317" s="24">
        <v>45919.40366974537</v>
      </c>
      <c r="BU317" s="24">
        <v>45923.424559074076</v>
      </c>
      <c r="BV317">
        <v>2</v>
      </c>
      <c r="BW317" s="24"/>
      <c r="BX317" s="24"/>
      <c r="BY317" s="24"/>
      <c r="BZ317" s="24"/>
      <c r="CB317" s="24"/>
      <c r="CC317" s="24"/>
      <c r="CE317" s="24">
        <v>45923.424559074076</v>
      </c>
      <c r="CF317" s="24">
        <v>45923.424559074076</v>
      </c>
      <c r="CG317">
        <v>1</v>
      </c>
      <c r="CH317" s="24"/>
      <c r="CI317" s="24"/>
      <c r="CJ317" s="24"/>
      <c r="CK317" s="24"/>
      <c r="DE317" s="24"/>
      <c r="DF317" s="24"/>
      <c r="DG317" s="24"/>
      <c r="DH317" s="24"/>
      <c r="DJ317" t="s">
        <v>149</v>
      </c>
      <c r="DK317" t="s">
        <v>149</v>
      </c>
      <c r="DM317">
        <v>6</v>
      </c>
      <c r="DN317">
        <v>6</v>
      </c>
      <c r="DQ317" t="s">
        <v>1000</v>
      </c>
      <c r="DR317" t="s">
        <v>149</v>
      </c>
      <c r="DS317" s="24">
        <v>46160.384426226854</v>
      </c>
    </row>
    <row r="318" spans="1:123" x14ac:dyDescent="0.3">
      <c r="A318" t="s">
        <v>568</v>
      </c>
      <c r="D318" t="s">
        <v>223</v>
      </c>
      <c r="E318" s="24">
        <v>45916.490127314813</v>
      </c>
      <c r="G318" t="s">
        <v>90</v>
      </c>
      <c r="H318" t="s">
        <v>155</v>
      </c>
      <c r="I318" s="24"/>
      <c r="J318" s="24"/>
      <c r="K318" s="24"/>
      <c r="L318" s="24"/>
      <c r="N318" s="24"/>
      <c r="O318" s="24"/>
      <c r="P318" s="24"/>
      <c r="Q318" s="24"/>
      <c r="V318" s="24"/>
      <c r="W318" s="24"/>
      <c r="X318" s="24"/>
      <c r="Y318" s="24"/>
      <c r="AA318" s="24">
        <v>45916.614402847219</v>
      </c>
      <c r="AB318" s="24">
        <v>45916.614402847219</v>
      </c>
      <c r="AC318" s="24">
        <v>45917.732573229165</v>
      </c>
      <c r="AD318" s="24">
        <v>45917.732573229165</v>
      </c>
      <c r="AE318">
        <v>1</v>
      </c>
      <c r="AF318" s="24">
        <v>45917.732573229165</v>
      </c>
      <c r="AG318" s="24">
        <v>45917.732573229165</v>
      </c>
      <c r="AH318" s="24">
        <v>45918.444016365742</v>
      </c>
      <c r="AI318" s="24">
        <v>45918.444016365742</v>
      </c>
      <c r="AJ318">
        <v>1</v>
      </c>
      <c r="AK318" s="24"/>
      <c r="AL318" s="24"/>
      <c r="AM318" s="24"/>
      <c r="AN318" s="24"/>
      <c r="AP318" s="24"/>
      <c r="AQ318" s="24"/>
      <c r="AR318" s="24">
        <v>45916.491304664349</v>
      </c>
      <c r="AS318" s="24">
        <v>45916.491304664349</v>
      </c>
      <c r="AX318" s="24"/>
      <c r="AY318" s="24"/>
      <c r="AZ318" s="24"/>
      <c r="BA318" s="24"/>
      <c r="BC318" s="24"/>
      <c r="BD318" s="24"/>
      <c r="BE318" s="24"/>
      <c r="BF318" s="24"/>
      <c r="BH318" s="24">
        <v>45916.491304664349</v>
      </c>
      <c r="BI318" s="24">
        <v>45916.491304664349</v>
      </c>
      <c r="BJ318" s="24">
        <v>45916.614402847219</v>
      </c>
      <c r="BK318" s="24">
        <v>45916.614402847219</v>
      </c>
      <c r="BL318">
        <v>1</v>
      </c>
      <c r="BM318" s="24"/>
      <c r="BN318" s="24"/>
      <c r="BO318" s="24"/>
      <c r="BP318" s="24"/>
      <c r="BR318" s="24">
        <v>45918.444016365742</v>
      </c>
      <c r="BS318" s="24">
        <v>45918.444016365742</v>
      </c>
      <c r="BT318" s="24">
        <v>45919.403339155091</v>
      </c>
      <c r="BU318" s="24">
        <v>45919.403339155091</v>
      </c>
      <c r="BV318">
        <v>1</v>
      </c>
      <c r="BW318" s="24"/>
      <c r="BX318" s="24"/>
      <c r="BY318" s="24"/>
      <c r="BZ318" s="24"/>
      <c r="CB318" s="24"/>
      <c r="CC318" s="24"/>
      <c r="CE318" s="24">
        <v>45919.403339155091</v>
      </c>
      <c r="CF318" s="24">
        <v>45919.403339155091</v>
      </c>
      <c r="CG318">
        <v>1</v>
      </c>
      <c r="CH318" s="24"/>
      <c r="CI318" s="24"/>
      <c r="CJ318" s="24"/>
      <c r="CK318" s="24"/>
      <c r="DE318" s="24"/>
      <c r="DF318" s="24"/>
      <c r="DG318" s="24"/>
      <c r="DH318" s="24"/>
      <c r="DJ318" t="s">
        <v>149</v>
      </c>
      <c r="DK318" t="s">
        <v>149</v>
      </c>
      <c r="DM318">
        <v>3</v>
      </c>
      <c r="DN318">
        <v>3</v>
      </c>
      <c r="DQ318" t="s">
        <v>1000</v>
      </c>
      <c r="DR318" t="s">
        <v>149</v>
      </c>
      <c r="DS318" s="24">
        <v>46160.384426226854</v>
      </c>
    </row>
    <row r="319" spans="1:123" x14ac:dyDescent="0.3">
      <c r="A319" t="s">
        <v>569</v>
      </c>
      <c r="D319" t="s">
        <v>223</v>
      </c>
      <c r="E319" s="24">
        <v>45916.469525462962</v>
      </c>
      <c r="G319" t="s">
        <v>90</v>
      </c>
      <c r="H319" t="s">
        <v>155</v>
      </c>
      <c r="I319" s="24"/>
      <c r="J319" s="24"/>
      <c r="K319" s="24"/>
      <c r="L319" s="24"/>
      <c r="N319" s="24"/>
      <c r="O319" s="24"/>
      <c r="P319" s="24"/>
      <c r="Q319" s="24"/>
      <c r="V319" s="24"/>
      <c r="W319" s="24"/>
      <c r="X319" s="24"/>
      <c r="Y319" s="24"/>
      <c r="AA319" s="24">
        <v>45917.364176898147</v>
      </c>
      <c r="AB319" s="24">
        <v>45917.364176898147</v>
      </c>
      <c r="AC319" s="24">
        <v>45918.408398854168</v>
      </c>
      <c r="AD319" s="24">
        <v>45918.408398854168</v>
      </c>
      <c r="AE319">
        <v>1</v>
      </c>
      <c r="AF319" s="24">
        <v>45918.408398854168</v>
      </c>
      <c r="AG319" s="24">
        <v>45918.408398854168</v>
      </c>
      <c r="AH319" s="24">
        <v>45918.40849854167</v>
      </c>
      <c r="AI319" s="24">
        <v>45918.40849854167</v>
      </c>
      <c r="AJ319">
        <v>1</v>
      </c>
      <c r="AK319" s="24"/>
      <c r="AL319" s="24"/>
      <c r="AM319" s="24"/>
      <c r="AN319" s="24"/>
      <c r="AP319" s="24"/>
      <c r="AQ319" s="24"/>
      <c r="AR319" s="24">
        <v>45916.472548437501</v>
      </c>
      <c r="AS319" s="24">
        <v>45916.472548437501</v>
      </c>
      <c r="AX319" s="24"/>
      <c r="AY319" s="24"/>
      <c r="AZ319" s="24"/>
      <c r="BA319" s="24"/>
      <c r="BC319" s="24"/>
      <c r="BD319" s="24"/>
      <c r="BE319" s="24"/>
      <c r="BF319" s="24"/>
      <c r="BH319" s="24">
        <v>45916.472548437501</v>
      </c>
      <c r="BI319" s="24">
        <v>45916.472548437501</v>
      </c>
      <c r="BJ319" s="24">
        <v>45917.364176898147</v>
      </c>
      <c r="BK319" s="24">
        <v>45917.364176898147</v>
      </c>
      <c r="BL319">
        <v>1</v>
      </c>
      <c r="BM319" s="24"/>
      <c r="BN319" s="24"/>
      <c r="BO319" s="24"/>
      <c r="BP319" s="24"/>
      <c r="BR319" s="24">
        <v>45918.40849854167</v>
      </c>
      <c r="BS319" s="24">
        <v>45918.40849854167</v>
      </c>
      <c r="BT319" s="24">
        <v>45918.408639097222</v>
      </c>
      <c r="BU319" s="24">
        <v>45918.408639097222</v>
      </c>
      <c r="BV319">
        <v>1</v>
      </c>
      <c r="BW319" s="24"/>
      <c r="BX319" s="24"/>
      <c r="BY319" s="24"/>
      <c r="BZ319" s="24"/>
      <c r="CB319" s="24"/>
      <c r="CC319" s="24"/>
      <c r="CE319" s="24">
        <v>45918.408639097222</v>
      </c>
      <c r="CF319" s="24">
        <v>45918.408639097222</v>
      </c>
      <c r="CG319">
        <v>1</v>
      </c>
      <c r="CH319" s="24"/>
      <c r="CI319" s="24"/>
      <c r="CJ319" s="24"/>
      <c r="CK319" s="24"/>
      <c r="DE319" s="24"/>
      <c r="DF319" s="24"/>
      <c r="DG319" s="24"/>
      <c r="DH319" s="24"/>
      <c r="DJ319" t="s">
        <v>149</v>
      </c>
      <c r="DK319" t="s">
        <v>149</v>
      </c>
      <c r="DM319">
        <v>2</v>
      </c>
      <c r="DN319">
        <v>2</v>
      </c>
      <c r="DQ319" t="s">
        <v>1000</v>
      </c>
      <c r="DR319" t="s">
        <v>149</v>
      </c>
      <c r="DS319" s="24">
        <v>46160.384426226854</v>
      </c>
    </row>
    <row r="320" spans="1:123" x14ac:dyDescent="0.3">
      <c r="A320" t="s">
        <v>570</v>
      </c>
      <c r="D320" t="s">
        <v>223</v>
      </c>
      <c r="E320" s="24">
        <v>45916.419583333336</v>
      </c>
      <c r="G320" t="s">
        <v>90</v>
      </c>
      <c r="H320" t="s">
        <v>155</v>
      </c>
      <c r="I320" s="24"/>
      <c r="J320" s="24"/>
      <c r="K320" s="24"/>
      <c r="L320" s="24"/>
      <c r="N320" s="24"/>
      <c r="O320" s="24"/>
      <c r="P320" s="24"/>
      <c r="Q320" s="24"/>
      <c r="V320" s="24"/>
      <c r="W320" s="24"/>
      <c r="X320" s="24"/>
      <c r="Y320" s="24"/>
      <c r="AA320" s="24">
        <v>45918.413147476851</v>
      </c>
      <c r="AB320" s="24">
        <v>45918.413147476851</v>
      </c>
      <c r="AC320" s="24">
        <v>45923.411719571763</v>
      </c>
      <c r="AD320" s="24">
        <v>45923.411719571763</v>
      </c>
      <c r="AE320">
        <v>1</v>
      </c>
      <c r="AF320" s="24">
        <v>45923.411719571763</v>
      </c>
      <c r="AG320" s="24">
        <v>45923.411719571763</v>
      </c>
      <c r="AH320" s="24">
        <v>45923.420629733795</v>
      </c>
      <c r="AI320" s="24">
        <v>45923.420629733795</v>
      </c>
      <c r="AJ320">
        <v>1</v>
      </c>
      <c r="AK320" s="24"/>
      <c r="AL320" s="24"/>
      <c r="AM320" s="24"/>
      <c r="AN320" s="24"/>
      <c r="AP320" s="24"/>
      <c r="AQ320" s="24"/>
      <c r="AR320" s="24">
        <v>45916.466599872685</v>
      </c>
      <c r="AS320" s="24">
        <v>45916.466599872685</v>
      </c>
      <c r="AX320" s="24"/>
      <c r="AY320" s="24"/>
      <c r="AZ320" s="24"/>
      <c r="BA320" s="24"/>
      <c r="BC320" s="24"/>
      <c r="BD320" s="24"/>
      <c r="BE320" s="24"/>
      <c r="BF320" s="24"/>
      <c r="BH320" s="24">
        <v>45916.466599872685</v>
      </c>
      <c r="BI320" s="24">
        <v>45916.466599872685</v>
      </c>
      <c r="BJ320" s="24">
        <v>45918.413147476851</v>
      </c>
      <c r="BK320" s="24">
        <v>45918.413147476851</v>
      </c>
      <c r="BL320">
        <v>1</v>
      </c>
      <c r="BM320" s="24"/>
      <c r="BN320" s="24"/>
      <c r="BO320" s="24"/>
      <c r="BP320" s="24"/>
      <c r="BR320" s="24">
        <v>45923.420629733795</v>
      </c>
      <c r="BS320" s="24">
        <v>45923.420629733795</v>
      </c>
      <c r="BT320" s="24">
        <v>45923.420925763887</v>
      </c>
      <c r="BU320" s="24">
        <v>45923.420925763887</v>
      </c>
      <c r="BV320">
        <v>1</v>
      </c>
      <c r="BW320" s="24"/>
      <c r="BX320" s="24"/>
      <c r="BY320" s="24"/>
      <c r="BZ320" s="24"/>
      <c r="CB320" s="24"/>
      <c r="CC320" s="24"/>
      <c r="CE320" s="24">
        <v>45923.420925763887</v>
      </c>
      <c r="CF320" s="24">
        <v>45923.420925763887</v>
      </c>
      <c r="CG320">
        <v>1</v>
      </c>
      <c r="CH320" s="24"/>
      <c r="CI320" s="24"/>
      <c r="CJ320" s="24"/>
      <c r="CK320" s="24"/>
      <c r="DE320" s="24"/>
      <c r="DF320" s="24"/>
      <c r="DG320" s="24"/>
      <c r="DH320" s="24"/>
      <c r="DJ320" t="s">
        <v>149</v>
      </c>
      <c r="DK320" t="s">
        <v>149</v>
      </c>
      <c r="DM320">
        <v>7</v>
      </c>
      <c r="DN320">
        <v>6</v>
      </c>
      <c r="DQ320" t="s">
        <v>1000</v>
      </c>
      <c r="DR320" t="s">
        <v>149</v>
      </c>
      <c r="DS320" s="24">
        <v>46160.384426226854</v>
      </c>
    </row>
    <row r="321" spans="1:123" x14ac:dyDescent="0.3">
      <c r="A321" t="s">
        <v>571</v>
      </c>
      <c r="D321" t="s">
        <v>225</v>
      </c>
      <c r="E321" s="24">
        <v>45915.762256944443</v>
      </c>
      <c r="G321" t="s">
        <v>90</v>
      </c>
      <c r="H321" t="s">
        <v>155</v>
      </c>
      <c r="I321" s="24"/>
      <c r="J321" s="24"/>
      <c r="K321" s="24"/>
      <c r="L321" s="24"/>
      <c r="N321" s="24"/>
      <c r="O321" s="24"/>
      <c r="P321" s="24"/>
      <c r="Q321" s="24"/>
      <c r="V321" s="24"/>
      <c r="W321" s="24"/>
      <c r="X321" s="24"/>
      <c r="Y321" s="24"/>
      <c r="AA321" s="24">
        <v>45916.649168657408</v>
      </c>
      <c r="AB321" s="24">
        <v>45916.649168657408</v>
      </c>
      <c r="AC321" s="24">
        <v>45916.650074444442</v>
      </c>
      <c r="AD321" s="24">
        <v>45916.650074444442</v>
      </c>
      <c r="AE321">
        <v>1</v>
      </c>
      <c r="AF321" s="24">
        <v>45916.650074444442</v>
      </c>
      <c r="AG321" s="24">
        <v>45916.650074444442</v>
      </c>
      <c r="AH321" s="24">
        <v>45918.5858390625</v>
      </c>
      <c r="AI321" s="24">
        <v>45918.5858390625</v>
      </c>
      <c r="AJ321">
        <v>1</v>
      </c>
      <c r="AK321" s="24">
        <v>45918.5858390625</v>
      </c>
      <c r="AL321" s="24">
        <v>45918.5858390625</v>
      </c>
      <c r="AM321" s="24">
        <v>45918.585875868055</v>
      </c>
      <c r="AN321" s="24">
        <v>45918.585875868055</v>
      </c>
      <c r="AO321">
        <v>1</v>
      </c>
      <c r="AP321" s="24"/>
      <c r="AQ321" s="24"/>
      <c r="AR321" s="24">
        <v>45916.649114733795</v>
      </c>
      <c r="AS321" s="24">
        <v>45916.649114733795</v>
      </c>
      <c r="AX321" s="24"/>
      <c r="AY321" s="24"/>
      <c r="AZ321" s="24"/>
      <c r="BA321" s="24"/>
      <c r="BC321" s="24">
        <v>45919.403209733799</v>
      </c>
      <c r="BD321" s="24">
        <v>45919.403209733799</v>
      </c>
      <c r="BE321" s="24">
        <v>45931.656223587961</v>
      </c>
      <c r="BF321" s="24">
        <v>45931.656223587961</v>
      </c>
      <c r="BG321">
        <v>1</v>
      </c>
      <c r="BH321" s="24">
        <v>45916.649114733795</v>
      </c>
      <c r="BI321" s="24">
        <v>45916.649114733795</v>
      </c>
      <c r="BJ321" s="24">
        <v>45916.649168657408</v>
      </c>
      <c r="BK321" s="24">
        <v>45916.649168657408</v>
      </c>
      <c r="BL321">
        <v>1</v>
      </c>
      <c r="BM321" s="24"/>
      <c r="BN321" s="24"/>
      <c r="BO321" s="24"/>
      <c r="BP321" s="24"/>
      <c r="BR321" s="24">
        <v>45918.585875868055</v>
      </c>
      <c r="BS321" s="24">
        <v>45918.585875868055</v>
      </c>
      <c r="BT321" s="24">
        <v>45919.403209733799</v>
      </c>
      <c r="BU321" s="24">
        <v>45919.403209733799</v>
      </c>
      <c r="BV321">
        <v>1</v>
      </c>
      <c r="BW321" s="24"/>
      <c r="BX321" s="24"/>
      <c r="BY321" s="24"/>
      <c r="BZ321" s="24"/>
      <c r="CB321" s="24"/>
      <c r="CC321" s="24"/>
      <c r="CE321" s="24">
        <v>45931.656223587961</v>
      </c>
      <c r="CF321" s="24">
        <v>45931.656223587961</v>
      </c>
      <c r="CG321">
        <v>1</v>
      </c>
      <c r="CH321" s="24"/>
      <c r="CI321" s="24"/>
      <c r="CJ321" s="24"/>
      <c r="CK321" s="24"/>
      <c r="DE321" s="24"/>
      <c r="DF321" s="24"/>
      <c r="DG321" s="24"/>
      <c r="DH321" s="24"/>
      <c r="DJ321" t="s">
        <v>149</v>
      </c>
      <c r="DK321" t="s">
        <v>149</v>
      </c>
      <c r="DM321">
        <v>16</v>
      </c>
      <c r="DN321">
        <v>16</v>
      </c>
      <c r="DQ321" t="s">
        <v>1000</v>
      </c>
      <c r="DR321" t="s">
        <v>149</v>
      </c>
      <c r="DS321" s="24">
        <v>46160.384426226854</v>
      </c>
    </row>
    <row r="322" spans="1:123" x14ac:dyDescent="0.3">
      <c r="A322" t="s">
        <v>572</v>
      </c>
      <c r="D322" t="s">
        <v>223</v>
      </c>
      <c r="E322" s="24">
        <v>45915.439201388886</v>
      </c>
      <c r="G322" t="s">
        <v>90</v>
      </c>
      <c r="H322" t="s">
        <v>155</v>
      </c>
      <c r="I322" s="24"/>
      <c r="J322" s="24"/>
      <c r="K322" s="24"/>
      <c r="L322" s="24"/>
      <c r="N322" s="24"/>
      <c r="O322" s="24"/>
      <c r="P322" s="24"/>
      <c r="Q322" s="24"/>
      <c r="V322" s="24"/>
      <c r="W322" s="24"/>
      <c r="X322" s="24"/>
      <c r="Y322" s="24"/>
      <c r="AA322" s="24">
        <v>45919.402250266205</v>
      </c>
      <c r="AB322" s="24">
        <v>45919.402250266205</v>
      </c>
      <c r="AC322" s="24">
        <v>45929.410315821762</v>
      </c>
      <c r="AD322" s="24">
        <v>45929.410315821762</v>
      </c>
      <c r="AE322">
        <v>1</v>
      </c>
      <c r="AF322" s="24"/>
      <c r="AG322" s="24"/>
      <c r="AH322" s="24"/>
      <c r="AI322" s="24"/>
      <c r="AK322" s="24"/>
      <c r="AL322" s="24"/>
      <c r="AM322" s="24"/>
      <c r="AN322" s="24"/>
      <c r="AP322" s="24"/>
      <c r="AQ322" s="24"/>
      <c r="AR322" s="24">
        <v>45919.402032685182</v>
      </c>
      <c r="AS322" s="24">
        <v>45919.402032685182</v>
      </c>
      <c r="AX322" s="24"/>
      <c r="AY322" s="24"/>
      <c r="AZ322" s="24"/>
      <c r="BA322" s="24"/>
      <c r="BC322" s="24"/>
      <c r="BD322" s="24"/>
      <c r="BE322" s="24"/>
      <c r="BF322" s="24"/>
      <c r="BH322" s="24">
        <v>45919.402032685182</v>
      </c>
      <c r="BI322" s="24">
        <v>45919.402032685182</v>
      </c>
      <c r="BJ322" s="24">
        <v>45919.402250266205</v>
      </c>
      <c r="BK322" s="24">
        <v>45919.402250266205</v>
      </c>
      <c r="BL322">
        <v>1</v>
      </c>
      <c r="BM322" s="24"/>
      <c r="BN322" s="24"/>
      <c r="BO322" s="24"/>
      <c r="BP322" s="24"/>
      <c r="BR322" s="24">
        <v>45929.410315821762</v>
      </c>
      <c r="BS322" s="24">
        <v>45929.410315821762</v>
      </c>
      <c r="BT322" s="24">
        <v>45929.410357280096</v>
      </c>
      <c r="BU322" s="24">
        <v>45929.410357280096</v>
      </c>
      <c r="BV322">
        <v>1</v>
      </c>
      <c r="BW322" s="24"/>
      <c r="BX322" s="24"/>
      <c r="BY322" s="24"/>
      <c r="BZ322" s="24"/>
      <c r="CB322" s="24"/>
      <c r="CC322" s="24"/>
      <c r="CE322" s="24">
        <v>45929.410357280096</v>
      </c>
      <c r="CF322" s="24">
        <v>45929.410357280096</v>
      </c>
      <c r="CG322">
        <v>1</v>
      </c>
      <c r="CH322" s="24"/>
      <c r="CI322" s="24"/>
      <c r="CJ322" s="24"/>
      <c r="CK322" s="24"/>
      <c r="DE322" s="24"/>
      <c r="DF322" s="24"/>
      <c r="DG322" s="24"/>
      <c r="DH322" s="24"/>
      <c r="DJ322" t="s">
        <v>149</v>
      </c>
      <c r="DK322" t="s">
        <v>149</v>
      </c>
      <c r="DM322">
        <v>11</v>
      </c>
      <c r="DN322">
        <v>11</v>
      </c>
      <c r="DQ322" t="s">
        <v>1000</v>
      </c>
      <c r="DR322" t="s">
        <v>149</v>
      </c>
      <c r="DS322" s="24">
        <v>46160.384426226854</v>
      </c>
    </row>
    <row r="323" spans="1:123" x14ac:dyDescent="0.3">
      <c r="A323" t="s">
        <v>573</v>
      </c>
      <c r="D323" t="s">
        <v>223</v>
      </c>
      <c r="E323" s="24">
        <v>45912.685196759259</v>
      </c>
      <c r="G323" t="s">
        <v>90</v>
      </c>
      <c r="H323" t="s">
        <v>155</v>
      </c>
      <c r="I323" s="24"/>
      <c r="J323" s="24"/>
      <c r="K323" s="24"/>
      <c r="L323" s="24"/>
      <c r="N323" s="24"/>
      <c r="O323" s="24"/>
      <c r="P323" s="24"/>
      <c r="Q323" s="24"/>
      <c r="V323" s="24"/>
      <c r="W323" s="24"/>
      <c r="X323" s="24"/>
      <c r="Y323" s="24"/>
      <c r="AA323" s="24">
        <v>45959.613880960649</v>
      </c>
      <c r="AB323" s="24">
        <v>45959.613880960649</v>
      </c>
      <c r="AC323" s="24">
        <v>45959.613927534723</v>
      </c>
      <c r="AD323" s="24">
        <v>45959.613927534723</v>
      </c>
      <c r="AE323">
        <v>1</v>
      </c>
      <c r="AF323" s="24">
        <v>45959.613927534723</v>
      </c>
      <c r="AG323" s="24">
        <v>45959.613927534723</v>
      </c>
      <c r="AH323" s="24">
        <v>45959.613982824078</v>
      </c>
      <c r="AI323" s="24">
        <v>45959.613982824078</v>
      </c>
      <c r="AJ323">
        <v>1</v>
      </c>
      <c r="AK323" s="24"/>
      <c r="AL323" s="24"/>
      <c r="AM323" s="24"/>
      <c r="AN323" s="24"/>
      <c r="AP323" s="24"/>
      <c r="AQ323" s="24"/>
      <c r="AR323" s="24">
        <v>45951.352960983793</v>
      </c>
      <c r="AS323" s="24">
        <v>45951.352960983793</v>
      </c>
      <c r="AX323" s="24"/>
      <c r="AY323" s="24"/>
      <c r="AZ323" s="24"/>
      <c r="BA323" s="24"/>
      <c r="BC323" s="24"/>
      <c r="BD323" s="24"/>
      <c r="BE323" s="24"/>
      <c r="BF323" s="24"/>
      <c r="BH323" s="24">
        <v>45951.352960983793</v>
      </c>
      <c r="BI323" s="24">
        <v>45951.352960983793</v>
      </c>
      <c r="BJ323" s="24">
        <v>45959.613880960649</v>
      </c>
      <c r="BK323" s="24">
        <v>45959.613880960649</v>
      </c>
      <c r="BL323">
        <v>1</v>
      </c>
      <c r="BM323" s="24"/>
      <c r="BN323" s="24"/>
      <c r="BO323" s="24"/>
      <c r="BP323" s="24"/>
      <c r="BR323" s="24">
        <v>45959.613982824078</v>
      </c>
      <c r="BS323" s="24">
        <v>45959.613982824078</v>
      </c>
      <c r="BT323" s="24">
        <v>45959.614321574074</v>
      </c>
      <c r="BU323" s="24">
        <v>45959.614321574074</v>
      </c>
      <c r="BV323">
        <v>1</v>
      </c>
      <c r="BW323" s="24"/>
      <c r="BX323" s="24"/>
      <c r="BY323" s="24"/>
      <c r="BZ323" s="24"/>
      <c r="CB323" s="24"/>
      <c r="CC323" s="24"/>
      <c r="CE323" s="24">
        <v>45959.614321574074</v>
      </c>
      <c r="CF323" s="24">
        <v>45959.614321574074</v>
      </c>
      <c r="CG323">
        <v>1</v>
      </c>
      <c r="CH323" s="24"/>
      <c r="CI323" s="24"/>
      <c r="CJ323" s="24"/>
      <c r="CK323" s="24"/>
      <c r="DE323" s="24"/>
      <c r="DF323" s="24"/>
      <c r="DG323" s="24"/>
      <c r="DH323" s="24"/>
      <c r="DJ323" t="s">
        <v>149</v>
      </c>
      <c r="DK323" t="s">
        <v>149</v>
      </c>
      <c r="DM323">
        <v>9</v>
      </c>
      <c r="DN323">
        <v>1</v>
      </c>
      <c r="DQ323" t="s">
        <v>1000</v>
      </c>
      <c r="DR323" t="s">
        <v>149</v>
      </c>
      <c r="DS323" s="24">
        <v>46160.384426226854</v>
      </c>
    </row>
    <row r="324" spans="1:123" x14ac:dyDescent="0.3">
      <c r="A324" t="s">
        <v>574</v>
      </c>
      <c r="D324" t="s">
        <v>223</v>
      </c>
      <c r="E324" s="24">
        <v>45912.684236111112</v>
      </c>
      <c r="G324" t="s">
        <v>90</v>
      </c>
      <c r="H324" t="s">
        <v>155</v>
      </c>
      <c r="I324" s="24"/>
      <c r="J324" s="24"/>
      <c r="K324" s="24"/>
      <c r="L324" s="24"/>
      <c r="N324" s="24"/>
      <c r="O324" s="24"/>
      <c r="P324" s="24"/>
      <c r="Q324" s="24"/>
      <c r="V324" s="24"/>
      <c r="W324" s="24"/>
      <c r="X324" s="24"/>
      <c r="Y324" s="24"/>
      <c r="AA324" s="24">
        <v>45929.378972175924</v>
      </c>
      <c r="AB324" s="24">
        <v>45929.378972175924</v>
      </c>
      <c r="AC324" s="24">
        <v>45937.51938351852</v>
      </c>
      <c r="AD324" s="24">
        <v>45937.51938351852</v>
      </c>
      <c r="AE324">
        <v>1</v>
      </c>
      <c r="AF324" s="24">
        <v>45937.51938351852</v>
      </c>
      <c r="AG324" s="24">
        <v>45937.51938351852</v>
      </c>
      <c r="AH324" s="24">
        <v>45940.653679097224</v>
      </c>
      <c r="AI324" s="24">
        <v>45940.653679097224</v>
      </c>
      <c r="AJ324">
        <v>1</v>
      </c>
      <c r="AK324" s="24"/>
      <c r="AL324" s="24"/>
      <c r="AM324" s="24"/>
      <c r="AN324" s="24"/>
      <c r="AP324" s="24"/>
      <c r="AQ324" s="24"/>
      <c r="AR324" s="24">
        <v>45923.326145648149</v>
      </c>
      <c r="AS324" s="24">
        <v>45923.326145648149</v>
      </c>
      <c r="AX324" s="24"/>
      <c r="AY324" s="24"/>
      <c r="AZ324" s="24"/>
      <c r="BA324" s="24"/>
      <c r="BC324" s="24"/>
      <c r="BD324" s="24"/>
      <c r="BE324" s="24"/>
      <c r="BF324" s="24"/>
      <c r="BH324" s="24">
        <v>45923.326145648149</v>
      </c>
      <c r="BI324" s="24">
        <v>45923.326145648149</v>
      </c>
      <c r="BJ324" s="24">
        <v>45929.378972175924</v>
      </c>
      <c r="BK324" s="24">
        <v>45929.378972175924</v>
      </c>
      <c r="BL324">
        <v>1</v>
      </c>
      <c r="BM324" s="24"/>
      <c r="BN324" s="24"/>
      <c r="BO324" s="24"/>
      <c r="BP324" s="24"/>
      <c r="BR324" s="24">
        <v>45940.653679097224</v>
      </c>
      <c r="BS324" s="24">
        <v>45940.653679097224</v>
      </c>
      <c r="BT324" s="24">
        <v>45943.405883009262</v>
      </c>
      <c r="BU324" s="24">
        <v>45943.405883009262</v>
      </c>
      <c r="BV324">
        <v>1</v>
      </c>
      <c r="BW324" s="24"/>
      <c r="BX324" s="24"/>
      <c r="BY324" s="24"/>
      <c r="BZ324" s="24"/>
      <c r="CB324" s="24"/>
      <c r="CC324" s="24"/>
      <c r="CE324" s="24">
        <v>45943.405883009262</v>
      </c>
      <c r="CF324" s="24">
        <v>45943.405883009262</v>
      </c>
      <c r="CG324">
        <v>1</v>
      </c>
      <c r="CH324" s="24"/>
      <c r="CI324" s="24"/>
      <c r="CJ324" s="24"/>
      <c r="CK324" s="24"/>
      <c r="DE324" s="24"/>
      <c r="DF324" s="24"/>
      <c r="DG324" s="24"/>
      <c r="DH324" s="24"/>
      <c r="DJ324" t="s">
        <v>149</v>
      </c>
      <c r="DK324" t="s">
        <v>149</v>
      </c>
      <c r="DM324">
        <v>21</v>
      </c>
      <c r="DN324">
        <v>15</v>
      </c>
      <c r="DQ324" t="s">
        <v>1000</v>
      </c>
      <c r="DR324" t="s">
        <v>149</v>
      </c>
      <c r="DS324" s="24">
        <v>46160.384426226854</v>
      </c>
    </row>
    <row r="325" spans="1:123" x14ac:dyDescent="0.3">
      <c r="A325" t="s">
        <v>575</v>
      </c>
      <c r="D325" t="s">
        <v>223</v>
      </c>
      <c r="E325" s="24">
        <v>45912.683229166665</v>
      </c>
      <c r="G325" t="s">
        <v>90</v>
      </c>
      <c r="H325" t="s">
        <v>155</v>
      </c>
      <c r="I325" s="24"/>
      <c r="J325" s="24"/>
      <c r="K325" s="24"/>
      <c r="L325" s="24"/>
      <c r="N325" s="24"/>
      <c r="O325" s="24"/>
      <c r="P325" s="24"/>
      <c r="Q325" s="24"/>
      <c r="V325" s="24"/>
      <c r="W325" s="24"/>
      <c r="X325" s="24"/>
      <c r="Y325" s="24"/>
      <c r="AA325" s="24">
        <v>45918.342440474538</v>
      </c>
      <c r="AB325" s="24">
        <v>45918.342440474538</v>
      </c>
      <c r="AC325" s="24">
        <v>45918.371908912035</v>
      </c>
      <c r="AD325" s="24">
        <v>45918.371908912035</v>
      </c>
      <c r="AE325">
        <v>1</v>
      </c>
      <c r="AF325" s="24">
        <v>45918.371908912035</v>
      </c>
      <c r="AG325" s="24">
        <v>45918.371908912035</v>
      </c>
      <c r="AH325" s="24">
        <v>45930.399483530091</v>
      </c>
      <c r="AI325" s="24">
        <v>45930.399483530091</v>
      </c>
      <c r="AJ325">
        <v>1</v>
      </c>
      <c r="AK325" s="24"/>
      <c r="AL325" s="24"/>
      <c r="AM325" s="24"/>
      <c r="AN325" s="24"/>
      <c r="AP325" s="24"/>
      <c r="AQ325" s="24"/>
      <c r="AR325" s="24">
        <v>45918.337890486109</v>
      </c>
      <c r="AS325" s="24">
        <v>45918.337890486109</v>
      </c>
      <c r="AX325" s="24"/>
      <c r="AY325" s="24"/>
      <c r="AZ325" s="24"/>
      <c r="BA325" s="24"/>
      <c r="BC325" s="24"/>
      <c r="BD325" s="24"/>
      <c r="BE325" s="24"/>
      <c r="BF325" s="24"/>
      <c r="BH325" s="24">
        <v>45918.337890486109</v>
      </c>
      <c r="BI325" s="24">
        <v>45918.337890486109</v>
      </c>
      <c r="BJ325" s="24">
        <v>45918.342440474538</v>
      </c>
      <c r="BK325" s="24">
        <v>45918.342440474538</v>
      </c>
      <c r="BL325">
        <v>1</v>
      </c>
      <c r="BM325" s="24"/>
      <c r="BN325" s="24"/>
      <c r="BO325" s="24"/>
      <c r="BP325" s="24"/>
      <c r="BR325" s="24"/>
      <c r="BS325" s="24"/>
      <c r="BT325" s="24"/>
      <c r="BU325" s="24"/>
      <c r="BW325" s="24"/>
      <c r="BX325" s="24"/>
      <c r="BY325" s="24"/>
      <c r="BZ325" s="24"/>
      <c r="CB325" s="24"/>
      <c r="CC325" s="24"/>
      <c r="CE325" s="24">
        <v>45930.399483530091</v>
      </c>
      <c r="CF325" s="24">
        <v>45930.399483530091</v>
      </c>
      <c r="CG325">
        <v>1</v>
      </c>
      <c r="CH325" s="24"/>
      <c r="CI325" s="24"/>
      <c r="CJ325" s="24"/>
      <c r="CK325" s="24"/>
      <c r="DE325" s="24"/>
      <c r="DF325" s="24"/>
      <c r="DG325" s="24"/>
      <c r="DH325" s="24"/>
      <c r="DJ325" t="s">
        <v>149</v>
      </c>
      <c r="DK325" t="s">
        <v>149</v>
      </c>
      <c r="DM325">
        <v>13</v>
      </c>
      <c r="DN325">
        <v>13</v>
      </c>
      <c r="DQ325" t="s">
        <v>1000</v>
      </c>
      <c r="DR325" t="s">
        <v>149</v>
      </c>
      <c r="DS325" s="24">
        <v>46160.384426226854</v>
      </c>
    </row>
    <row r="326" spans="1:123" x14ac:dyDescent="0.3">
      <c r="A326" t="s">
        <v>576</v>
      </c>
      <c r="D326" t="s">
        <v>225</v>
      </c>
      <c r="E326" s="24">
        <v>45912.380752314813</v>
      </c>
      <c r="G326" t="s">
        <v>90</v>
      </c>
      <c r="H326" t="s">
        <v>155</v>
      </c>
      <c r="I326" s="24"/>
      <c r="J326" s="24"/>
      <c r="K326" s="24"/>
      <c r="L326" s="24"/>
      <c r="N326" s="24"/>
      <c r="O326" s="24"/>
      <c r="P326" s="24"/>
      <c r="Q326" s="24"/>
      <c r="V326" s="24"/>
      <c r="W326" s="24"/>
      <c r="X326" s="24"/>
      <c r="Y326" s="24"/>
      <c r="AA326" s="24">
        <v>45937.420437233799</v>
      </c>
      <c r="AB326" s="24">
        <v>45937.420437233799</v>
      </c>
      <c r="AC326" s="24">
        <v>45937.609599282405</v>
      </c>
      <c r="AD326" s="24">
        <v>45937.609599282405</v>
      </c>
      <c r="AE326">
        <v>1</v>
      </c>
      <c r="AF326" s="24">
        <v>45937.609599282405</v>
      </c>
      <c r="AG326" s="24">
        <v>45937.609599282405</v>
      </c>
      <c r="AH326" s="24">
        <v>45945.595485081016</v>
      </c>
      <c r="AI326" s="24">
        <v>45945.595485081016</v>
      </c>
      <c r="AJ326">
        <v>1</v>
      </c>
      <c r="AK326" s="24">
        <v>45945.595485081016</v>
      </c>
      <c r="AL326" s="24">
        <v>45945.595485081016</v>
      </c>
      <c r="AM326" s="24">
        <v>45945.612108530091</v>
      </c>
      <c r="AN326" s="24">
        <v>45945.612108530091</v>
      </c>
      <c r="AO326">
        <v>1</v>
      </c>
      <c r="AP326" s="24"/>
      <c r="AQ326" s="24"/>
      <c r="AR326" s="24">
        <v>45930.481132106484</v>
      </c>
      <c r="AS326" s="24">
        <v>45930.481132106484</v>
      </c>
      <c r="AX326" s="24"/>
      <c r="AY326" s="24"/>
      <c r="AZ326" s="24"/>
      <c r="BA326" s="24"/>
      <c r="BC326" s="24">
        <v>45945.616247847225</v>
      </c>
      <c r="BD326" s="24">
        <v>45945.616247847225</v>
      </c>
      <c r="BE326" s="24">
        <v>45947.628681111113</v>
      </c>
      <c r="BF326" s="24">
        <v>45947.628681111113</v>
      </c>
      <c r="BG326">
        <v>1</v>
      </c>
      <c r="BH326" s="24">
        <v>45930.481132106484</v>
      </c>
      <c r="BI326" s="24">
        <v>45930.481132106484</v>
      </c>
      <c r="BJ326" s="24">
        <v>45937.420437233799</v>
      </c>
      <c r="BK326" s="24">
        <v>45937.420437233799</v>
      </c>
      <c r="BL326">
        <v>1</v>
      </c>
      <c r="BM326" s="24"/>
      <c r="BN326" s="24"/>
      <c r="BO326" s="24"/>
      <c r="BP326" s="24"/>
      <c r="BR326" s="24">
        <v>45945.612108530091</v>
      </c>
      <c r="BS326" s="24">
        <v>45945.612108530091</v>
      </c>
      <c r="BT326" s="24">
        <v>45945.616247847225</v>
      </c>
      <c r="BU326" s="24">
        <v>45945.616247847225</v>
      </c>
      <c r="BV326">
        <v>1</v>
      </c>
      <c r="BW326" s="24"/>
      <c r="BX326" s="24"/>
      <c r="BY326" s="24"/>
      <c r="BZ326" s="24"/>
      <c r="CB326" s="24"/>
      <c r="CC326" s="24"/>
      <c r="CE326" s="24">
        <v>45947.628681111113</v>
      </c>
      <c r="CF326" s="24">
        <v>45947.628681111113</v>
      </c>
      <c r="CG326">
        <v>1</v>
      </c>
      <c r="CH326" s="24"/>
      <c r="CI326" s="24"/>
      <c r="CJ326" s="24"/>
      <c r="CK326" s="24"/>
      <c r="DE326" s="24"/>
      <c r="DF326" s="24"/>
      <c r="DG326" s="24"/>
      <c r="DH326" s="24"/>
      <c r="DJ326" t="s">
        <v>149</v>
      </c>
      <c r="DK326" t="s">
        <v>149</v>
      </c>
      <c r="DM326">
        <v>18</v>
      </c>
      <c r="DN326">
        <v>11</v>
      </c>
      <c r="DQ326" t="s">
        <v>1000</v>
      </c>
      <c r="DR326" t="s">
        <v>149</v>
      </c>
      <c r="DS326" s="24">
        <v>46160.384426226854</v>
      </c>
    </row>
    <row r="327" spans="1:123" x14ac:dyDescent="0.3">
      <c r="A327" t="s">
        <v>577</v>
      </c>
      <c r="D327" t="s">
        <v>225</v>
      </c>
      <c r="E327" s="24">
        <v>45911.738657407404</v>
      </c>
      <c r="G327" t="s">
        <v>90</v>
      </c>
      <c r="H327" t="s">
        <v>155</v>
      </c>
      <c r="I327" s="24"/>
      <c r="J327" s="24"/>
      <c r="K327" s="24"/>
      <c r="L327" s="24"/>
      <c r="N327" s="24"/>
      <c r="O327" s="24"/>
      <c r="P327" s="24"/>
      <c r="Q327" s="24"/>
      <c r="V327" s="24"/>
      <c r="W327" s="24"/>
      <c r="X327" s="24"/>
      <c r="Y327" s="24"/>
      <c r="AA327" s="24">
        <v>45974.629147916668</v>
      </c>
      <c r="AB327" s="24">
        <v>45974.629147916668</v>
      </c>
      <c r="AC327" s="24">
        <v>45975.482416620369</v>
      </c>
      <c r="AD327" s="24">
        <v>45975.482416620369</v>
      </c>
      <c r="AE327">
        <v>1</v>
      </c>
      <c r="AF327" s="24">
        <v>45975.482416620369</v>
      </c>
      <c r="AG327" s="24">
        <v>45975.482416620369</v>
      </c>
      <c r="AH327" s="24">
        <v>45982.447034502315</v>
      </c>
      <c r="AI327" s="24">
        <v>45982.447034502315</v>
      </c>
      <c r="AJ327">
        <v>1</v>
      </c>
      <c r="AK327" s="24">
        <v>45982.447034502315</v>
      </c>
      <c r="AL327" s="24">
        <v>45982.447034502315</v>
      </c>
      <c r="AM327" s="24">
        <v>45986.363286412037</v>
      </c>
      <c r="AN327" s="24">
        <v>45986.363286412037</v>
      </c>
      <c r="AO327">
        <v>1</v>
      </c>
      <c r="AP327" s="24"/>
      <c r="AQ327" s="24"/>
      <c r="AR327" s="24">
        <v>45930.483009143521</v>
      </c>
      <c r="AS327" s="24">
        <v>45930.483009143521</v>
      </c>
      <c r="AX327" s="24"/>
      <c r="AY327" s="24"/>
      <c r="AZ327" s="24"/>
      <c r="BA327" s="24"/>
      <c r="BC327" s="24">
        <v>45986.403318368059</v>
      </c>
      <c r="BD327" s="24">
        <v>45986.403318368059</v>
      </c>
      <c r="BE327" s="24">
        <v>45995.596151180558</v>
      </c>
      <c r="BF327" s="24">
        <v>45995.596151180558</v>
      </c>
      <c r="BG327">
        <v>1</v>
      </c>
      <c r="BH327" s="24">
        <v>45930.483009143521</v>
      </c>
      <c r="BI327" s="24">
        <v>45930.483009143521</v>
      </c>
      <c r="BJ327" s="24">
        <v>45974.629147916668</v>
      </c>
      <c r="BK327" s="24">
        <v>45974.629147916668</v>
      </c>
      <c r="BL327">
        <v>1</v>
      </c>
      <c r="BM327" s="24"/>
      <c r="BN327" s="24"/>
      <c r="BO327" s="24"/>
      <c r="BP327" s="24"/>
      <c r="BR327" s="24">
        <v>45986.363286412037</v>
      </c>
      <c r="BS327" s="24">
        <v>45986.363286412037</v>
      </c>
      <c r="BT327" s="24">
        <v>45986.403318368059</v>
      </c>
      <c r="BU327" s="24">
        <v>45986.403318368059</v>
      </c>
      <c r="BV327">
        <v>1</v>
      </c>
      <c r="BW327" s="24"/>
      <c r="BX327" s="24"/>
      <c r="BY327" s="24"/>
      <c r="BZ327" s="24"/>
      <c r="CB327" s="24"/>
      <c r="CC327" s="24"/>
      <c r="CE327" s="24">
        <v>45995.596151180558</v>
      </c>
      <c r="CF327" s="24">
        <v>45995.596151180558</v>
      </c>
      <c r="CG327">
        <v>1</v>
      </c>
      <c r="CH327" s="24"/>
      <c r="CI327" s="24"/>
      <c r="CJ327" s="24"/>
      <c r="CK327" s="24"/>
      <c r="DE327" s="24"/>
      <c r="DF327" s="24"/>
      <c r="DG327" s="24"/>
      <c r="DH327" s="24"/>
      <c r="DJ327" t="s">
        <v>149</v>
      </c>
      <c r="DK327" t="s">
        <v>149</v>
      </c>
      <c r="DM327">
        <v>66</v>
      </c>
      <c r="DN327">
        <v>21</v>
      </c>
      <c r="DQ327" t="s">
        <v>1000</v>
      </c>
      <c r="DR327" t="s">
        <v>149</v>
      </c>
      <c r="DS327" s="24">
        <v>46160.384426226854</v>
      </c>
    </row>
    <row r="328" spans="1:123" x14ac:dyDescent="0.3">
      <c r="A328" t="s">
        <v>578</v>
      </c>
      <c r="D328" t="s">
        <v>225</v>
      </c>
      <c r="E328" s="24">
        <v>45911.738229166665</v>
      </c>
      <c r="G328" t="s">
        <v>102</v>
      </c>
      <c r="H328" t="s">
        <v>154</v>
      </c>
      <c r="I328" s="24"/>
      <c r="J328" s="24"/>
      <c r="K328" s="24"/>
      <c r="L328" s="24"/>
      <c r="N328" s="24"/>
      <c r="O328" s="24"/>
      <c r="P328" s="24"/>
      <c r="Q328" s="24"/>
      <c r="V328" s="24"/>
      <c r="W328" s="24"/>
      <c r="X328" s="24"/>
      <c r="Y328" s="24"/>
      <c r="AA328" s="24"/>
      <c r="AB328" s="24"/>
      <c r="AC328" s="24"/>
      <c r="AD328" s="24"/>
      <c r="AF328" s="24"/>
      <c r="AG328" s="24"/>
      <c r="AH328" s="24"/>
      <c r="AI328" s="24"/>
      <c r="AK328" s="24"/>
      <c r="AL328" s="24"/>
      <c r="AM328" s="24"/>
      <c r="AN328" s="24"/>
      <c r="AP328" s="24"/>
      <c r="AQ328" s="24"/>
      <c r="AR328" s="24"/>
      <c r="AS328" s="24"/>
      <c r="AX328" s="24"/>
      <c r="AY328" s="24"/>
      <c r="AZ328" s="24"/>
      <c r="BA328" s="24"/>
      <c r="BC328" s="24"/>
      <c r="BD328" s="24"/>
      <c r="BE328" s="24"/>
      <c r="BF328" s="24"/>
      <c r="BH328" s="24"/>
      <c r="BI328" s="24"/>
      <c r="BJ328" s="24"/>
      <c r="BK328" s="24"/>
      <c r="BM328" s="24"/>
      <c r="BN328" s="24"/>
      <c r="BO328" s="24"/>
      <c r="BP328" s="24"/>
      <c r="BR328" s="24"/>
      <c r="BS328" s="24"/>
      <c r="BT328" s="24"/>
      <c r="BU328" s="24"/>
      <c r="BW328" s="24"/>
      <c r="BX328" s="24"/>
      <c r="BY328" s="24"/>
      <c r="BZ328" s="24"/>
      <c r="CB328" s="24"/>
      <c r="CC328" s="24"/>
      <c r="CE328" s="24"/>
      <c r="CF328" s="24"/>
      <c r="CH328" s="24"/>
      <c r="CI328" s="24"/>
      <c r="CJ328" s="24"/>
      <c r="CK328" s="24"/>
      <c r="DE328" s="24"/>
      <c r="DF328" s="24"/>
      <c r="DG328" s="24"/>
      <c r="DH328" s="24"/>
      <c r="DJ328" t="s">
        <v>149</v>
      </c>
      <c r="DK328" t="s">
        <v>149</v>
      </c>
      <c r="DQ328" t="s">
        <v>1000</v>
      </c>
      <c r="DR328" t="s">
        <v>149</v>
      </c>
      <c r="DS328" s="24">
        <v>46160.384426226854</v>
      </c>
    </row>
    <row r="329" spans="1:123" x14ac:dyDescent="0.3">
      <c r="A329" t="s">
        <v>579</v>
      </c>
      <c r="D329" t="s">
        <v>223</v>
      </c>
      <c r="E329" s="24">
        <v>45911.737847222219</v>
      </c>
      <c r="G329" t="s">
        <v>90</v>
      </c>
      <c r="H329" t="s">
        <v>155</v>
      </c>
      <c r="I329" s="24"/>
      <c r="J329" s="24"/>
      <c r="K329" s="24"/>
      <c r="L329" s="24"/>
      <c r="N329" s="24"/>
      <c r="O329" s="24"/>
      <c r="P329" s="24"/>
      <c r="Q329" s="24"/>
      <c r="V329" s="24"/>
      <c r="W329" s="24"/>
      <c r="X329" s="24"/>
      <c r="Y329" s="24"/>
      <c r="AA329" s="24">
        <v>45929.574687453707</v>
      </c>
      <c r="AB329" s="24">
        <v>45929.574687453707</v>
      </c>
      <c r="AC329" s="24">
        <v>45937.418930995373</v>
      </c>
      <c r="AD329" s="24">
        <v>45937.418930995373</v>
      </c>
      <c r="AE329">
        <v>1</v>
      </c>
      <c r="AF329" s="24">
        <v>45945.455482476849</v>
      </c>
      <c r="AG329" s="24">
        <v>45937.418930995373</v>
      </c>
      <c r="AH329" s="24">
        <v>45944.621156134257</v>
      </c>
      <c r="AI329" s="24">
        <v>45945.455652384262</v>
      </c>
      <c r="AJ329">
        <v>2</v>
      </c>
      <c r="AK329" s="24">
        <v>45944.621156134257</v>
      </c>
      <c r="AL329" s="24">
        <v>45944.621156134257</v>
      </c>
      <c r="AM329" s="24">
        <v>45944.62121902778</v>
      </c>
      <c r="AN329" s="24">
        <v>45944.62121902778</v>
      </c>
      <c r="AO329">
        <v>1</v>
      </c>
      <c r="AP329" s="24"/>
      <c r="AQ329" s="24"/>
      <c r="AR329" s="24">
        <v>45923.325476874998</v>
      </c>
      <c r="AS329" s="24">
        <v>45923.325476874998</v>
      </c>
      <c r="AX329" s="24"/>
      <c r="AY329" s="24"/>
      <c r="AZ329" s="24"/>
      <c r="BA329" s="24"/>
      <c r="BC329" s="24">
        <v>45944.62128939815</v>
      </c>
      <c r="BD329" s="24">
        <v>45944.62128939815</v>
      </c>
      <c r="BE329" s="24">
        <v>45945.455482476849</v>
      </c>
      <c r="BF329" s="24">
        <v>45945.455482476849</v>
      </c>
      <c r="BG329">
        <v>1</v>
      </c>
      <c r="BH329" s="24">
        <v>45923.325476874998</v>
      </c>
      <c r="BI329" s="24">
        <v>45923.325476874998</v>
      </c>
      <c r="BJ329" s="24">
        <v>45929.574687453707</v>
      </c>
      <c r="BK329" s="24">
        <v>45929.574687453707</v>
      </c>
      <c r="BL329">
        <v>1</v>
      </c>
      <c r="BM329" s="24"/>
      <c r="BN329" s="24"/>
      <c r="BO329" s="24"/>
      <c r="BP329" s="24"/>
      <c r="BR329" s="24">
        <v>45944.62121902778</v>
      </c>
      <c r="BS329" s="24">
        <v>45944.62121902778</v>
      </c>
      <c r="BT329" s="24">
        <v>45944.62128939815</v>
      </c>
      <c r="BU329" s="24">
        <v>45944.62128939815</v>
      </c>
      <c r="BV329">
        <v>1</v>
      </c>
      <c r="BW329" s="24"/>
      <c r="BX329" s="24"/>
      <c r="BY329" s="24"/>
      <c r="BZ329" s="24"/>
      <c r="CB329" s="24"/>
      <c r="CC329" s="24"/>
      <c r="CE329" s="24">
        <v>45945.455652384262</v>
      </c>
      <c r="CF329" s="24">
        <v>45945.455652384262</v>
      </c>
      <c r="CG329">
        <v>1</v>
      </c>
      <c r="CH329" s="24"/>
      <c r="CI329" s="24"/>
      <c r="CJ329" s="24"/>
      <c r="CK329" s="24"/>
      <c r="DE329" s="24"/>
      <c r="DF329" s="24"/>
      <c r="DG329" s="24"/>
      <c r="DH329" s="24"/>
      <c r="DJ329" t="s">
        <v>149</v>
      </c>
      <c r="DK329" t="s">
        <v>149</v>
      </c>
      <c r="DM329">
        <v>23</v>
      </c>
      <c r="DN329">
        <v>16</v>
      </c>
      <c r="DQ329" t="s">
        <v>1000</v>
      </c>
      <c r="DR329" t="s">
        <v>149</v>
      </c>
      <c r="DS329" s="24">
        <v>46160.384426226854</v>
      </c>
    </row>
    <row r="330" spans="1:123" x14ac:dyDescent="0.3">
      <c r="A330" t="s">
        <v>580</v>
      </c>
      <c r="D330" t="s">
        <v>225</v>
      </c>
      <c r="E330" s="24">
        <v>45911.73678240741</v>
      </c>
      <c r="G330" t="s">
        <v>90</v>
      </c>
      <c r="H330" t="s">
        <v>155</v>
      </c>
      <c r="I330" s="24"/>
      <c r="J330" s="24"/>
      <c r="K330" s="24"/>
      <c r="L330" s="24"/>
      <c r="N330" s="24"/>
      <c r="O330" s="24"/>
      <c r="P330" s="24"/>
      <c r="Q330" s="24"/>
      <c r="V330" s="24"/>
      <c r="W330" s="24"/>
      <c r="X330" s="24"/>
      <c r="Y330" s="24"/>
      <c r="AA330" s="24">
        <v>45959.35582420139</v>
      </c>
      <c r="AB330" s="24">
        <v>45959.35582420139</v>
      </c>
      <c r="AC330" s="24">
        <v>45959.578955636571</v>
      </c>
      <c r="AD330" s="24">
        <v>45959.578955636571</v>
      </c>
      <c r="AE330">
        <v>1</v>
      </c>
      <c r="AF330" s="24">
        <v>45959.578955636571</v>
      </c>
      <c r="AG330" s="24">
        <v>45959.578955636571</v>
      </c>
      <c r="AH330" s="24">
        <v>45964.686948622686</v>
      </c>
      <c r="AI330" s="24">
        <v>45964.686948622686</v>
      </c>
      <c r="AJ330">
        <v>1</v>
      </c>
      <c r="AK330" s="24">
        <v>45964.686948622686</v>
      </c>
      <c r="AL330" s="24">
        <v>45964.686948622686</v>
      </c>
      <c r="AM330" s="24">
        <v>45968.410163692133</v>
      </c>
      <c r="AN330" s="24">
        <v>45968.410163692133</v>
      </c>
      <c r="AO330">
        <v>1</v>
      </c>
      <c r="AP330" s="24"/>
      <c r="AQ330" s="24"/>
      <c r="AR330" s="24">
        <v>45958.493266412035</v>
      </c>
      <c r="AS330" s="24">
        <v>45958.493266412035</v>
      </c>
      <c r="AX330" s="24"/>
      <c r="AY330" s="24"/>
      <c r="AZ330" s="24"/>
      <c r="BA330" s="24"/>
      <c r="BC330" s="24">
        <v>45968.410288217594</v>
      </c>
      <c r="BD330" s="24">
        <v>45968.410288217594</v>
      </c>
      <c r="BE330" s="24">
        <v>45972.380275416668</v>
      </c>
      <c r="BF330" s="24">
        <v>45972.380275416668</v>
      </c>
      <c r="BG330">
        <v>1</v>
      </c>
      <c r="BH330" s="24">
        <v>45958.493266412035</v>
      </c>
      <c r="BI330" s="24">
        <v>45958.493266412035</v>
      </c>
      <c r="BJ330" s="24">
        <v>45959.35582420139</v>
      </c>
      <c r="BK330" s="24">
        <v>45959.35582420139</v>
      </c>
      <c r="BL330">
        <v>1</v>
      </c>
      <c r="BM330" s="24"/>
      <c r="BN330" s="24"/>
      <c r="BO330" s="24"/>
      <c r="BP330" s="24"/>
      <c r="BR330" s="24">
        <v>45968.410163692133</v>
      </c>
      <c r="BS330" s="24">
        <v>45968.410163692133</v>
      </c>
      <c r="BT330" s="24">
        <v>45968.410288217594</v>
      </c>
      <c r="BU330" s="24">
        <v>45968.410288217594</v>
      </c>
      <c r="BV330">
        <v>1</v>
      </c>
      <c r="BW330" s="24"/>
      <c r="BX330" s="24"/>
      <c r="BY330" s="24"/>
      <c r="BZ330" s="24"/>
      <c r="CB330" s="24"/>
      <c r="CC330" s="24"/>
      <c r="CE330" s="24">
        <v>45972.380275416668</v>
      </c>
      <c r="CF330" s="24">
        <v>45972.380275416668</v>
      </c>
      <c r="CG330">
        <v>1</v>
      </c>
      <c r="CH330" s="24"/>
      <c r="CI330" s="24"/>
      <c r="CJ330" s="24"/>
      <c r="CK330" s="24"/>
      <c r="DE330" s="24"/>
      <c r="DF330" s="24"/>
      <c r="DG330" s="24"/>
      <c r="DH330" s="24"/>
      <c r="DJ330" t="s">
        <v>149</v>
      </c>
      <c r="DK330" t="s">
        <v>149</v>
      </c>
      <c r="DM330">
        <v>14</v>
      </c>
      <c r="DN330">
        <v>14</v>
      </c>
      <c r="DQ330" t="s">
        <v>1000</v>
      </c>
      <c r="DR330" t="s">
        <v>149</v>
      </c>
      <c r="DS330" s="24">
        <v>46160.384426226854</v>
      </c>
    </row>
    <row r="331" spans="1:123" x14ac:dyDescent="0.3">
      <c r="A331" t="s">
        <v>581</v>
      </c>
      <c r="D331" t="s">
        <v>225</v>
      </c>
      <c r="E331" s="24">
        <v>45911.734224537038</v>
      </c>
      <c r="G331" t="s">
        <v>90</v>
      </c>
      <c r="H331" t="s">
        <v>155</v>
      </c>
      <c r="I331" s="24"/>
      <c r="J331" s="24"/>
      <c r="K331" s="24"/>
      <c r="L331" s="24"/>
      <c r="N331" s="24"/>
      <c r="O331" s="24"/>
      <c r="P331" s="24"/>
      <c r="Q331" s="24"/>
      <c r="V331" s="24"/>
      <c r="W331" s="24"/>
      <c r="X331" s="24"/>
      <c r="Y331" s="24"/>
      <c r="AA331" s="24">
        <v>45975.483160868054</v>
      </c>
      <c r="AB331" s="24">
        <v>45975.483160868054</v>
      </c>
      <c r="AC331" s="24">
        <v>45980.930060833336</v>
      </c>
      <c r="AD331" s="24">
        <v>45980.930060833336</v>
      </c>
      <c r="AE331">
        <v>1</v>
      </c>
      <c r="AF331" s="24">
        <v>45980.930060833336</v>
      </c>
      <c r="AG331" s="24">
        <v>45980.930060833336</v>
      </c>
      <c r="AH331" s="24">
        <v>45982.449628750001</v>
      </c>
      <c r="AI331" s="24">
        <v>45982.449628750001</v>
      </c>
      <c r="AJ331">
        <v>1</v>
      </c>
      <c r="AK331" s="24">
        <v>45982.449628750001</v>
      </c>
      <c r="AL331" s="24">
        <v>45982.449628750001</v>
      </c>
      <c r="AM331" s="24">
        <v>45985.411872534722</v>
      </c>
      <c r="AN331" s="24">
        <v>45985.411872534722</v>
      </c>
      <c r="AO331">
        <v>1</v>
      </c>
      <c r="AP331" s="24"/>
      <c r="AQ331" s="24"/>
      <c r="AR331" s="24">
        <v>45973.42366133102</v>
      </c>
      <c r="AS331" s="24">
        <v>45973.42366133102</v>
      </c>
      <c r="AX331" s="24"/>
      <c r="AY331" s="24"/>
      <c r="AZ331" s="24"/>
      <c r="BA331" s="24"/>
      <c r="BC331" s="24">
        <v>45985.445314710647</v>
      </c>
      <c r="BD331" s="24">
        <v>45985.445314710647</v>
      </c>
      <c r="BE331" s="24">
        <v>45995.596152812497</v>
      </c>
      <c r="BF331" s="24">
        <v>45995.596152812497</v>
      </c>
      <c r="BG331">
        <v>1</v>
      </c>
      <c r="BH331" s="24">
        <v>45973.42366133102</v>
      </c>
      <c r="BI331" s="24">
        <v>45973.42366133102</v>
      </c>
      <c r="BJ331" s="24">
        <v>45975.483160868054</v>
      </c>
      <c r="BK331" s="24">
        <v>45975.483160868054</v>
      </c>
      <c r="BL331">
        <v>1</v>
      </c>
      <c r="BM331" s="24"/>
      <c r="BN331" s="24"/>
      <c r="BO331" s="24"/>
      <c r="BP331" s="24"/>
      <c r="BR331" s="24">
        <v>45985.411872534722</v>
      </c>
      <c r="BS331" s="24">
        <v>45985.411872534722</v>
      </c>
      <c r="BT331" s="24">
        <v>45985.445314710647</v>
      </c>
      <c r="BU331" s="24">
        <v>45985.445314710647</v>
      </c>
      <c r="BV331">
        <v>1</v>
      </c>
      <c r="BW331" s="24"/>
      <c r="BX331" s="24"/>
      <c r="BY331" s="24"/>
      <c r="BZ331" s="24"/>
      <c r="CB331" s="24"/>
      <c r="CC331" s="24"/>
      <c r="CE331" s="24">
        <v>45995.596152812497</v>
      </c>
      <c r="CF331" s="24">
        <v>45995.596152812497</v>
      </c>
      <c r="CG331">
        <v>1</v>
      </c>
      <c r="CH331" s="24"/>
      <c r="CI331" s="24"/>
      <c r="CJ331" s="24"/>
      <c r="CK331" s="24"/>
      <c r="DE331" s="24"/>
      <c r="DF331" s="24"/>
      <c r="DG331" s="24"/>
      <c r="DH331" s="24"/>
      <c r="DJ331" t="s">
        <v>149</v>
      </c>
      <c r="DK331" t="s">
        <v>149</v>
      </c>
      <c r="DM331">
        <v>23</v>
      </c>
      <c r="DN331">
        <v>21</v>
      </c>
      <c r="DQ331" t="s">
        <v>1000</v>
      </c>
      <c r="DR331" t="s">
        <v>149</v>
      </c>
      <c r="DS331" s="24">
        <v>46160.384426226854</v>
      </c>
    </row>
    <row r="332" spans="1:123" x14ac:dyDescent="0.3">
      <c r="A332" t="s">
        <v>582</v>
      </c>
      <c r="D332" t="s">
        <v>225</v>
      </c>
      <c r="E332" s="24">
        <v>45911.732881944445</v>
      </c>
      <c r="G332" t="s">
        <v>90</v>
      </c>
      <c r="H332" t="s">
        <v>155</v>
      </c>
      <c r="I332" s="24"/>
      <c r="J332" s="24"/>
      <c r="K332" s="24"/>
      <c r="L332" s="24"/>
      <c r="N332" s="24"/>
      <c r="O332" s="24"/>
      <c r="P332" s="24"/>
      <c r="Q332" s="24"/>
      <c r="V332" s="24"/>
      <c r="W332" s="24"/>
      <c r="X332" s="24"/>
      <c r="Y332" s="24"/>
      <c r="AA332" s="24">
        <v>45919.389903113428</v>
      </c>
      <c r="AB332" s="24">
        <v>45919.389903113428</v>
      </c>
      <c r="AC332" s="24">
        <v>45929.574652939817</v>
      </c>
      <c r="AD332" s="24">
        <v>45929.574652939817</v>
      </c>
      <c r="AE332">
        <v>1</v>
      </c>
      <c r="AF332" s="24">
        <v>45929.574652939817</v>
      </c>
      <c r="AG332" s="24">
        <v>45929.574652939817</v>
      </c>
      <c r="AH332" s="24">
        <v>45930.437164733798</v>
      </c>
      <c r="AI332" s="24">
        <v>45930.437164733798</v>
      </c>
      <c r="AJ332">
        <v>1</v>
      </c>
      <c r="AK332" s="24">
        <v>45930.437164733798</v>
      </c>
      <c r="AL332" s="24">
        <v>45930.437164733798</v>
      </c>
      <c r="AM332" s="24">
        <v>45930.470364594905</v>
      </c>
      <c r="AN332" s="24">
        <v>45930.470364594905</v>
      </c>
      <c r="AO332">
        <v>1</v>
      </c>
      <c r="AP332" s="24"/>
      <c r="AQ332" s="24"/>
      <c r="AR332" s="24">
        <v>45919.389783379629</v>
      </c>
      <c r="AS332" s="24">
        <v>45919.389783379629</v>
      </c>
      <c r="AX332" s="24"/>
      <c r="AY332" s="24"/>
      <c r="AZ332" s="24"/>
      <c r="BA332" s="24"/>
      <c r="BC332" s="24">
        <v>45930.470455150462</v>
      </c>
      <c r="BD332" s="24">
        <v>45930.470455150462</v>
      </c>
      <c r="BE332" s="24">
        <v>45931.656223692131</v>
      </c>
      <c r="BF332" s="24">
        <v>45931.656223692131</v>
      </c>
      <c r="BG332">
        <v>1</v>
      </c>
      <c r="BH332" s="24">
        <v>45919.389783379629</v>
      </c>
      <c r="BI332" s="24">
        <v>45919.389783379629</v>
      </c>
      <c r="BJ332" s="24">
        <v>45919.389903113428</v>
      </c>
      <c r="BK332" s="24">
        <v>45919.389903113428</v>
      </c>
      <c r="BL332">
        <v>1</v>
      </c>
      <c r="BM332" s="24"/>
      <c r="BN332" s="24"/>
      <c r="BO332" s="24"/>
      <c r="BP332" s="24"/>
      <c r="BR332" s="24">
        <v>45930.470364594905</v>
      </c>
      <c r="BS332" s="24">
        <v>45930.470364594905</v>
      </c>
      <c r="BT332" s="24">
        <v>45930.470455150462</v>
      </c>
      <c r="BU332" s="24">
        <v>45930.470455150462</v>
      </c>
      <c r="BV332">
        <v>1</v>
      </c>
      <c r="BW332" s="24"/>
      <c r="BX332" s="24"/>
      <c r="BY332" s="24"/>
      <c r="BZ332" s="24"/>
      <c r="CB332" s="24"/>
      <c r="CC332" s="24"/>
      <c r="CE332" s="24">
        <v>45931.656223692131</v>
      </c>
      <c r="CF332" s="24">
        <v>45931.656223692131</v>
      </c>
      <c r="CG332">
        <v>1</v>
      </c>
      <c r="CH332" s="24"/>
      <c r="CI332" s="24"/>
      <c r="CJ332" s="24"/>
      <c r="CK332" s="24"/>
      <c r="DE332" s="24"/>
      <c r="DF332" s="24"/>
      <c r="DG332" s="24"/>
      <c r="DH332" s="24"/>
      <c r="DJ332" t="s">
        <v>149</v>
      </c>
      <c r="DK332" t="s">
        <v>149</v>
      </c>
      <c r="DM332">
        <v>13</v>
      </c>
      <c r="DN332">
        <v>13</v>
      </c>
      <c r="DQ332" t="s">
        <v>1000</v>
      </c>
      <c r="DR332" t="s">
        <v>149</v>
      </c>
      <c r="DS332" s="24">
        <v>46160.384426226854</v>
      </c>
    </row>
    <row r="333" spans="1:123" x14ac:dyDescent="0.3">
      <c r="A333" t="s">
        <v>583</v>
      </c>
      <c r="D333" t="s">
        <v>225</v>
      </c>
      <c r="E333" s="24">
        <v>45911.73265046296</v>
      </c>
      <c r="G333" t="s">
        <v>90</v>
      </c>
      <c r="H333" t="s">
        <v>155</v>
      </c>
      <c r="I333" s="24"/>
      <c r="J333" s="24"/>
      <c r="K333" s="24"/>
      <c r="L333" s="24"/>
      <c r="N333" s="24"/>
      <c r="O333" s="24"/>
      <c r="P333" s="24"/>
      <c r="Q333" s="24"/>
      <c r="V333" s="24"/>
      <c r="W333" s="24"/>
      <c r="X333" s="24"/>
      <c r="Y333" s="24"/>
      <c r="AA333" s="24">
        <v>45945.370773703704</v>
      </c>
      <c r="AB333" s="24">
        <v>45945.370773703704</v>
      </c>
      <c r="AC333" s="24">
        <v>45945.3710746875</v>
      </c>
      <c r="AD333" s="24">
        <v>45945.3710746875</v>
      </c>
      <c r="AE333">
        <v>1</v>
      </c>
      <c r="AF333" s="24">
        <v>45945.3710746875</v>
      </c>
      <c r="AG333" s="24">
        <v>45945.3710746875</v>
      </c>
      <c r="AH333" s="24">
        <v>45945.44506273148</v>
      </c>
      <c r="AI333" s="24">
        <v>45945.44506273148</v>
      </c>
      <c r="AJ333">
        <v>1</v>
      </c>
      <c r="AK333" s="24">
        <v>45945.44506273148</v>
      </c>
      <c r="AL333" s="24">
        <v>45945.44506273148</v>
      </c>
      <c r="AM333" s="24">
        <v>45947.41685559028</v>
      </c>
      <c r="AN333" s="24">
        <v>45947.41685559028</v>
      </c>
      <c r="AO333">
        <v>1</v>
      </c>
      <c r="AP333" s="24"/>
      <c r="AQ333" s="24"/>
      <c r="AR333" s="24">
        <v>45945.370593946762</v>
      </c>
      <c r="AS333" s="24">
        <v>45945.370593946762</v>
      </c>
      <c r="AX333" s="24"/>
      <c r="AY333" s="24"/>
      <c r="AZ333" s="24"/>
      <c r="BA333" s="24"/>
      <c r="BC333" s="24">
        <v>45950.412316504633</v>
      </c>
      <c r="BD333" s="24">
        <v>45950.412316504633</v>
      </c>
      <c r="BE333" s="24">
        <v>45960.560767152776</v>
      </c>
      <c r="BF333" s="24">
        <v>45960.560767152776</v>
      </c>
      <c r="BG333">
        <v>1</v>
      </c>
      <c r="BH333" s="24">
        <v>45945.370593946762</v>
      </c>
      <c r="BI333" s="24">
        <v>45945.370593946762</v>
      </c>
      <c r="BJ333" s="24">
        <v>45945.370773703704</v>
      </c>
      <c r="BK333" s="24">
        <v>45945.370773703704</v>
      </c>
      <c r="BL333">
        <v>1</v>
      </c>
      <c r="BM333" s="24"/>
      <c r="BN333" s="24"/>
      <c r="BO333" s="24"/>
      <c r="BP333" s="24"/>
      <c r="BR333" s="24">
        <v>45947.41685559028</v>
      </c>
      <c r="BS333" s="24">
        <v>45947.41685559028</v>
      </c>
      <c r="BT333" s="24">
        <v>45950.412316504633</v>
      </c>
      <c r="BU333" s="24">
        <v>45950.412316504633</v>
      </c>
      <c r="BV333">
        <v>1</v>
      </c>
      <c r="BW333" s="24"/>
      <c r="BX333" s="24"/>
      <c r="BY333" s="24"/>
      <c r="BZ333" s="24"/>
      <c r="CB333" s="24"/>
      <c r="CC333" s="24"/>
      <c r="CE333" s="24">
        <v>45960.560767152776</v>
      </c>
      <c r="CF333" s="24">
        <v>45960.560767152776</v>
      </c>
      <c r="CG333">
        <v>1</v>
      </c>
      <c r="CH333" s="24"/>
      <c r="CI333" s="24"/>
      <c r="CJ333" s="24"/>
      <c r="CK333" s="24"/>
      <c r="DE333" s="24"/>
      <c r="DF333" s="24"/>
      <c r="DG333" s="24"/>
      <c r="DH333" s="24"/>
      <c r="DJ333" t="s">
        <v>149</v>
      </c>
      <c r="DK333" t="s">
        <v>149</v>
      </c>
      <c r="DM333">
        <v>16</v>
      </c>
      <c r="DN333">
        <v>16</v>
      </c>
      <c r="DQ333" t="s">
        <v>1000</v>
      </c>
      <c r="DR333" t="s">
        <v>149</v>
      </c>
      <c r="DS333" s="24">
        <v>46160.384426226854</v>
      </c>
    </row>
    <row r="334" spans="1:123" x14ac:dyDescent="0.3">
      <c r="A334" t="s">
        <v>584</v>
      </c>
      <c r="D334" t="s">
        <v>225</v>
      </c>
      <c r="E334" s="24">
        <v>45911.722986111112</v>
      </c>
      <c r="G334" t="s">
        <v>150</v>
      </c>
      <c r="H334" t="s">
        <v>155</v>
      </c>
      <c r="I334" s="24"/>
      <c r="J334" s="24"/>
      <c r="K334" s="24"/>
      <c r="L334" s="24"/>
      <c r="N334" s="24"/>
      <c r="O334" s="24"/>
      <c r="P334" s="24"/>
      <c r="Q334" s="24"/>
      <c r="V334" s="24"/>
      <c r="W334" s="24"/>
      <c r="X334" s="24"/>
      <c r="Y334" s="24"/>
      <c r="AA334" s="24"/>
      <c r="AB334" s="24"/>
      <c r="AC334" s="24"/>
      <c r="AD334" s="24"/>
      <c r="AF334" s="24"/>
      <c r="AG334" s="24"/>
      <c r="AH334" s="24"/>
      <c r="AI334" s="24"/>
      <c r="AK334" s="24"/>
      <c r="AL334" s="24"/>
      <c r="AM334" s="24"/>
      <c r="AN334" s="24"/>
      <c r="AP334" s="24"/>
      <c r="AQ334" s="24"/>
      <c r="AR334" s="24">
        <v>45995.572462534721</v>
      </c>
      <c r="AS334" s="24">
        <v>45995.572462534721</v>
      </c>
      <c r="AX334" s="24"/>
      <c r="AY334" s="24"/>
      <c r="AZ334" s="24"/>
      <c r="BA334" s="24"/>
      <c r="BC334" s="24"/>
      <c r="BD334" s="24"/>
      <c r="BE334" s="24"/>
      <c r="BF334" s="24"/>
      <c r="BH334" s="24"/>
      <c r="BI334" s="24"/>
      <c r="BJ334" s="24"/>
      <c r="BK334" s="24"/>
      <c r="BM334" s="24"/>
      <c r="BN334" s="24"/>
      <c r="BO334" s="24"/>
      <c r="BP334" s="24"/>
      <c r="BR334" s="24"/>
      <c r="BS334" s="24"/>
      <c r="BT334" s="24"/>
      <c r="BU334" s="24"/>
      <c r="BW334" s="24"/>
      <c r="BX334" s="24"/>
      <c r="BY334" s="24"/>
      <c r="BZ334" s="24"/>
      <c r="CB334" s="24">
        <v>45995.572462534721</v>
      </c>
      <c r="CC334" s="24">
        <v>45995.572462534721</v>
      </c>
      <c r="CD334">
        <v>1</v>
      </c>
      <c r="CE334" s="24"/>
      <c r="CF334" s="24"/>
      <c r="CH334" s="24"/>
      <c r="CI334" s="24"/>
      <c r="CJ334" s="24"/>
      <c r="CK334" s="24"/>
      <c r="DE334" s="24"/>
      <c r="DF334" s="24"/>
      <c r="DG334" s="24"/>
      <c r="DH334" s="24"/>
      <c r="DJ334" t="s">
        <v>149</v>
      </c>
      <c r="DK334" t="s">
        <v>149</v>
      </c>
      <c r="DQ334" t="s">
        <v>1000</v>
      </c>
      <c r="DR334" t="s">
        <v>149</v>
      </c>
      <c r="DS334" s="24">
        <v>46160.384426226854</v>
      </c>
    </row>
    <row r="335" spans="1:123" x14ac:dyDescent="0.3">
      <c r="A335" t="s">
        <v>585</v>
      </c>
      <c r="D335" t="s">
        <v>223</v>
      </c>
      <c r="E335" s="24">
        <v>45911.572546296295</v>
      </c>
      <c r="G335" t="s">
        <v>90</v>
      </c>
      <c r="H335" t="s">
        <v>155</v>
      </c>
      <c r="I335" s="24"/>
      <c r="J335" s="24"/>
      <c r="K335" s="24"/>
      <c r="L335" s="24"/>
      <c r="N335" s="24">
        <v>45923.55505638889</v>
      </c>
      <c r="O335" s="24">
        <v>45923.373100150464</v>
      </c>
      <c r="P335" s="24">
        <v>45923.539047592596</v>
      </c>
      <c r="Q335" s="24">
        <v>45924.418238530096</v>
      </c>
      <c r="R335">
        <v>2</v>
      </c>
      <c r="V335" s="24"/>
      <c r="W335" s="24"/>
      <c r="X335" s="24"/>
      <c r="Y335" s="24"/>
      <c r="AA335" s="24">
        <v>45924.418238530096</v>
      </c>
      <c r="AB335" s="24">
        <v>45923.325080428243</v>
      </c>
      <c r="AC335" s="24">
        <v>45923.373100150464</v>
      </c>
      <c r="AD335" s="24">
        <v>45929.605843090278</v>
      </c>
      <c r="AE335">
        <v>3</v>
      </c>
      <c r="AF335" s="24"/>
      <c r="AG335" s="24"/>
      <c r="AH335" s="24"/>
      <c r="AI335" s="24"/>
      <c r="AK335" s="24"/>
      <c r="AL335" s="24"/>
      <c r="AM335" s="24"/>
      <c r="AN335" s="24"/>
      <c r="AP335" s="24"/>
      <c r="AQ335" s="24"/>
      <c r="AR335" s="24">
        <v>45923.325005381943</v>
      </c>
      <c r="AS335" s="24">
        <v>45923.325005381943</v>
      </c>
      <c r="AX335" s="24"/>
      <c r="AY335" s="24"/>
      <c r="AZ335" s="24"/>
      <c r="BA335" s="24"/>
      <c r="BC335" s="24"/>
      <c r="BD335" s="24"/>
      <c r="BE335" s="24"/>
      <c r="BF335" s="24"/>
      <c r="BH335" s="24">
        <v>45923.325005381943</v>
      </c>
      <c r="BI335" s="24">
        <v>45923.325005381943</v>
      </c>
      <c r="BJ335" s="24">
        <v>45923.325080428243</v>
      </c>
      <c r="BK335" s="24">
        <v>45923.325080428243</v>
      </c>
      <c r="BL335">
        <v>1</v>
      </c>
      <c r="BM335" s="24"/>
      <c r="BN335" s="24"/>
      <c r="BO335" s="24"/>
      <c r="BP335" s="24"/>
      <c r="BR335" s="24"/>
      <c r="BS335" s="24"/>
      <c r="BT335" s="24"/>
      <c r="BU335" s="24"/>
      <c r="BW335" s="24"/>
      <c r="BX335" s="24"/>
      <c r="BY335" s="24"/>
      <c r="BZ335" s="24"/>
      <c r="CB335" s="24"/>
      <c r="CC335" s="24"/>
      <c r="CE335" s="24">
        <v>45929.605843090278</v>
      </c>
      <c r="CF335" s="24">
        <v>45929.605843090278</v>
      </c>
      <c r="CG335">
        <v>1</v>
      </c>
      <c r="CH335" s="24"/>
      <c r="CI335" s="24"/>
      <c r="CJ335" s="24"/>
      <c r="CK335" s="24"/>
      <c r="DE335" s="24"/>
      <c r="DF335" s="24"/>
      <c r="DG335" s="24"/>
      <c r="DH335" s="24"/>
      <c r="DJ335" t="s">
        <v>149</v>
      </c>
      <c r="DK335" t="s">
        <v>149</v>
      </c>
      <c r="DL335">
        <v>1.029129513888889</v>
      </c>
      <c r="DM335">
        <v>7</v>
      </c>
      <c r="DN335">
        <v>7</v>
      </c>
      <c r="DQ335" t="s">
        <v>1000</v>
      </c>
      <c r="DR335" t="s">
        <v>149</v>
      </c>
      <c r="DS335" s="24">
        <v>46160.384426226854</v>
      </c>
    </row>
    <row r="336" spans="1:123" x14ac:dyDescent="0.3">
      <c r="A336" t="s">
        <v>586</v>
      </c>
      <c r="D336" t="s">
        <v>223</v>
      </c>
      <c r="E336" s="24">
        <v>45911.545370370368</v>
      </c>
      <c r="G336" t="s">
        <v>150</v>
      </c>
      <c r="H336" t="s">
        <v>155</v>
      </c>
      <c r="I336" s="24"/>
      <c r="J336" s="24"/>
      <c r="K336" s="24"/>
      <c r="L336" s="24"/>
      <c r="N336" s="24"/>
      <c r="O336" s="24"/>
      <c r="P336" s="24"/>
      <c r="Q336" s="24"/>
      <c r="V336" s="24"/>
      <c r="W336" s="24"/>
      <c r="X336" s="24"/>
      <c r="Y336" s="24"/>
      <c r="AA336" s="24"/>
      <c r="AB336" s="24"/>
      <c r="AC336" s="24"/>
      <c r="AD336" s="24"/>
      <c r="AF336" s="24"/>
      <c r="AG336" s="24"/>
      <c r="AH336" s="24"/>
      <c r="AI336" s="24"/>
      <c r="AK336" s="24"/>
      <c r="AL336" s="24"/>
      <c r="AM336" s="24"/>
      <c r="AN336" s="24"/>
      <c r="AP336" s="24"/>
      <c r="AQ336" s="24"/>
      <c r="AR336" s="24">
        <v>46009.603308969905</v>
      </c>
      <c r="AS336" s="24">
        <v>46009.603308969905</v>
      </c>
      <c r="AX336" s="24"/>
      <c r="AY336" s="24"/>
      <c r="AZ336" s="24"/>
      <c r="BA336" s="24"/>
      <c r="BC336" s="24"/>
      <c r="BD336" s="24"/>
      <c r="BE336" s="24"/>
      <c r="BF336" s="24"/>
      <c r="BH336" s="24"/>
      <c r="BI336" s="24"/>
      <c r="BJ336" s="24"/>
      <c r="BK336" s="24"/>
      <c r="BM336" s="24"/>
      <c r="BN336" s="24"/>
      <c r="BO336" s="24"/>
      <c r="BP336" s="24"/>
      <c r="BR336" s="24"/>
      <c r="BS336" s="24"/>
      <c r="BT336" s="24"/>
      <c r="BU336" s="24"/>
      <c r="BW336" s="24"/>
      <c r="BX336" s="24"/>
      <c r="BY336" s="24"/>
      <c r="BZ336" s="24"/>
      <c r="CB336" s="24">
        <v>46009.603308969905</v>
      </c>
      <c r="CC336" s="24">
        <v>46009.603308969905</v>
      </c>
      <c r="CD336">
        <v>1</v>
      </c>
      <c r="CE336" s="24"/>
      <c r="CF336" s="24"/>
      <c r="CH336" s="24"/>
      <c r="CI336" s="24"/>
      <c r="CJ336" s="24"/>
      <c r="CK336" s="24"/>
      <c r="DE336" s="24"/>
      <c r="DF336" s="24"/>
      <c r="DG336" s="24"/>
      <c r="DH336" s="24"/>
      <c r="DJ336" t="s">
        <v>149</v>
      </c>
      <c r="DK336" t="s">
        <v>149</v>
      </c>
      <c r="DQ336" t="s">
        <v>1000</v>
      </c>
      <c r="DR336" t="s">
        <v>149</v>
      </c>
      <c r="DS336" s="24">
        <v>46160.384426226854</v>
      </c>
    </row>
    <row r="337" spans="1:123" x14ac:dyDescent="0.3">
      <c r="A337" t="s">
        <v>587</v>
      </c>
      <c r="D337" t="s">
        <v>223</v>
      </c>
      <c r="E337" s="24">
        <v>45911.544317129628</v>
      </c>
      <c r="G337" t="s">
        <v>90</v>
      </c>
      <c r="H337" t="s">
        <v>155</v>
      </c>
      <c r="I337" s="24"/>
      <c r="J337" s="24"/>
      <c r="K337" s="24"/>
      <c r="L337" s="24"/>
      <c r="N337" s="24">
        <v>45915.40011840278</v>
      </c>
      <c r="O337" s="24">
        <v>45915.40011840278</v>
      </c>
      <c r="P337" s="24">
        <v>45918.413400532409</v>
      </c>
      <c r="Q337" s="24">
        <v>45918.413400532409</v>
      </c>
      <c r="R337">
        <v>1</v>
      </c>
      <c r="V337" s="24"/>
      <c r="W337" s="24"/>
      <c r="X337" s="24"/>
      <c r="Y337" s="24"/>
      <c r="AA337" s="24">
        <v>45918.413400532409</v>
      </c>
      <c r="AB337" s="24">
        <v>45911.588142511573</v>
      </c>
      <c r="AC337" s="24">
        <v>45915.40011840278</v>
      </c>
      <c r="AD337" s="24">
        <v>45918.499856064816</v>
      </c>
      <c r="AE337">
        <v>2</v>
      </c>
      <c r="AF337" s="24">
        <v>45918.499856064816</v>
      </c>
      <c r="AG337" s="24">
        <v>45918.499856064816</v>
      </c>
      <c r="AH337" s="24">
        <v>45923.373608888891</v>
      </c>
      <c r="AI337" s="24">
        <v>45923.373608888891</v>
      </c>
      <c r="AJ337">
        <v>1</v>
      </c>
      <c r="AK337" s="24"/>
      <c r="AL337" s="24"/>
      <c r="AM337" s="24"/>
      <c r="AN337" s="24"/>
      <c r="AP337" s="24"/>
      <c r="AQ337" s="24"/>
      <c r="AR337" s="24">
        <v>45911.588084965275</v>
      </c>
      <c r="AS337" s="24">
        <v>45911.588084965275</v>
      </c>
      <c r="AX337" s="24"/>
      <c r="AY337" s="24"/>
      <c r="AZ337" s="24"/>
      <c r="BA337" s="24"/>
      <c r="BC337" s="24"/>
      <c r="BD337" s="24"/>
      <c r="BE337" s="24"/>
      <c r="BF337" s="24"/>
      <c r="BH337" s="24">
        <v>45911.588084965275</v>
      </c>
      <c r="BI337" s="24">
        <v>45911.588084965275</v>
      </c>
      <c r="BJ337" s="24">
        <v>45911.588142511573</v>
      </c>
      <c r="BK337" s="24">
        <v>45911.588142511573</v>
      </c>
      <c r="BL337">
        <v>1</v>
      </c>
      <c r="BM337" s="24"/>
      <c r="BN337" s="24"/>
      <c r="BO337" s="24"/>
      <c r="BP337" s="24"/>
      <c r="BR337" s="24">
        <v>45923.373608888891</v>
      </c>
      <c r="BS337" s="24">
        <v>45923.373608888891</v>
      </c>
      <c r="BT337" s="24">
        <v>45923.373711111111</v>
      </c>
      <c r="BU337" s="24">
        <v>45923.373711111111</v>
      </c>
      <c r="BV337">
        <v>1</v>
      </c>
      <c r="BW337" s="24"/>
      <c r="BX337" s="24"/>
      <c r="BY337" s="24"/>
      <c r="BZ337" s="24"/>
      <c r="CB337" s="24"/>
      <c r="CC337" s="24"/>
      <c r="CE337" s="24">
        <v>45923.373711111111</v>
      </c>
      <c r="CF337" s="24">
        <v>45923.373711111111</v>
      </c>
      <c r="CG337">
        <v>1</v>
      </c>
      <c r="CH337" s="24"/>
      <c r="CI337" s="24"/>
      <c r="CJ337" s="24"/>
      <c r="CK337" s="24"/>
      <c r="DE337" s="24"/>
      <c r="DF337" s="24"/>
      <c r="DG337" s="24"/>
      <c r="DH337" s="24"/>
      <c r="DJ337" t="s">
        <v>149</v>
      </c>
      <c r="DK337" t="s">
        <v>149</v>
      </c>
      <c r="DL337">
        <v>3.0132820601851851</v>
      </c>
      <c r="DM337">
        <v>12</v>
      </c>
      <c r="DN337">
        <v>12</v>
      </c>
      <c r="DQ337" t="s">
        <v>1000</v>
      </c>
      <c r="DR337" t="s">
        <v>149</v>
      </c>
      <c r="DS337" s="24">
        <v>46160.384426226854</v>
      </c>
    </row>
    <row r="338" spans="1:123" x14ac:dyDescent="0.3">
      <c r="A338" t="s">
        <v>588</v>
      </c>
      <c r="D338" t="s">
        <v>223</v>
      </c>
      <c r="E338" s="24">
        <v>45909.658379629633</v>
      </c>
      <c r="G338" t="s">
        <v>90</v>
      </c>
      <c r="H338" t="s">
        <v>155</v>
      </c>
      <c r="I338" s="24"/>
      <c r="J338" s="24"/>
      <c r="K338" s="24"/>
      <c r="L338" s="24"/>
      <c r="N338" s="24"/>
      <c r="O338" s="24"/>
      <c r="P338" s="24"/>
      <c r="Q338" s="24"/>
      <c r="V338" s="24"/>
      <c r="W338" s="24"/>
      <c r="X338" s="24"/>
      <c r="Y338" s="24"/>
      <c r="AA338" s="24">
        <v>45917.391463449072</v>
      </c>
      <c r="AB338" s="24">
        <v>45917.391463449072</v>
      </c>
      <c r="AC338" s="24">
        <v>45919.555777546295</v>
      </c>
      <c r="AD338" s="24">
        <v>45919.555777546295</v>
      </c>
      <c r="AE338">
        <v>1</v>
      </c>
      <c r="AF338" s="24">
        <v>45919.555777546295</v>
      </c>
      <c r="AG338" s="24">
        <v>45919.555777546295</v>
      </c>
      <c r="AH338" s="24">
        <v>45925.402746111111</v>
      </c>
      <c r="AI338" s="24">
        <v>45925.402746111111</v>
      </c>
      <c r="AJ338">
        <v>1</v>
      </c>
      <c r="AK338" s="24"/>
      <c r="AL338" s="24"/>
      <c r="AM338" s="24"/>
      <c r="AN338" s="24"/>
      <c r="AP338" s="24"/>
      <c r="AQ338" s="24"/>
      <c r="AR338" s="24">
        <v>45917.390119618052</v>
      </c>
      <c r="AS338" s="24">
        <v>45917.390119618052</v>
      </c>
      <c r="AX338" s="24"/>
      <c r="AY338" s="24"/>
      <c r="AZ338" s="24"/>
      <c r="BA338" s="24"/>
      <c r="BC338" s="24"/>
      <c r="BD338" s="24"/>
      <c r="BE338" s="24"/>
      <c r="BF338" s="24"/>
      <c r="BH338" s="24">
        <v>45917.390119618052</v>
      </c>
      <c r="BI338" s="24">
        <v>45917.390119618052</v>
      </c>
      <c r="BJ338" s="24">
        <v>45917.391463449072</v>
      </c>
      <c r="BK338" s="24">
        <v>45917.391463449072</v>
      </c>
      <c r="BL338">
        <v>1</v>
      </c>
      <c r="BM338" s="24"/>
      <c r="BN338" s="24"/>
      <c r="BO338" s="24"/>
      <c r="BP338" s="24"/>
      <c r="BR338" s="24">
        <v>45925.402746111111</v>
      </c>
      <c r="BS338" s="24">
        <v>45925.402746111111</v>
      </c>
      <c r="BT338" s="24">
        <v>45925.402833611108</v>
      </c>
      <c r="BU338" s="24">
        <v>45925.402833611108</v>
      </c>
      <c r="BV338">
        <v>1</v>
      </c>
      <c r="BW338" s="24"/>
      <c r="BX338" s="24"/>
      <c r="BY338" s="24"/>
      <c r="BZ338" s="24"/>
      <c r="CB338" s="24"/>
      <c r="CC338" s="24"/>
      <c r="CE338" s="24">
        <v>45925.402833611108</v>
      </c>
      <c r="CF338" s="24">
        <v>45925.402833611108</v>
      </c>
      <c r="CG338">
        <v>1</v>
      </c>
      <c r="CH338" s="24"/>
      <c r="CI338" s="24"/>
      <c r="CJ338" s="24"/>
      <c r="CK338" s="24"/>
      <c r="DE338" s="24"/>
      <c r="DF338" s="24"/>
      <c r="DG338" s="24"/>
      <c r="DH338" s="24"/>
      <c r="DJ338" t="s">
        <v>149</v>
      </c>
      <c r="DK338" t="s">
        <v>149</v>
      </c>
      <c r="DM338">
        <v>9</v>
      </c>
      <c r="DN338">
        <v>9</v>
      </c>
      <c r="DQ338" t="s">
        <v>1000</v>
      </c>
      <c r="DR338" t="s">
        <v>149</v>
      </c>
      <c r="DS338" s="24">
        <v>46160.384426226854</v>
      </c>
    </row>
    <row r="339" spans="1:123" x14ac:dyDescent="0.3">
      <c r="A339" t="s">
        <v>589</v>
      </c>
      <c r="D339" t="s">
        <v>225</v>
      </c>
      <c r="E339" s="24">
        <v>45909.537708333337</v>
      </c>
      <c r="G339" t="s">
        <v>90</v>
      </c>
      <c r="H339" t="s">
        <v>155</v>
      </c>
      <c r="I339" s="24"/>
      <c r="J339" s="24"/>
      <c r="K339" s="24"/>
      <c r="L339" s="24"/>
      <c r="N339" s="24"/>
      <c r="O339" s="24"/>
      <c r="P339" s="24"/>
      <c r="Q339" s="24"/>
      <c r="V339" s="24"/>
      <c r="W339" s="24"/>
      <c r="X339" s="24"/>
      <c r="Y339" s="24"/>
      <c r="AA339" s="24">
        <v>45909.553445219906</v>
      </c>
      <c r="AB339" s="24">
        <v>45909.553445219906</v>
      </c>
      <c r="AC339" s="24">
        <v>45910.362293148151</v>
      </c>
      <c r="AD339" s="24">
        <v>45910.362293148151</v>
      </c>
      <c r="AE339">
        <v>1</v>
      </c>
      <c r="AF339" s="24">
        <v>45910.362293148151</v>
      </c>
      <c r="AG339" s="24">
        <v>45910.362293148151</v>
      </c>
      <c r="AH339" s="24">
        <v>45912.408671122685</v>
      </c>
      <c r="AI339" s="24">
        <v>45912.408671122685</v>
      </c>
      <c r="AJ339">
        <v>1</v>
      </c>
      <c r="AK339" s="24">
        <v>45912.408671122685</v>
      </c>
      <c r="AL339" s="24">
        <v>45912.408671122685</v>
      </c>
      <c r="AM339" s="24">
        <v>45912.408793796298</v>
      </c>
      <c r="AN339" s="24">
        <v>45912.408793796298</v>
      </c>
      <c r="AO339">
        <v>1</v>
      </c>
      <c r="AP339" s="24"/>
      <c r="AQ339" s="24"/>
      <c r="AR339" s="24">
        <v>45909.553278946762</v>
      </c>
      <c r="AS339" s="24">
        <v>45909.553278946762</v>
      </c>
      <c r="AX339" s="24"/>
      <c r="AY339" s="24"/>
      <c r="AZ339" s="24"/>
      <c r="BA339" s="24"/>
      <c r="BC339" s="24">
        <v>45912.408908171295</v>
      </c>
      <c r="BD339" s="24">
        <v>45912.408908171295</v>
      </c>
      <c r="BE339" s="24">
        <v>45915.638186203701</v>
      </c>
      <c r="BF339" s="24">
        <v>45915.638186203701</v>
      </c>
      <c r="BG339">
        <v>1</v>
      </c>
      <c r="BH339" s="24">
        <v>45909.553278946762</v>
      </c>
      <c r="BI339" s="24">
        <v>45909.553278946762</v>
      </c>
      <c r="BJ339" s="24">
        <v>45909.553445219906</v>
      </c>
      <c r="BK339" s="24">
        <v>45909.553445219906</v>
      </c>
      <c r="BL339">
        <v>1</v>
      </c>
      <c r="BM339" s="24"/>
      <c r="BN339" s="24"/>
      <c r="BO339" s="24"/>
      <c r="BP339" s="24"/>
      <c r="BR339" s="24">
        <v>45912.408793796298</v>
      </c>
      <c r="BS339" s="24">
        <v>45912.408793796298</v>
      </c>
      <c r="BT339" s="24">
        <v>45912.408908171295</v>
      </c>
      <c r="BU339" s="24">
        <v>45912.408908171295</v>
      </c>
      <c r="BV339">
        <v>1</v>
      </c>
      <c r="BW339" s="24"/>
      <c r="BX339" s="24"/>
      <c r="BY339" s="24"/>
      <c r="BZ339" s="24"/>
      <c r="CB339" s="24"/>
      <c r="CC339" s="24"/>
      <c r="CE339" s="24">
        <v>45915.638186203701</v>
      </c>
      <c r="CF339" s="24">
        <v>45915.638186203701</v>
      </c>
      <c r="CG339">
        <v>1</v>
      </c>
      <c r="CH339" s="24"/>
      <c r="CI339" s="24"/>
      <c r="CJ339" s="24"/>
      <c r="CK339" s="24"/>
      <c r="DE339" s="24"/>
      <c r="DF339" s="24"/>
      <c r="DG339" s="24"/>
      <c r="DH339" s="24"/>
      <c r="DJ339" t="s">
        <v>149</v>
      </c>
      <c r="DK339" t="s">
        <v>149</v>
      </c>
      <c r="DM339">
        <v>7</v>
      </c>
      <c r="DN339">
        <v>7</v>
      </c>
      <c r="DQ339" t="s">
        <v>1000</v>
      </c>
      <c r="DR339" t="s">
        <v>149</v>
      </c>
      <c r="DS339" s="24">
        <v>46160.384426226854</v>
      </c>
    </row>
    <row r="340" spans="1:123" x14ac:dyDescent="0.3">
      <c r="A340" t="s">
        <v>590</v>
      </c>
      <c r="D340" t="s">
        <v>223</v>
      </c>
      <c r="E340" s="24">
        <v>45909.464398148149</v>
      </c>
      <c r="G340" t="s">
        <v>90</v>
      </c>
      <c r="H340" t="s">
        <v>155</v>
      </c>
      <c r="I340" s="24"/>
      <c r="J340" s="24"/>
      <c r="K340" s="24"/>
      <c r="L340" s="24"/>
      <c r="N340" s="24"/>
      <c r="O340" s="24"/>
      <c r="P340" s="24"/>
      <c r="Q340" s="24"/>
      <c r="V340" s="24"/>
      <c r="W340" s="24"/>
      <c r="X340" s="24"/>
      <c r="Y340" s="24"/>
      <c r="AA340" s="24">
        <v>45909.482989236109</v>
      </c>
      <c r="AB340" s="24">
        <v>45909.482989236109</v>
      </c>
      <c r="AC340" s="24">
        <v>45910.412994814818</v>
      </c>
      <c r="AD340" s="24">
        <v>45910.412994814818</v>
      </c>
      <c r="AE340">
        <v>1</v>
      </c>
      <c r="AF340" s="24">
        <v>45910.412994814818</v>
      </c>
      <c r="AG340" s="24">
        <v>45910.412994814818</v>
      </c>
      <c r="AH340" s="24">
        <v>45910.413067766203</v>
      </c>
      <c r="AI340" s="24">
        <v>45910.413067766203</v>
      </c>
      <c r="AJ340">
        <v>1</v>
      </c>
      <c r="AK340" s="24"/>
      <c r="AL340" s="24"/>
      <c r="AM340" s="24"/>
      <c r="AN340" s="24"/>
      <c r="AP340" s="24"/>
      <c r="AQ340" s="24"/>
      <c r="AR340" s="24">
        <v>45909.482615497684</v>
      </c>
      <c r="AS340" s="24">
        <v>45909.482615497684</v>
      </c>
      <c r="AX340" s="24"/>
      <c r="AY340" s="24"/>
      <c r="AZ340" s="24"/>
      <c r="BA340" s="24"/>
      <c r="BC340" s="24"/>
      <c r="BD340" s="24"/>
      <c r="BE340" s="24"/>
      <c r="BF340" s="24"/>
      <c r="BH340" s="24">
        <v>45909.482615497684</v>
      </c>
      <c r="BI340" s="24">
        <v>45909.482615497684</v>
      </c>
      <c r="BJ340" s="24">
        <v>45909.482989236109</v>
      </c>
      <c r="BK340" s="24">
        <v>45909.482989236109</v>
      </c>
      <c r="BL340">
        <v>1</v>
      </c>
      <c r="BM340" s="24"/>
      <c r="BN340" s="24"/>
      <c r="BO340" s="24"/>
      <c r="BP340" s="24"/>
      <c r="BR340" s="24">
        <v>45910.413067766203</v>
      </c>
      <c r="BS340" s="24">
        <v>45910.413067766203</v>
      </c>
      <c r="BT340" s="24">
        <v>45910.41320127315</v>
      </c>
      <c r="BU340" s="24">
        <v>45910.41320127315</v>
      </c>
      <c r="BV340">
        <v>1</v>
      </c>
      <c r="BW340" s="24"/>
      <c r="BX340" s="24"/>
      <c r="BY340" s="24"/>
      <c r="BZ340" s="24"/>
      <c r="CB340" s="24"/>
      <c r="CC340" s="24"/>
      <c r="CE340" s="24">
        <v>45910.41320127315</v>
      </c>
      <c r="CF340" s="24">
        <v>45910.41320127315</v>
      </c>
      <c r="CG340">
        <v>1</v>
      </c>
      <c r="CH340" s="24"/>
      <c r="CI340" s="24"/>
      <c r="CJ340" s="24"/>
      <c r="CK340" s="24"/>
      <c r="DE340" s="24"/>
      <c r="DF340" s="24"/>
      <c r="DG340" s="24"/>
      <c r="DH340" s="24"/>
      <c r="DJ340" t="s">
        <v>149</v>
      </c>
      <c r="DK340" t="s">
        <v>149</v>
      </c>
      <c r="DM340">
        <v>1</v>
      </c>
      <c r="DN340">
        <v>1</v>
      </c>
      <c r="DQ340" t="s">
        <v>1000</v>
      </c>
      <c r="DR340" t="s">
        <v>149</v>
      </c>
      <c r="DS340" s="24">
        <v>46160.384426226854</v>
      </c>
    </row>
    <row r="341" spans="1:123" x14ac:dyDescent="0.3">
      <c r="A341" t="s">
        <v>591</v>
      </c>
      <c r="D341" t="s">
        <v>223</v>
      </c>
      <c r="E341" s="24">
        <v>45909.4143287037</v>
      </c>
      <c r="G341" t="s">
        <v>90</v>
      </c>
      <c r="H341" t="s">
        <v>155</v>
      </c>
      <c r="I341" s="24"/>
      <c r="J341" s="24"/>
      <c r="K341" s="24"/>
      <c r="L341" s="24"/>
      <c r="N341" s="24"/>
      <c r="O341" s="24"/>
      <c r="P341" s="24"/>
      <c r="Q341" s="24"/>
      <c r="V341" s="24"/>
      <c r="W341" s="24"/>
      <c r="X341" s="24"/>
      <c r="Y341" s="24"/>
      <c r="AA341" s="24">
        <v>45915.412323645833</v>
      </c>
      <c r="AB341" s="24">
        <v>45915.412323645833</v>
      </c>
      <c r="AC341" s="24">
        <v>45918.569339560185</v>
      </c>
      <c r="AD341" s="24">
        <v>45918.569339560185</v>
      </c>
      <c r="AE341">
        <v>1</v>
      </c>
      <c r="AF341" s="24"/>
      <c r="AG341" s="24"/>
      <c r="AH341" s="24"/>
      <c r="AI341" s="24"/>
      <c r="AK341" s="24"/>
      <c r="AL341" s="24"/>
      <c r="AM341" s="24"/>
      <c r="AN341" s="24"/>
      <c r="AP341" s="24"/>
      <c r="AQ341" s="24"/>
      <c r="AR341" s="24"/>
      <c r="AS341" s="24"/>
      <c r="AX341" s="24"/>
      <c r="AY341" s="24"/>
      <c r="AZ341" s="24"/>
      <c r="BA341" s="24"/>
      <c r="BC341" s="24"/>
      <c r="BD341" s="24"/>
      <c r="BE341" s="24"/>
      <c r="BF341" s="24"/>
      <c r="BH341" s="24"/>
      <c r="BI341" s="24"/>
      <c r="BJ341" s="24"/>
      <c r="BK341" s="24"/>
      <c r="BM341" s="24"/>
      <c r="BN341" s="24"/>
      <c r="BO341" s="24"/>
      <c r="BP341" s="24"/>
      <c r="BR341" s="24">
        <v>45918.569339560185</v>
      </c>
      <c r="BS341" s="24">
        <v>45918.569339560185</v>
      </c>
      <c r="BT341" s="24">
        <v>45919.400069525465</v>
      </c>
      <c r="BU341" s="24">
        <v>45919.400069525465</v>
      </c>
      <c r="BV341">
        <v>1</v>
      </c>
      <c r="BW341" s="24"/>
      <c r="BX341" s="24"/>
      <c r="BY341" s="24"/>
      <c r="BZ341" s="24"/>
      <c r="CB341" s="24"/>
      <c r="CC341" s="24"/>
      <c r="CE341" s="24">
        <v>45919.400069525465</v>
      </c>
      <c r="CF341" s="24">
        <v>45919.400069525465</v>
      </c>
      <c r="CG341">
        <v>1</v>
      </c>
      <c r="CH341" s="24"/>
      <c r="CI341" s="24"/>
      <c r="CJ341" s="24"/>
      <c r="CK341" s="24"/>
      <c r="DE341" s="24"/>
      <c r="DF341" s="24"/>
      <c r="DG341" s="24"/>
      <c r="DH341" s="24"/>
      <c r="DJ341" t="s">
        <v>149</v>
      </c>
      <c r="DK341" t="s">
        <v>149</v>
      </c>
      <c r="DN341">
        <v>4</v>
      </c>
      <c r="DQ341" t="s">
        <v>1000</v>
      </c>
      <c r="DR341" t="s">
        <v>149</v>
      </c>
      <c r="DS341" s="24">
        <v>46160.384426226854</v>
      </c>
    </row>
    <row r="342" spans="1:123" x14ac:dyDescent="0.3">
      <c r="A342" t="s">
        <v>592</v>
      </c>
      <c r="D342" t="s">
        <v>223</v>
      </c>
      <c r="E342" s="24">
        <v>45909.368460648147</v>
      </c>
      <c r="G342" t="s">
        <v>90</v>
      </c>
      <c r="H342" t="s">
        <v>155</v>
      </c>
      <c r="I342" s="24"/>
      <c r="J342" s="24"/>
      <c r="K342" s="24"/>
      <c r="L342" s="24"/>
      <c r="N342" s="24"/>
      <c r="O342" s="24"/>
      <c r="P342" s="24"/>
      <c r="Q342" s="24"/>
      <c r="V342" s="24"/>
      <c r="W342" s="24"/>
      <c r="X342" s="24"/>
      <c r="Y342" s="24"/>
      <c r="AA342" s="24">
        <v>45912.447082627317</v>
      </c>
      <c r="AB342" s="24">
        <v>45912.447082627317</v>
      </c>
      <c r="AC342" s="24">
        <v>45912.682309884258</v>
      </c>
      <c r="AD342" s="24">
        <v>45912.682309884258</v>
      </c>
      <c r="AE342">
        <v>1</v>
      </c>
      <c r="AF342" s="24">
        <v>45912.682309884258</v>
      </c>
      <c r="AG342" s="24">
        <v>45912.682309884258</v>
      </c>
      <c r="AH342" s="24">
        <v>45915.416363518518</v>
      </c>
      <c r="AI342" s="24">
        <v>45915.416363518518</v>
      </c>
      <c r="AJ342">
        <v>1</v>
      </c>
      <c r="AK342" s="24"/>
      <c r="AL342" s="24"/>
      <c r="AM342" s="24"/>
      <c r="AN342" s="24"/>
      <c r="AP342" s="24"/>
      <c r="AQ342" s="24"/>
      <c r="AR342" s="24">
        <v>45909.369860081017</v>
      </c>
      <c r="AS342" s="24">
        <v>45909.369860081017</v>
      </c>
      <c r="AX342" s="24"/>
      <c r="AY342" s="24"/>
      <c r="AZ342" s="24"/>
      <c r="BA342" s="24"/>
      <c r="BC342" s="24"/>
      <c r="BD342" s="24"/>
      <c r="BE342" s="24"/>
      <c r="BF342" s="24"/>
      <c r="BH342" s="24">
        <v>45909.369860081017</v>
      </c>
      <c r="BI342" s="24">
        <v>45909.369860081017</v>
      </c>
      <c r="BJ342" s="24">
        <v>45912.447082627317</v>
      </c>
      <c r="BK342" s="24">
        <v>45912.447082627317</v>
      </c>
      <c r="BL342">
        <v>1</v>
      </c>
      <c r="BM342" s="24"/>
      <c r="BN342" s="24"/>
      <c r="BO342" s="24"/>
      <c r="BP342" s="24"/>
      <c r="BR342" s="24"/>
      <c r="BS342" s="24"/>
      <c r="BT342" s="24"/>
      <c r="BU342" s="24"/>
      <c r="BW342" s="24"/>
      <c r="BX342" s="24"/>
      <c r="BY342" s="24"/>
      <c r="BZ342" s="24"/>
      <c r="CB342" s="24"/>
      <c r="CC342" s="24"/>
      <c r="CE342" s="24">
        <v>45915.416363518518</v>
      </c>
      <c r="CF342" s="24">
        <v>45915.416363518518</v>
      </c>
      <c r="CG342">
        <v>1</v>
      </c>
      <c r="CH342" s="24"/>
      <c r="CI342" s="24"/>
      <c r="CJ342" s="24"/>
      <c r="CK342" s="24"/>
      <c r="DE342" s="24"/>
      <c r="DF342" s="24"/>
      <c r="DG342" s="24"/>
      <c r="DH342" s="24"/>
      <c r="DJ342" t="s">
        <v>149</v>
      </c>
      <c r="DK342" t="s">
        <v>149</v>
      </c>
      <c r="DM342">
        <v>7</v>
      </c>
      <c r="DN342">
        <v>3</v>
      </c>
      <c r="DQ342" t="s">
        <v>1000</v>
      </c>
      <c r="DR342" t="s">
        <v>149</v>
      </c>
      <c r="DS342" s="24">
        <v>46160.384426226854</v>
      </c>
    </row>
    <row r="343" spans="1:123" x14ac:dyDescent="0.3">
      <c r="A343" t="s">
        <v>593</v>
      </c>
      <c r="D343" t="s">
        <v>223</v>
      </c>
      <c r="E343" s="24">
        <v>45905.328101851854</v>
      </c>
      <c r="G343" t="s">
        <v>90</v>
      </c>
      <c r="H343" t="s">
        <v>155</v>
      </c>
      <c r="I343" s="24"/>
      <c r="J343" s="24"/>
      <c r="K343" s="24"/>
      <c r="L343" s="24"/>
      <c r="N343" s="24"/>
      <c r="O343" s="24"/>
      <c r="P343" s="24"/>
      <c r="Q343" s="24"/>
      <c r="V343" s="24"/>
      <c r="W343" s="24"/>
      <c r="X343" s="24"/>
      <c r="Y343" s="24"/>
      <c r="AA343" s="24">
        <v>45917.520010486114</v>
      </c>
      <c r="AB343" s="24">
        <v>45917.520010486114</v>
      </c>
      <c r="AC343" s="24">
        <v>45929.411302476852</v>
      </c>
      <c r="AD343" s="24">
        <v>45929.411302476852</v>
      </c>
      <c r="AE343">
        <v>1</v>
      </c>
      <c r="AF343" s="24"/>
      <c r="AG343" s="24"/>
      <c r="AH343" s="24"/>
      <c r="AI343" s="24"/>
      <c r="AK343" s="24"/>
      <c r="AL343" s="24"/>
      <c r="AM343" s="24"/>
      <c r="AN343" s="24"/>
      <c r="AP343" s="24"/>
      <c r="AQ343" s="24"/>
      <c r="AR343" s="24">
        <v>45917.519831041667</v>
      </c>
      <c r="AS343" s="24">
        <v>45917.519831041667</v>
      </c>
      <c r="AX343" s="24"/>
      <c r="AY343" s="24"/>
      <c r="AZ343" s="24"/>
      <c r="BA343" s="24"/>
      <c r="BC343" s="24"/>
      <c r="BD343" s="24"/>
      <c r="BE343" s="24"/>
      <c r="BF343" s="24"/>
      <c r="BH343" s="24">
        <v>45917.519831041667</v>
      </c>
      <c r="BI343" s="24">
        <v>45917.519831041667</v>
      </c>
      <c r="BJ343" s="24">
        <v>45917.520010486114</v>
      </c>
      <c r="BK343" s="24">
        <v>45917.520010486114</v>
      </c>
      <c r="BL343">
        <v>1</v>
      </c>
      <c r="BM343" s="24"/>
      <c r="BN343" s="24"/>
      <c r="BO343" s="24"/>
      <c r="BP343" s="24"/>
      <c r="BR343" s="24">
        <v>45929.411302476852</v>
      </c>
      <c r="BS343" s="24">
        <v>45929.411302476852</v>
      </c>
      <c r="BT343" s="24">
        <v>45929.424009872688</v>
      </c>
      <c r="BU343" s="24">
        <v>45929.424009872688</v>
      </c>
      <c r="BV343">
        <v>1</v>
      </c>
      <c r="BW343" s="24"/>
      <c r="BX343" s="24"/>
      <c r="BY343" s="24"/>
      <c r="BZ343" s="24"/>
      <c r="CB343" s="24"/>
      <c r="CC343" s="24"/>
      <c r="CE343" s="24">
        <v>45929.424009872688</v>
      </c>
      <c r="CF343" s="24">
        <v>45929.424009872688</v>
      </c>
      <c r="CG343">
        <v>1</v>
      </c>
      <c r="CH343" s="24"/>
      <c r="CI343" s="24"/>
      <c r="CJ343" s="24"/>
      <c r="CK343" s="24"/>
      <c r="DE343" s="24"/>
      <c r="DF343" s="24"/>
      <c r="DG343" s="24"/>
      <c r="DH343" s="24"/>
      <c r="DJ343" t="s">
        <v>149</v>
      </c>
      <c r="DK343" t="s">
        <v>149</v>
      </c>
      <c r="DM343">
        <v>12</v>
      </c>
      <c r="DN343">
        <v>12</v>
      </c>
      <c r="DQ343" t="s">
        <v>1000</v>
      </c>
      <c r="DR343" t="s">
        <v>149</v>
      </c>
      <c r="DS343" s="24">
        <v>46160.384426226854</v>
      </c>
    </row>
    <row r="344" spans="1:123" x14ac:dyDescent="0.3">
      <c r="A344" t="s">
        <v>594</v>
      </c>
      <c r="D344" t="s">
        <v>223</v>
      </c>
      <c r="E344" s="24">
        <v>45904.473009259258</v>
      </c>
      <c r="G344" t="s">
        <v>90</v>
      </c>
      <c r="H344" t="s">
        <v>155</v>
      </c>
      <c r="I344" s="24"/>
      <c r="J344" s="24"/>
      <c r="K344" s="24"/>
      <c r="L344" s="24"/>
      <c r="N344" s="24"/>
      <c r="O344" s="24"/>
      <c r="P344" s="24"/>
      <c r="Q344" s="24"/>
      <c r="V344" s="24"/>
      <c r="W344" s="24"/>
      <c r="X344" s="24"/>
      <c r="Y344" s="24"/>
      <c r="AA344" s="24">
        <v>45904.4734990625</v>
      </c>
      <c r="AB344" s="24">
        <v>45904.4734990625</v>
      </c>
      <c r="AC344" s="24">
        <v>45904.473721736111</v>
      </c>
      <c r="AD344" s="24">
        <v>45904.473721736111</v>
      </c>
      <c r="AE344">
        <v>1</v>
      </c>
      <c r="AF344" s="24"/>
      <c r="AG344" s="24"/>
      <c r="AH344" s="24"/>
      <c r="AI344" s="24"/>
      <c r="AK344" s="24"/>
      <c r="AL344" s="24"/>
      <c r="AM344" s="24"/>
      <c r="AN344" s="24"/>
      <c r="AP344" s="24"/>
      <c r="AQ344" s="24"/>
      <c r="AR344" s="24">
        <v>45904.473438553243</v>
      </c>
      <c r="AS344" s="24">
        <v>45904.473438553243</v>
      </c>
      <c r="AX344" s="24"/>
      <c r="AY344" s="24"/>
      <c r="AZ344" s="24"/>
      <c r="BA344" s="24"/>
      <c r="BC344" s="24"/>
      <c r="BD344" s="24"/>
      <c r="BE344" s="24"/>
      <c r="BF344" s="24"/>
      <c r="BH344" s="24">
        <v>45904.473438553243</v>
      </c>
      <c r="BI344" s="24">
        <v>45904.473438553243</v>
      </c>
      <c r="BJ344" s="24">
        <v>45904.4734990625</v>
      </c>
      <c r="BK344" s="24">
        <v>45904.4734990625</v>
      </c>
      <c r="BL344">
        <v>1</v>
      </c>
      <c r="BM344" s="24"/>
      <c r="BN344" s="24"/>
      <c r="BO344" s="24"/>
      <c r="BP344" s="24"/>
      <c r="BR344" s="24"/>
      <c r="BS344" s="24"/>
      <c r="BT344" s="24"/>
      <c r="BU344" s="24"/>
      <c r="BW344" s="24"/>
      <c r="BX344" s="24"/>
      <c r="BY344" s="24"/>
      <c r="BZ344" s="24"/>
      <c r="CB344" s="24"/>
      <c r="CC344" s="24"/>
      <c r="CE344" s="24">
        <v>45904.473721736111</v>
      </c>
      <c r="CF344" s="24">
        <v>45904.473721736111</v>
      </c>
      <c r="CG344">
        <v>1</v>
      </c>
      <c r="CH344" s="24"/>
      <c r="CI344" s="24"/>
      <c r="CJ344" s="24"/>
      <c r="CK344" s="24"/>
      <c r="DE344" s="24"/>
      <c r="DF344" s="24"/>
      <c r="DG344" s="24"/>
      <c r="DH344" s="24"/>
      <c r="DJ344" t="s">
        <v>149</v>
      </c>
      <c r="DK344" t="s">
        <v>149</v>
      </c>
      <c r="DM344">
        <v>1</v>
      </c>
      <c r="DN344">
        <v>1</v>
      </c>
      <c r="DQ344" t="s">
        <v>1000</v>
      </c>
      <c r="DR344" t="s">
        <v>149</v>
      </c>
      <c r="DS344" s="24">
        <v>46160.384426226854</v>
      </c>
    </row>
    <row r="345" spans="1:123" x14ac:dyDescent="0.3">
      <c r="A345" t="s">
        <v>595</v>
      </c>
      <c r="D345" t="s">
        <v>225</v>
      </c>
      <c r="E345" s="24">
        <v>45904.393865740742</v>
      </c>
      <c r="G345" t="s">
        <v>90</v>
      </c>
      <c r="H345" t="s">
        <v>155</v>
      </c>
      <c r="I345" s="24"/>
      <c r="J345" s="24"/>
      <c r="K345" s="24"/>
      <c r="L345" s="24"/>
      <c r="N345" s="24"/>
      <c r="O345" s="24"/>
      <c r="P345" s="24"/>
      <c r="Q345" s="24"/>
      <c r="V345" s="24"/>
      <c r="W345" s="24"/>
      <c r="X345" s="24"/>
      <c r="Y345" s="24"/>
      <c r="AA345" s="24">
        <v>45932.401785775466</v>
      </c>
      <c r="AB345" s="24">
        <v>45916.398390694441</v>
      </c>
      <c r="AC345" s="24">
        <v>45925.403194004626</v>
      </c>
      <c r="AD345" s="24">
        <v>45940.357910659724</v>
      </c>
      <c r="AE345">
        <v>2</v>
      </c>
      <c r="AF345" s="24">
        <v>45940.357910659724</v>
      </c>
      <c r="AG345" s="24">
        <v>45940.357910659724</v>
      </c>
      <c r="AH345" s="24">
        <v>45943.54894177083</v>
      </c>
      <c r="AI345" s="24">
        <v>45943.54894177083</v>
      </c>
      <c r="AJ345">
        <v>1</v>
      </c>
      <c r="AK345" s="24">
        <v>45943.54894177083</v>
      </c>
      <c r="AL345" s="24">
        <v>45943.54894177083</v>
      </c>
      <c r="AM345" s="24">
        <v>45943.549833333331</v>
      </c>
      <c r="AN345" s="24">
        <v>45943.549833333331</v>
      </c>
      <c r="AO345">
        <v>1</v>
      </c>
      <c r="AP345" s="24">
        <v>45929.418146006945</v>
      </c>
      <c r="AQ345" s="24">
        <v>45929.418146006945</v>
      </c>
      <c r="AR345" s="24">
        <v>45930.477875543984</v>
      </c>
      <c r="AS345" s="24">
        <v>45930.477875543984</v>
      </c>
      <c r="AT345">
        <v>1</v>
      </c>
      <c r="AU345">
        <v>45925.403194004626</v>
      </c>
      <c r="AV345">
        <v>45925.403194004626</v>
      </c>
      <c r="AW345">
        <v>1</v>
      </c>
      <c r="AX345" s="24"/>
      <c r="AY345" s="24"/>
      <c r="AZ345" s="24"/>
      <c r="BA345" s="24"/>
      <c r="BC345" s="24">
        <v>45943.613121805553</v>
      </c>
      <c r="BD345" s="24">
        <v>45943.613121805553</v>
      </c>
      <c r="BE345" s="24">
        <v>45947.628681076392</v>
      </c>
      <c r="BF345" s="24">
        <v>45947.628681076392</v>
      </c>
      <c r="BG345">
        <v>1</v>
      </c>
      <c r="BH345" s="24">
        <v>45930.477875543984</v>
      </c>
      <c r="BI345" s="24">
        <v>45930.477875543984</v>
      </c>
      <c r="BJ345" s="24">
        <v>45932.401785775466</v>
      </c>
      <c r="BK345" s="24">
        <v>45932.401785775466</v>
      </c>
      <c r="BL345">
        <v>1</v>
      </c>
      <c r="BM345" s="24"/>
      <c r="BN345" s="24"/>
      <c r="BO345" s="24"/>
      <c r="BP345" s="24"/>
      <c r="BR345" s="24">
        <v>45943.549833333331</v>
      </c>
      <c r="BS345" s="24">
        <v>45943.549833333331</v>
      </c>
      <c r="BT345" s="24">
        <v>45943.613121805553</v>
      </c>
      <c r="BU345" s="24">
        <v>45943.613121805553</v>
      </c>
      <c r="BV345">
        <v>1</v>
      </c>
      <c r="BW345" s="24"/>
      <c r="BX345" s="24"/>
      <c r="BY345" s="24"/>
      <c r="BZ345" s="24"/>
      <c r="CB345" s="24"/>
      <c r="CC345" s="24"/>
      <c r="CE345" s="24">
        <v>45947.628681076392</v>
      </c>
      <c r="CF345" s="24">
        <v>45947.628681076392</v>
      </c>
      <c r="CG345">
        <v>1</v>
      </c>
      <c r="CH345" s="24"/>
      <c r="CI345" s="24"/>
      <c r="CJ345" s="24"/>
      <c r="CK345" s="24"/>
      <c r="DE345" s="24"/>
      <c r="DF345" s="24"/>
      <c r="DG345" s="24"/>
      <c r="DH345" s="24"/>
      <c r="DJ345" t="s">
        <v>149</v>
      </c>
      <c r="DK345" t="s">
        <v>149</v>
      </c>
      <c r="DM345">
        <v>18</v>
      </c>
      <c r="DN345">
        <v>32</v>
      </c>
      <c r="DQ345" t="s">
        <v>1000</v>
      </c>
      <c r="DR345" t="s">
        <v>149</v>
      </c>
      <c r="DS345" s="24">
        <v>46160.384426226854</v>
      </c>
    </row>
    <row r="346" spans="1:123" x14ac:dyDescent="0.3">
      <c r="A346" t="s">
        <v>596</v>
      </c>
      <c r="D346" t="s">
        <v>223</v>
      </c>
      <c r="E346" s="24">
        <v>45898.49386574074</v>
      </c>
      <c r="G346" t="s">
        <v>90</v>
      </c>
      <c r="H346" t="s">
        <v>155</v>
      </c>
      <c r="I346" s="24"/>
      <c r="J346" s="24"/>
      <c r="K346" s="24"/>
      <c r="L346" s="24"/>
      <c r="N346" s="24"/>
      <c r="O346" s="24"/>
      <c r="P346" s="24"/>
      <c r="Q346" s="24"/>
      <c r="V346" s="24"/>
      <c r="W346" s="24"/>
      <c r="X346" s="24"/>
      <c r="Y346" s="24"/>
      <c r="AA346" s="24">
        <v>45922.586959641201</v>
      </c>
      <c r="AB346" s="24">
        <v>45922.586959641201</v>
      </c>
      <c r="AC346" s="24">
        <v>45930.363212905089</v>
      </c>
      <c r="AD346" s="24">
        <v>45930.363212905089</v>
      </c>
      <c r="AE346">
        <v>1</v>
      </c>
      <c r="AF346" s="24"/>
      <c r="AG346" s="24"/>
      <c r="AH346" s="24"/>
      <c r="AI346" s="24"/>
      <c r="AK346" s="24"/>
      <c r="AL346" s="24"/>
      <c r="AM346" s="24"/>
      <c r="AN346" s="24"/>
      <c r="AP346" s="24"/>
      <c r="AQ346" s="24"/>
      <c r="AR346" s="24">
        <v>45922.586909618054</v>
      </c>
      <c r="AS346" s="24">
        <v>45922.586909618054</v>
      </c>
      <c r="AX346" s="24"/>
      <c r="AY346" s="24"/>
      <c r="AZ346" s="24"/>
      <c r="BA346" s="24"/>
      <c r="BC346" s="24"/>
      <c r="BD346" s="24"/>
      <c r="BE346" s="24"/>
      <c r="BF346" s="24"/>
      <c r="BH346" s="24">
        <v>45922.586909618054</v>
      </c>
      <c r="BI346" s="24">
        <v>45922.586909618054</v>
      </c>
      <c r="BJ346" s="24">
        <v>45922.586959641201</v>
      </c>
      <c r="BK346" s="24">
        <v>45922.586959641201</v>
      </c>
      <c r="BL346">
        <v>1</v>
      </c>
      <c r="BM346" s="24"/>
      <c r="BN346" s="24"/>
      <c r="BO346" s="24"/>
      <c r="BP346" s="24"/>
      <c r="BR346" s="24">
        <v>45930.363212905089</v>
      </c>
      <c r="BS346" s="24">
        <v>45930.363212905089</v>
      </c>
      <c r="BT346" s="24">
        <v>45930.398530694445</v>
      </c>
      <c r="BU346" s="24">
        <v>45930.398530694445</v>
      </c>
      <c r="BV346">
        <v>1</v>
      </c>
      <c r="BW346" s="24"/>
      <c r="BX346" s="24"/>
      <c r="BY346" s="24"/>
      <c r="BZ346" s="24"/>
      <c r="CB346" s="24"/>
      <c r="CC346" s="24"/>
      <c r="CE346" s="24">
        <v>45930.398530694445</v>
      </c>
      <c r="CF346" s="24">
        <v>45930.398530694445</v>
      </c>
      <c r="CG346">
        <v>1</v>
      </c>
      <c r="CH346" s="24"/>
      <c r="CI346" s="24"/>
      <c r="CJ346" s="24"/>
      <c r="CK346" s="24"/>
      <c r="DE346" s="24"/>
      <c r="DF346" s="24"/>
      <c r="DG346" s="24"/>
      <c r="DH346" s="24"/>
      <c r="DJ346" t="s">
        <v>149</v>
      </c>
      <c r="DK346" t="s">
        <v>149</v>
      </c>
      <c r="DM346">
        <v>8</v>
      </c>
      <c r="DN346">
        <v>8</v>
      </c>
      <c r="DQ346" t="s">
        <v>1000</v>
      </c>
      <c r="DR346" t="s">
        <v>149</v>
      </c>
      <c r="DS346" s="24">
        <v>46160.384426226854</v>
      </c>
    </row>
    <row r="347" spans="1:123" x14ac:dyDescent="0.3">
      <c r="A347" t="s">
        <v>597</v>
      </c>
      <c r="D347" t="s">
        <v>225</v>
      </c>
      <c r="E347" s="24">
        <v>45897.560335648152</v>
      </c>
      <c r="G347" t="s">
        <v>150</v>
      </c>
      <c r="H347" t="s">
        <v>155</v>
      </c>
      <c r="I347" s="24"/>
      <c r="J347" s="24"/>
      <c r="K347" s="24"/>
      <c r="L347" s="24"/>
      <c r="N347" s="24"/>
      <c r="O347" s="24"/>
      <c r="P347" s="24"/>
      <c r="Q347" s="24"/>
      <c r="V347" s="24"/>
      <c r="W347" s="24"/>
      <c r="X347" s="24"/>
      <c r="Y347" s="24"/>
      <c r="AA347" s="24"/>
      <c r="AB347" s="24"/>
      <c r="AC347" s="24"/>
      <c r="AD347" s="24"/>
      <c r="AF347" s="24"/>
      <c r="AG347" s="24"/>
      <c r="AH347" s="24"/>
      <c r="AI347" s="24"/>
      <c r="AK347" s="24"/>
      <c r="AL347" s="24"/>
      <c r="AM347" s="24"/>
      <c r="AN347" s="24"/>
      <c r="AP347" s="24"/>
      <c r="AQ347" s="24"/>
      <c r="AR347" s="24">
        <v>45939.617837442129</v>
      </c>
      <c r="AS347" s="24">
        <v>45939.617837442129</v>
      </c>
      <c r="AX347" s="24"/>
      <c r="AY347" s="24"/>
      <c r="AZ347" s="24"/>
      <c r="BA347" s="24"/>
      <c r="BC347" s="24"/>
      <c r="BD347" s="24"/>
      <c r="BE347" s="24"/>
      <c r="BF347" s="24"/>
      <c r="BH347" s="24"/>
      <c r="BI347" s="24"/>
      <c r="BJ347" s="24"/>
      <c r="BK347" s="24"/>
      <c r="BM347" s="24"/>
      <c r="BN347" s="24"/>
      <c r="BO347" s="24"/>
      <c r="BP347" s="24"/>
      <c r="BR347" s="24"/>
      <c r="BS347" s="24"/>
      <c r="BT347" s="24"/>
      <c r="BU347" s="24"/>
      <c r="BW347" s="24"/>
      <c r="BX347" s="24"/>
      <c r="BY347" s="24"/>
      <c r="BZ347" s="24"/>
      <c r="CB347" s="24">
        <v>45939.617837442129</v>
      </c>
      <c r="CC347" s="24">
        <v>45939.617837442129</v>
      </c>
      <c r="CD347">
        <v>1</v>
      </c>
      <c r="CE347" s="24"/>
      <c r="CF347" s="24"/>
      <c r="CH347" s="24"/>
      <c r="CI347" s="24"/>
      <c r="CJ347" s="24"/>
      <c r="CK347" s="24"/>
      <c r="DE347" s="24"/>
      <c r="DF347" s="24"/>
      <c r="DG347" s="24"/>
      <c r="DH347" s="24"/>
      <c r="DJ347" t="s">
        <v>149</v>
      </c>
      <c r="DK347" t="s">
        <v>149</v>
      </c>
      <c r="DQ347" t="s">
        <v>1000</v>
      </c>
      <c r="DR347" t="s">
        <v>149</v>
      </c>
      <c r="DS347" s="24">
        <v>46160.384426226854</v>
      </c>
    </row>
    <row r="348" spans="1:123" x14ac:dyDescent="0.3">
      <c r="A348" t="s">
        <v>598</v>
      </c>
      <c r="D348" t="s">
        <v>223</v>
      </c>
      <c r="E348" s="24">
        <v>45897.546226851853</v>
      </c>
      <c r="G348" t="s">
        <v>90</v>
      </c>
      <c r="H348" t="s">
        <v>155</v>
      </c>
      <c r="I348" s="24"/>
      <c r="J348" s="24"/>
      <c r="K348" s="24"/>
      <c r="L348" s="24"/>
      <c r="N348" s="24"/>
      <c r="O348" s="24"/>
      <c r="P348" s="24"/>
      <c r="Q348" s="24"/>
      <c r="V348" s="24"/>
      <c r="W348" s="24"/>
      <c r="X348" s="24"/>
      <c r="Y348" s="24"/>
      <c r="AA348" s="24">
        <v>45897.546571990744</v>
      </c>
      <c r="AB348" s="24">
        <v>45897.546571990744</v>
      </c>
      <c r="AC348" s="24">
        <v>45897.546628819444</v>
      </c>
      <c r="AD348" s="24">
        <v>45897.546628819444</v>
      </c>
      <c r="AE348">
        <v>1</v>
      </c>
      <c r="AF348" s="24"/>
      <c r="AG348" s="24"/>
      <c r="AH348" s="24"/>
      <c r="AI348" s="24"/>
      <c r="AK348" s="24"/>
      <c r="AL348" s="24"/>
      <c r="AM348" s="24"/>
      <c r="AN348" s="24"/>
      <c r="AP348" s="24"/>
      <c r="AQ348" s="24"/>
      <c r="AR348" s="24">
        <v>45897.546513611109</v>
      </c>
      <c r="AS348" s="24">
        <v>45897.546513611109</v>
      </c>
      <c r="AX348" s="24"/>
      <c r="AY348" s="24"/>
      <c r="AZ348" s="24"/>
      <c r="BA348" s="24"/>
      <c r="BC348" s="24"/>
      <c r="BD348" s="24"/>
      <c r="BE348" s="24"/>
      <c r="BF348" s="24"/>
      <c r="BH348" s="24">
        <v>45897.546513611109</v>
      </c>
      <c r="BI348" s="24">
        <v>45897.546513611109</v>
      </c>
      <c r="BJ348" s="24">
        <v>45897.546571990744</v>
      </c>
      <c r="BK348" s="24">
        <v>45897.546571990744</v>
      </c>
      <c r="BL348">
        <v>1</v>
      </c>
      <c r="BM348" s="24"/>
      <c r="BN348" s="24"/>
      <c r="BO348" s="24"/>
      <c r="BP348" s="24"/>
      <c r="BR348" s="24"/>
      <c r="BS348" s="24"/>
      <c r="BT348" s="24"/>
      <c r="BU348" s="24"/>
      <c r="BW348" s="24"/>
      <c r="BX348" s="24"/>
      <c r="BY348" s="24"/>
      <c r="BZ348" s="24"/>
      <c r="CB348" s="24"/>
      <c r="CC348" s="24"/>
      <c r="CE348" s="24">
        <v>45897.546628819444</v>
      </c>
      <c r="CF348" s="24">
        <v>45897.546628819444</v>
      </c>
      <c r="CG348">
        <v>1</v>
      </c>
      <c r="CH348" s="24"/>
      <c r="CI348" s="24"/>
      <c r="CJ348" s="24"/>
      <c r="CK348" s="24"/>
      <c r="DE348" s="24"/>
      <c r="DF348" s="24"/>
      <c r="DG348" s="24"/>
      <c r="DH348" s="24"/>
      <c r="DJ348" t="s">
        <v>149</v>
      </c>
      <c r="DK348" t="s">
        <v>149</v>
      </c>
      <c r="DM348">
        <v>1</v>
      </c>
      <c r="DN348">
        <v>1</v>
      </c>
      <c r="DQ348" t="s">
        <v>1000</v>
      </c>
      <c r="DR348" t="s">
        <v>149</v>
      </c>
      <c r="DS348" s="24">
        <v>46160.384426226854</v>
      </c>
    </row>
    <row r="349" spans="1:123" x14ac:dyDescent="0.3">
      <c r="A349" t="s">
        <v>599</v>
      </c>
      <c r="D349" t="s">
        <v>223</v>
      </c>
      <c r="E349" s="24">
        <v>45897.465960648151</v>
      </c>
      <c r="G349" t="s">
        <v>90</v>
      </c>
      <c r="H349" t="s">
        <v>155</v>
      </c>
      <c r="I349" s="24">
        <v>45908.411101874997</v>
      </c>
      <c r="J349" s="24">
        <v>45908.411101874997</v>
      </c>
      <c r="K349" s="24">
        <v>45908.41202802083</v>
      </c>
      <c r="L349" s="24">
        <v>45908.41202802083</v>
      </c>
      <c r="M349">
        <v>1</v>
      </c>
      <c r="N349" s="24"/>
      <c r="O349" s="24"/>
      <c r="P349" s="24"/>
      <c r="Q349" s="24"/>
      <c r="V349" s="24"/>
      <c r="W349" s="24"/>
      <c r="X349" s="24"/>
      <c r="Y349" s="24"/>
      <c r="AA349" s="24">
        <v>45908.412186643516</v>
      </c>
      <c r="AB349" s="24">
        <v>45904.394774849534</v>
      </c>
      <c r="AC349" s="24">
        <v>45908.410560937496</v>
      </c>
      <c r="AD349" s="24">
        <v>45916.481959826386</v>
      </c>
      <c r="AE349">
        <v>2</v>
      </c>
      <c r="AF349" s="24">
        <v>45908.410560937496</v>
      </c>
      <c r="AG349" s="24">
        <v>45908.410560937496</v>
      </c>
      <c r="AH349" s="24">
        <v>45908.410609999999</v>
      </c>
      <c r="AI349" s="24">
        <v>45908.410609999999</v>
      </c>
      <c r="AJ349">
        <v>1</v>
      </c>
      <c r="AK349" s="24"/>
      <c r="AL349" s="24"/>
      <c r="AM349" s="24"/>
      <c r="AN349" s="24"/>
      <c r="AP349" s="24"/>
      <c r="AQ349" s="24"/>
      <c r="AR349" s="24">
        <v>45904.393080451388</v>
      </c>
      <c r="AS349" s="24">
        <v>45904.393080451388</v>
      </c>
      <c r="AX349" s="24"/>
      <c r="AY349" s="24"/>
      <c r="AZ349" s="24"/>
      <c r="BA349" s="24"/>
      <c r="BC349" s="24"/>
      <c r="BD349" s="24"/>
      <c r="BE349" s="24"/>
      <c r="BF349" s="24"/>
      <c r="BH349" s="24">
        <v>45908.41202802083</v>
      </c>
      <c r="BI349" s="24">
        <v>45904.393080451388</v>
      </c>
      <c r="BJ349" s="24">
        <v>45904.394774849534</v>
      </c>
      <c r="BK349" s="24">
        <v>45908.412186643516</v>
      </c>
      <c r="BL349">
        <v>2</v>
      </c>
      <c r="BM349" s="24"/>
      <c r="BN349" s="24"/>
      <c r="BO349" s="24"/>
      <c r="BP349" s="24"/>
      <c r="BR349" s="24">
        <v>45908.410609999999</v>
      </c>
      <c r="BS349" s="24">
        <v>45908.410609999999</v>
      </c>
      <c r="BT349" s="24">
        <v>45908.410654409723</v>
      </c>
      <c r="BU349" s="24">
        <v>45908.410654409723</v>
      </c>
      <c r="BV349">
        <v>1</v>
      </c>
      <c r="BW349" s="24"/>
      <c r="BX349" s="24"/>
      <c r="BY349" s="24"/>
      <c r="BZ349" s="24"/>
      <c r="CB349" s="24"/>
      <c r="CC349" s="24"/>
      <c r="CE349" s="24">
        <v>45916.481959826386</v>
      </c>
      <c r="CF349" s="24">
        <v>45908.410654409723</v>
      </c>
      <c r="CG349">
        <v>2</v>
      </c>
      <c r="CH349" s="24"/>
      <c r="CI349" s="24"/>
      <c r="CJ349" s="24"/>
      <c r="CK349" s="24"/>
      <c r="DE349" s="24"/>
      <c r="DF349" s="24"/>
      <c r="DG349" s="24"/>
      <c r="DH349" s="24"/>
      <c r="DJ349" t="s">
        <v>149</v>
      </c>
      <c r="DK349" t="s">
        <v>149</v>
      </c>
      <c r="DM349">
        <v>13</v>
      </c>
      <c r="DN349">
        <v>13</v>
      </c>
      <c r="DQ349" t="s">
        <v>1000</v>
      </c>
      <c r="DR349" t="s">
        <v>149</v>
      </c>
      <c r="DS349" s="24">
        <v>46160.384426226854</v>
      </c>
    </row>
    <row r="350" spans="1:123" x14ac:dyDescent="0.3">
      <c r="A350" t="s">
        <v>600</v>
      </c>
      <c r="D350" t="s">
        <v>223</v>
      </c>
      <c r="E350" s="24">
        <v>45897.363865740743</v>
      </c>
      <c r="G350" t="s">
        <v>90</v>
      </c>
      <c r="H350" t="s">
        <v>155</v>
      </c>
      <c r="I350" s="24"/>
      <c r="J350" s="24"/>
      <c r="K350" s="24"/>
      <c r="L350" s="24"/>
      <c r="N350" s="24"/>
      <c r="O350" s="24"/>
      <c r="P350" s="24"/>
      <c r="Q350" s="24"/>
      <c r="V350" s="24"/>
      <c r="W350" s="24"/>
      <c r="X350" s="24"/>
      <c r="Y350" s="24"/>
      <c r="AA350" s="24">
        <v>45902.597084907407</v>
      </c>
      <c r="AB350" s="24">
        <v>45902.597084907407</v>
      </c>
      <c r="AC350" s="24">
        <v>45916.322314814817</v>
      </c>
      <c r="AD350" s="24">
        <v>45916.322314814817</v>
      </c>
      <c r="AE350">
        <v>1</v>
      </c>
      <c r="AF350" s="24">
        <v>45916.322314814817</v>
      </c>
      <c r="AG350" s="24">
        <v>45916.322314814817</v>
      </c>
      <c r="AH350" s="24">
        <v>45916.322353900461</v>
      </c>
      <c r="AI350" s="24">
        <v>45916.322353900461</v>
      </c>
      <c r="AJ350">
        <v>1</v>
      </c>
      <c r="AK350" s="24"/>
      <c r="AL350" s="24"/>
      <c r="AM350" s="24"/>
      <c r="AN350" s="24"/>
      <c r="AP350" s="24"/>
      <c r="AQ350" s="24"/>
      <c r="AR350" s="24">
        <v>45902.596849016205</v>
      </c>
      <c r="AS350" s="24">
        <v>45902.596849016205</v>
      </c>
      <c r="AX350" s="24"/>
      <c r="AY350" s="24"/>
      <c r="AZ350" s="24"/>
      <c r="BA350" s="24"/>
      <c r="BC350" s="24"/>
      <c r="BD350" s="24"/>
      <c r="BE350" s="24"/>
      <c r="BF350" s="24"/>
      <c r="BH350" s="24">
        <v>45902.596849016205</v>
      </c>
      <c r="BI350" s="24">
        <v>45902.596849016205</v>
      </c>
      <c r="BJ350" s="24">
        <v>45902.597084907407</v>
      </c>
      <c r="BK350" s="24">
        <v>45902.597084907407</v>
      </c>
      <c r="BL350">
        <v>1</v>
      </c>
      <c r="BM350" s="24"/>
      <c r="BN350" s="24"/>
      <c r="BO350" s="24"/>
      <c r="BP350" s="24"/>
      <c r="BR350" s="24">
        <v>45916.322353900461</v>
      </c>
      <c r="BS350" s="24">
        <v>45916.322353900461</v>
      </c>
      <c r="BT350" s="24">
        <v>45916.32239804398</v>
      </c>
      <c r="BU350" s="24">
        <v>45916.32239804398</v>
      </c>
      <c r="BV350">
        <v>1</v>
      </c>
      <c r="BW350" s="24"/>
      <c r="BX350" s="24"/>
      <c r="BY350" s="24"/>
      <c r="BZ350" s="24"/>
      <c r="CB350" s="24"/>
      <c r="CC350" s="24"/>
      <c r="CE350" s="24">
        <v>45916.32239804398</v>
      </c>
      <c r="CF350" s="24">
        <v>45916.32239804398</v>
      </c>
      <c r="CG350">
        <v>1</v>
      </c>
      <c r="CH350" s="24"/>
      <c r="CI350" s="24"/>
      <c r="CJ350" s="24"/>
      <c r="CK350" s="24"/>
      <c r="DE350" s="24"/>
      <c r="DF350" s="24"/>
      <c r="DG350" s="24"/>
      <c r="DH350" s="24"/>
      <c r="DJ350" t="s">
        <v>149</v>
      </c>
      <c r="DK350" t="s">
        <v>149</v>
      </c>
      <c r="DM350">
        <v>14</v>
      </c>
      <c r="DN350">
        <v>14</v>
      </c>
      <c r="DQ350" t="s">
        <v>1000</v>
      </c>
      <c r="DR350" t="s">
        <v>149</v>
      </c>
      <c r="DS350" s="24">
        <v>46160.384426226854</v>
      </c>
    </row>
    <row r="351" spans="1:123" x14ac:dyDescent="0.3">
      <c r="A351" t="s">
        <v>601</v>
      </c>
      <c r="D351" t="s">
        <v>225</v>
      </c>
      <c r="E351" s="24">
        <v>45896.667453703703</v>
      </c>
      <c r="G351" t="s">
        <v>102</v>
      </c>
      <c r="H351" t="s">
        <v>154</v>
      </c>
      <c r="I351" s="24"/>
      <c r="J351" s="24"/>
      <c r="K351" s="24"/>
      <c r="L351" s="24"/>
      <c r="N351" s="24"/>
      <c r="O351" s="24"/>
      <c r="P351" s="24"/>
      <c r="Q351" s="24"/>
      <c r="V351" s="24"/>
      <c r="W351" s="24"/>
      <c r="X351" s="24"/>
      <c r="Y351" s="24"/>
      <c r="AA351" s="24"/>
      <c r="AB351" s="24"/>
      <c r="AC351" s="24"/>
      <c r="AD351" s="24"/>
      <c r="AF351" s="24"/>
      <c r="AG351" s="24"/>
      <c r="AH351" s="24"/>
      <c r="AI351" s="24"/>
      <c r="AK351" s="24"/>
      <c r="AL351" s="24"/>
      <c r="AM351" s="24"/>
      <c r="AN351" s="24"/>
      <c r="AP351" s="24"/>
      <c r="AQ351" s="24"/>
      <c r="AR351" s="24"/>
      <c r="AS351" s="24"/>
      <c r="AX351" s="24"/>
      <c r="AY351" s="24"/>
      <c r="AZ351" s="24"/>
      <c r="BA351" s="24"/>
      <c r="BC351" s="24"/>
      <c r="BD351" s="24"/>
      <c r="BE351" s="24"/>
      <c r="BF351" s="24"/>
      <c r="BH351" s="24"/>
      <c r="BI351" s="24"/>
      <c r="BJ351" s="24"/>
      <c r="BK351" s="24"/>
      <c r="BM351" s="24"/>
      <c r="BN351" s="24"/>
      <c r="BO351" s="24"/>
      <c r="BP351" s="24"/>
      <c r="BR351" s="24"/>
      <c r="BS351" s="24"/>
      <c r="BT351" s="24"/>
      <c r="BU351" s="24"/>
      <c r="BW351" s="24"/>
      <c r="BX351" s="24"/>
      <c r="BY351" s="24"/>
      <c r="BZ351" s="24"/>
      <c r="CB351" s="24"/>
      <c r="CC351" s="24"/>
      <c r="CE351" s="24"/>
      <c r="CF351" s="24"/>
      <c r="CH351" s="24"/>
      <c r="CI351" s="24"/>
      <c r="CJ351" s="24"/>
      <c r="CK351" s="24"/>
      <c r="DE351" s="24"/>
      <c r="DF351" s="24"/>
      <c r="DG351" s="24"/>
      <c r="DH351" s="24"/>
      <c r="DJ351" t="s">
        <v>149</v>
      </c>
      <c r="DK351" t="s">
        <v>149</v>
      </c>
      <c r="DQ351" t="s">
        <v>1000</v>
      </c>
      <c r="DR351" t="s">
        <v>149</v>
      </c>
      <c r="DS351" s="24">
        <v>46160.384426226854</v>
      </c>
    </row>
    <row r="352" spans="1:123" x14ac:dyDescent="0.3">
      <c r="A352" t="s">
        <v>602</v>
      </c>
      <c r="D352" t="s">
        <v>223</v>
      </c>
      <c r="E352" s="24">
        <v>45895.499652777777</v>
      </c>
      <c r="G352" t="s">
        <v>90</v>
      </c>
      <c r="H352" t="s">
        <v>155</v>
      </c>
      <c r="I352" s="24"/>
      <c r="J352" s="24"/>
      <c r="K352" s="24"/>
      <c r="L352" s="24"/>
      <c r="N352" s="24"/>
      <c r="O352" s="24"/>
      <c r="P352" s="24"/>
      <c r="Q352" s="24"/>
      <c r="V352" s="24"/>
      <c r="W352" s="24"/>
      <c r="X352" s="24"/>
      <c r="Y352" s="24"/>
      <c r="AA352" s="24">
        <v>45902.28451622685</v>
      </c>
      <c r="AB352" s="24">
        <v>45902.28451622685</v>
      </c>
      <c r="AC352" s="24">
        <v>45902.29253175926</v>
      </c>
      <c r="AD352" s="24">
        <v>45902.29253175926</v>
      </c>
      <c r="AE352">
        <v>1</v>
      </c>
      <c r="AF352" s="24">
        <v>45902.29253175926</v>
      </c>
      <c r="AG352" s="24">
        <v>45902.29253175926</v>
      </c>
      <c r="AH352" s="24">
        <v>45902.2925850463</v>
      </c>
      <c r="AI352" s="24">
        <v>45902.2925850463</v>
      </c>
      <c r="AJ352">
        <v>1</v>
      </c>
      <c r="AK352" s="24"/>
      <c r="AL352" s="24"/>
      <c r="AM352" s="24"/>
      <c r="AN352" s="24"/>
      <c r="AP352" s="24"/>
      <c r="AQ352" s="24"/>
      <c r="AR352" s="24">
        <v>45897.700274513889</v>
      </c>
      <c r="AS352" s="24">
        <v>45897.700274513889</v>
      </c>
      <c r="AX352" s="24"/>
      <c r="AY352" s="24"/>
      <c r="AZ352" s="24"/>
      <c r="BA352" s="24"/>
      <c r="BC352" s="24"/>
      <c r="BD352" s="24"/>
      <c r="BE352" s="24"/>
      <c r="BF352" s="24"/>
      <c r="BH352" s="24">
        <v>45897.700274513889</v>
      </c>
      <c r="BI352" s="24">
        <v>45897.700274513889</v>
      </c>
      <c r="BJ352" s="24">
        <v>45902.28451622685</v>
      </c>
      <c r="BK352" s="24">
        <v>45902.28451622685</v>
      </c>
      <c r="BL352">
        <v>1</v>
      </c>
      <c r="BM352" s="24"/>
      <c r="BN352" s="24"/>
      <c r="BO352" s="24"/>
      <c r="BP352" s="24"/>
      <c r="BR352" s="24">
        <v>45902.2925850463</v>
      </c>
      <c r="BS352" s="24">
        <v>45902.2925850463</v>
      </c>
      <c r="BT352" s="24">
        <v>45902.399530671297</v>
      </c>
      <c r="BU352" s="24">
        <v>45902.399530671297</v>
      </c>
      <c r="BV352">
        <v>1</v>
      </c>
      <c r="BW352" s="24"/>
      <c r="BX352" s="24"/>
      <c r="BY352" s="24"/>
      <c r="BZ352" s="24"/>
      <c r="CB352" s="24"/>
      <c r="CC352" s="24"/>
      <c r="CE352" s="24">
        <v>45902.399530671297</v>
      </c>
      <c r="CF352" s="24">
        <v>45902.399530671297</v>
      </c>
      <c r="CG352">
        <v>1</v>
      </c>
      <c r="CH352" s="24"/>
      <c r="CI352" s="24"/>
      <c r="CJ352" s="24"/>
      <c r="CK352" s="24"/>
      <c r="DE352" s="24"/>
      <c r="DF352" s="24"/>
      <c r="DG352" s="24"/>
      <c r="DH352" s="24"/>
      <c r="DJ352" t="s">
        <v>149</v>
      </c>
      <c r="DK352" t="s">
        <v>149</v>
      </c>
      <c r="DM352">
        <v>5</v>
      </c>
      <c r="DN352">
        <v>1</v>
      </c>
      <c r="DQ352" t="s">
        <v>1000</v>
      </c>
      <c r="DR352" t="s">
        <v>149</v>
      </c>
      <c r="DS352" s="24">
        <v>46160.384426226854</v>
      </c>
    </row>
    <row r="353" spans="1:123" x14ac:dyDescent="0.3">
      <c r="A353" t="s">
        <v>603</v>
      </c>
      <c r="D353" t="s">
        <v>223</v>
      </c>
      <c r="E353" s="24">
        <v>45895.378032407411</v>
      </c>
      <c r="G353" t="s">
        <v>102</v>
      </c>
      <c r="H353" t="s">
        <v>154</v>
      </c>
      <c r="I353" s="24"/>
      <c r="J353" s="24"/>
      <c r="K353" s="24"/>
      <c r="L353" s="24"/>
      <c r="N353" s="24"/>
      <c r="O353" s="24"/>
      <c r="P353" s="24"/>
      <c r="Q353" s="24"/>
      <c r="V353" s="24"/>
      <c r="W353" s="24"/>
      <c r="X353" s="24"/>
      <c r="Y353" s="24"/>
      <c r="AA353" s="24"/>
      <c r="AB353" s="24"/>
      <c r="AC353" s="24"/>
      <c r="AD353" s="24"/>
      <c r="AF353" s="24"/>
      <c r="AG353" s="24"/>
      <c r="AH353" s="24"/>
      <c r="AI353" s="24"/>
      <c r="AK353" s="24"/>
      <c r="AL353" s="24"/>
      <c r="AM353" s="24"/>
      <c r="AN353" s="24"/>
      <c r="AP353" s="24"/>
      <c r="AQ353" s="24"/>
      <c r="AR353" s="24"/>
      <c r="AS353" s="24"/>
      <c r="AX353" s="24"/>
      <c r="AY353" s="24"/>
      <c r="AZ353" s="24"/>
      <c r="BA353" s="24"/>
      <c r="BC353" s="24"/>
      <c r="BD353" s="24"/>
      <c r="BE353" s="24"/>
      <c r="BF353" s="24"/>
      <c r="BH353" s="24"/>
      <c r="BI353" s="24"/>
      <c r="BJ353" s="24"/>
      <c r="BK353" s="24"/>
      <c r="BM353" s="24"/>
      <c r="BN353" s="24"/>
      <c r="BO353" s="24"/>
      <c r="BP353" s="24"/>
      <c r="BR353" s="24"/>
      <c r="BS353" s="24"/>
      <c r="BT353" s="24"/>
      <c r="BU353" s="24"/>
      <c r="BW353" s="24"/>
      <c r="BX353" s="24"/>
      <c r="BY353" s="24"/>
      <c r="BZ353" s="24"/>
      <c r="CB353" s="24"/>
      <c r="CC353" s="24"/>
      <c r="CE353" s="24"/>
      <c r="CF353" s="24"/>
      <c r="CH353" s="24"/>
      <c r="CI353" s="24"/>
      <c r="CJ353" s="24"/>
      <c r="CK353" s="24"/>
      <c r="DE353" s="24"/>
      <c r="DF353" s="24"/>
      <c r="DG353" s="24"/>
      <c r="DH353" s="24"/>
      <c r="DJ353" t="s">
        <v>149</v>
      </c>
      <c r="DK353" t="s">
        <v>149</v>
      </c>
      <c r="DQ353" t="s">
        <v>1000</v>
      </c>
      <c r="DR353" t="s">
        <v>149</v>
      </c>
      <c r="DS353" s="24">
        <v>46160.384426226854</v>
      </c>
    </row>
    <row r="354" spans="1:123" x14ac:dyDescent="0.3">
      <c r="A354" t="s">
        <v>604</v>
      </c>
      <c r="D354" t="s">
        <v>225</v>
      </c>
      <c r="E354" s="24">
        <v>45894.464456018519</v>
      </c>
      <c r="G354" t="s">
        <v>90</v>
      </c>
      <c r="H354" t="s">
        <v>155</v>
      </c>
      <c r="I354" s="24"/>
      <c r="J354" s="24"/>
      <c r="K354" s="24"/>
      <c r="L354" s="24"/>
      <c r="N354" s="24"/>
      <c r="O354" s="24"/>
      <c r="P354" s="24"/>
      <c r="Q354" s="24"/>
      <c r="V354" s="24"/>
      <c r="W354" s="24"/>
      <c r="X354" s="24"/>
      <c r="Y354" s="24"/>
      <c r="AA354" s="24">
        <v>45916.889661226851</v>
      </c>
      <c r="AB354" s="24">
        <v>45916.889661226851</v>
      </c>
      <c r="AC354" s="24">
        <v>45919.668698553243</v>
      </c>
      <c r="AD354" s="24">
        <v>45919.668698553243</v>
      </c>
      <c r="AE354">
        <v>1</v>
      </c>
      <c r="AF354" s="24">
        <v>45919.668698553243</v>
      </c>
      <c r="AG354" s="24">
        <v>45919.668698553243</v>
      </c>
      <c r="AH354" s="24">
        <v>45925.313782708334</v>
      </c>
      <c r="AI354" s="24">
        <v>45925.313782708334</v>
      </c>
      <c r="AJ354">
        <v>1</v>
      </c>
      <c r="AK354" s="24">
        <v>45925.313782708334</v>
      </c>
      <c r="AL354" s="24">
        <v>45925.313782708334</v>
      </c>
      <c r="AM354" s="24">
        <v>45926.469327615741</v>
      </c>
      <c r="AN354" s="24">
        <v>45926.469327615741</v>
      </c>
      <c r="AO354">
        <v>1</v>
      </c>
      <c r="AP354" s="24"/>
      <c r="AQ354" s="24"/>
      <c r="AR354" s="24">
        <v>45916.487752465277</v>
      </c>
      <c r="AS354" s="24">
        <v>45916.487752465277</v>
      </c>
      <c r="AX354" s="24"/>
      <c r="AY354" s="24"/>
      <c r="AZ354" s="24"/>
      <c r="BA354" s="24"/>
      <c r="BC354" s="24">
        <v>45926.469597951385</v>
      </c>
      <c r="BD354" s="24">
        <v>45926.469597951385</v>
      </c>
      <c r="BE354" s="24">
        <v>45931.65622365741</v>
      </c>
      <c r="BF354" s="24">
        <v>45931.65622365741</v>
      </c>
      <c r="BG354">
        <v>1</v>
      </c>
      <c r="BH354" s="24">
        <v>45916.487752465277</v>
      </c>
      <c r="BI354" s="24">
        <v>45916.487752465277</v>
      </c>
      <c r="BJ354" s="24">
        <v>45916.889661226851</v>
      </c>
      <c r="BK354" s="24">
        <v>45916.889661226851</v>
      </c>
      <c r="BL354">
        <v>1</v>
      </c>
      <c r="BM354" s="24"/>
      <c r="BN354" s="24"/>
      <c r="BO354" s="24"/>
      <c r="BP354" s="24"/>
      <c r="BR354" s="24">
        <v>45926.469327615741</v>
      </c>
      <c r="BS354" s="24">
        <v>45926.469327615741</v>
      </c>
      <c r="BT354" s="24">
        <v>45926.469597951385</v>
      </c>
      <c r="BU354" s="24">
        <v>45926.469597951385</v>
      </c>
      <c r="BV354">
        <v>1</v>
      </c>
      <c r="BW354" s="24"/>
      <c r="BX354" s="24"/>
      <c r="BY354" s="24"/>
      <c r="BZ354" s="24"/>
      <c r="CB354" s="24"/>
      <c r="CC354" s="24"/>
      <c r="CE354" s="24">
        <v>45931.65622365741</v>
      </c>
      <c r="CF354" s="24">
        <v>45931.65622365741</v>
      </c>
      <c r="CG354">
        <v>1</v>
      </c>
      <c r="CH354" s="24"/>
      <c r="CI354" s="24"/>
      <c r="CJ354" s="24"/>
      <c r="CK354" s="24"/>
      <c r="DE354" s="24"/>
      <c r="DF354" s="24"/>
      <c r="DG354" s="24"/>
      <c r="DH354" s="24"/>
      <c r="DJ354" t="s">
        <v>149</v>
      </c>
      <c r="DK354" t="s">
        <v>149</v>
      </c>
      <c r="DM354">
        <v>16</v>
      </c>
      <c r="DN354">
        <v>15</v>
      </c>
      <c r="DQ354" t="s">
        <v>1000</v>
      </c>
      <c r="DR354" t="s">
        <v>149</v>
      </c>
      <c r="DS354" s="24">
        <v>46160.384426226854</v>
      </c>
    </row>
    <row r="355" spans="1:123" x14ac:dyDescent="0.3">
      <c r="A355" t="s">
        <v>605</v>
      </c>
      <c r="D355" t="s">
        <v>223</v>
      </c>
      <c r="E355" s="24">
        <v>45891.364953703705</v>
      </c>
      <c r="G355" t="s">
        <v>90</v>
      </c>
      <c r="H355" t="s">
        <v>155</v>
      </c>
      <c r="I355" s="24"/>
      <c r="J355" s="24"/>
      <c r="K355" s="24"/>
      <c r="L355" s="24"/>
      <c r="N355" s="24"/>
      <c r="O355" s="24"/>
      <c r="P355" s="24"/>
      <c r="Q355" s="24"/>
      <c r="V355" s="24"/>
      <c r="W355" s="24"/>
      <c r="X355" s="24"/>
      <c r="Y355" s="24"/>
      <c r="AA355" s="24">
        <v>45891.407284502318</v>
      </c>
      <c r="AB355" s="24">
        <v>45891.407284502318</v>
      </c>
      <c r="AC355" s="24">
        <v>45894.463951215279</v>
      </c>
      <c r="AD355" s="24">
        <v>45894.463951215279</v>
      </c>
      <c r="AE355">
        <v>1</v>
      </c>
      <c r="AF355" s="24">
        <v>45894.463951215279</v>
      </c>
      <c r="AG355" s="24">
        <v>45894.463951215279</v>
      </c>
      <c r="AH355" s="24">
        <v>45896.63455260417</v>
      </c>
      <c r="AI355" s="24">
        <v>45896.63455260417</v>
      </c>
      <c r="AJ355">
        <v>1</v>
      </c>
      <c r="AK355" s="24"/>
      <c r="AL355" s="24"/>
      <c r="AM355" s="24"/>
      <c r="AN355" s="24"/>
      <c r="AP355" s="24"/>
      <c r="AQ355" s="24"/>
      <c r="AR355" s="24">
        <v>45891.367098564813</v>
      </c>
      <c r="AS355" s="24">
        <v>45891.367098564813</v>
      </c>
      <c r="AX355" s="24"/>
      <c r="AY355" s="24"/>
      <c r="AZ355" s="24"/>
      <c r="BA355" s="24"/>
      <c r="BC355" s="24"/>
      <c r="BD355" s="24"/>
      <c r="BE355" s="24"/>
      <c r="BF355" s="24"/>
      <c r="BH355" s="24">
        <v>45891.367098564813</v>
      </c>
      <c r="BI355" s="24">
        <v>45891.367098564813</v>
      </c>
      <c r="BJ355" s="24">
        <v>45891.407284502318</v>
      </c>
      <c r="BK355" s="24">
        <v>45891.407284502318</v>
      </c>
      <c r="BL355">
        <v>1</v>
      </c>
      <c r="BM355" s="24"/>
      <c r="BN355" s="24"/>
      <c r="BO355" s="24"/>
      <c r="BP355" s="24"/>
      <c r="BR355" s="24">
        <v>45896.63455260417</v>
      </c>
      <c r="BS355" s="24">
        <v>45896.63455260417</v>
      </c>
      <c r="BT355" s="24">
        <v>45898.407724722223</v>
      </c>
      <c r="BU355" s="24">
        <v>45898.407724722223</v>
      </c>
      <c r="BV355">
        <v>1</v>
      </c>
      <c r="BW355" s="24"/>
      <c r="BX355" s="24"/>
      <c r="BY355" s="24"/>
      <c r="BZ355" s="24"/>
      <c r="CB355" s="24"/>
      <c r="CC355" s="24"/>
      <c r="CE355" s="24">
        <v>45898.407724722223</v>
      </c>
      <c r="CF355" s="24">
        <v>45898.407724722223</v>
      </c>
      <c r="CG355">
        <v>1</v>
      </c>
      <c r="CH355" s="24"/>
      <c r="CI355" s="24"/>
      <c r="CJ355" s="24"/>
      <c r="CK355" s="24"/>
      <c r="DE355" s="24"/>
      <c r="DF355" s="24"/>
      <c r="DG355" s="24"/>
      <c r="DH355" s="24"/>
      <c r="DJ355" t="s">
        <v>149</v>
      </c>
      <c r="DK355" t="s">
        <v>149</v>
      </c>
      <c r="DM355">
        <v>8</v>
      </c>
      <c r="DN355">
        <v>8</v>
      </c>
      <c r="DQ355" t="s">
        <v>1000</v>
      </c>
      <c r="DR355" t="s">
        <v>149</v>
      </c>
      <c r="DS355" s="24">
        <v>46160.384426226854</v>
      </c>
    </row>
    <row r="356" spans="1:123" x14ac:dyDescent="0.3">
      <c r="A356" t="s">
        <v>606</v>
      </c>
      <c r="D356" t="s">
        <v>223</v>
      </c>
      <c r="E356" s="24">
        <v>45890.416631944441</v>
      </c>
      <c r="G356" t="s">
        <v>103</v>
      </c>
      <c r="H356" t="s">
        <v>154</v>
      </c>
      <c r="I356" s="24">
        <v>46071.601877962959</v>
      </c>
      <c r="J356" s="24">
        <v>46071.601877962959</v>
      </c>
      <c r="K356" s="24"/>
      <c r="L356" s="24"/>
      <c r="M356">
        <v>1</v>
      </c>
      <c r="N356" s="24"/>
      <c r="O356" s="24"/>
      <c r="P356" s="24"/>
      <c r="Q356" s="24"/>
      <c r="V356" s="24"/>
      <c r="W356" s="24"/>
      <c r="X356" s="24"/>
      <c r="Y356" s="24"/>
      <c r="AA356" s="24"/>
      <c r="AB356" s="24"/>
      <c r="AC356" s="24"/>
      <c r="AD356" s="24"/>
      <c r="AF356" s="24"/>
      <c r="AG356" s="24"/>
      <c r="AH356" s="24"/>
      <c r="AI356" s="24"/>
      <c r="AK356" s="24"/>
      <c r="AL356" s="24"/>
      <c r="AM356" s="24"/>
      <c r="AN356" s="24"/>
      <c r="AP356" s="24"/>
      <c r="AQ356" s="24"/>
      <c r="AR356" s="24">
        <v>46009.603041076392</v>
      </c>
      <c r="AS356" s="24">
        <v>46009.603041076392</v>
      </c>
      <c r="AX356" s="24"/>
      <c r="AY356" s="24"/>
      <c r="AZ356" s="24"/>
      <c r="BA356" s="24"/>
      <c r="BC356" s="24"/>
      <c r="BD356" s="24"/>
      <c r="BE356" s="24"/>
      <c r="BF356" s="24"/>
      <c r="BH356" s="24"/>
      <c r="BI356" s="24"/>
      <c r="BJ356" s="24"/>
      <c r="BK356" s="24"/>
      <c r="BM356" s="24"/>
      <c r="BN356" s="24"/>
      <c r="BO356" s="24"/>
      <c r="BP356" s="24"/>
      <c r="BR356" s="24"/>
      <c r="BS356" s="24"/>
      <c r="BT356" s="24"/>
      <c r="BU356" s="24"/>
      <c r="BW356" s="24"/>
      <c r="BX356" s="24"/>
      <c r="BY356" s="24"/>
      <c r="BZ356" s="24"/>
      <c r="CB356" s="24">
        <v>46009.603041076392</v>
      </c>
      <c r="CC356" s="24">
        <v>46009.603041076392</v>
      </c>
      <c r="CD356">
        <v>1</v>
      </c>
      <c r="CE356" s="24"/>
      <c r="CF356" s="24"/>
      <c r="CH356" s="24"/>
      <c r="CI356" s="24"/>
      <c r="CJ356" s="24"/>
      <c r="CK356" s="24"/>
      <c r="DE356" s="24"/>
      <c r="DF356" s="24"/>
      <c r="DG356" s="24"/>
      <c r="DH356" s="24"/>
      <c r="DJ356" t="s">
        <v>149</v>
      </c>
      <c r="DK356" t="s">
        <v>149</v>
      </c>
      <c r="DP356">
        <v>89</v>
      </c>
      <c r="DQ356" t="s">
        <v>1000</v>
      </c>
      <c r="DR356" t="s">
        <v>149</v>
      </c>
      <c r="DS356" s="24">
        <v>46160.384426226854</v>
      </c>
    </row>
    <row r="357" spans="1:123" x14ac:dyDescent="0.3">
      <c r="A357" t="s">
        <v>607</v>
      </c>
      <c r="D357" t="s">
        <v>223</v>
      </c>
      <c r="E357" s="24">
        <v>45889.685069444444</v>
      </c>
      <c r="G357" t="s">
        <v>90</v>
      </c>
      <c r="H357" t="s">
        <v>155</v>
      </c>
      <c r="I357" s="24"/>
      <c r="J357" s="24"/>
      <c r="K357" s="24"/>
      <c r="L357" s="24"/>
      <c r="N357" s="24"/>
      <c r="O357" s="24"/>
      <c r="P357" s="24"/>
      <c r="Q357" s="24"/>
      <c r="V357" s="24"/>
      <c r="W357" s="24"/>
      <c r="X357" s="24"/>
      <c r="Y357" s="24"/>
      <c r="AA357" s="24">
        <v>45895.573772118056</v>
      </c>
      <c r="AB357" s="24">
        <v>45895.573772118056</v>
      </c>
      <c r="AC357" s="24">
        <v>45901.663570023149</v>
      </c>
      <c r="AD357" s="24">
        <v>45901.663570023149</v>
      </c>
      <c r="AE357">
        <v>1</v>
      </c>
      <c r="AF357" s="24">
        <v>45901.663570023149</v>
      </c>
      <c r="AG357" s="24">
        <v>45901.663570023149</v>
      </c>
      <c r="AH357" s="24">
        <v>45902.292678321763</v>
      </c>
      <c r="AI357" s="24">
        <v>45902.292678321763</v>
      </c>
      <c r="AJ357">
        <v>1</v>
      </c>
      <c r="AK357" s="24">
        <v>45902.292678321763</v>
      </c>
      <c r="AL357" s="24">
        <v>45902.292678321763</v>
      </c>
      <c r="AM357" s="24">
        <v>45902.292720798614</v>
      </c>
      <c r="AN357" s="24">
        <v>45902.292720798614</v>
      </c>
      <c r="AO357">
        <v>1</v>
      </c>
      <c r="AP357" s="24"/>
      <c r="AQ357" s="24"/>
      <c r="AR357" s="24">
        <v>45889.689074907408</v>
      </c>
      <c r="AS357" s="24">
        <v>45889.689074907408</v>
      </c>
      <c r="AX357" s="24"/>
      <c r="AY357" s="24"/>
      <c r="AZ357" s="24"/>
      <c r="BA357" s="24"/>
      <c r="BC357" s="24"/>
      <c r="BD357" s="24"/>
      <c r="BE357" s="24"/>
      <c r="BF357" s="24"/>
      <c r="BH357" s="24">
        <v>45889.689074907408</v>
      </c>
      <c r="BI357" s="24">
        <v>45889.689074907408</v>
      </c>
      <c r="BJ357" s="24">
        <v>45895.573772118056</v>
      </c>
      <c r="BK357" s="24">
        <v>45895.573772118056</v>
      </c>
      <c r="BL357">
        <v>1</v>
      </c>
      <c r="BM357" s="24"/>
      <c r="BN357" s="24"/>
      <c r="BO357" s="24"/>
      <c r="BP357" s="24"/>
      <c r="BR357" s="24">
        <v>45902.292720798614</v>
      </c>
      <c r="BS357" s="24">
        <v>45902.292720798614</v>
      </c>
      <c r="BT357" s="24">
        <v>45902.400854259256</v>
      </c>
      <c r="BU357" s="24">
        <v>45902.400854259256</v>
      </c>
      <c r="BV357">
        <v>1</v>
      </c>
      <c r="BW357" s="24"/>
      <c r="BX357" s="24"/>
      <c r="BY357" s="24"/>
      <c r="BZ357" s="24"/>
      <c r="CB357" s="24"/>
      <c r="CC357" s="24"/>
      <c r="CE357" s="24">
        <v>45902.400854259256</v>
      </c>
      <c r="CF357" s="24">
        <v>45902.400854259256</v>
      </c>
      <c r="CG357">
        <v>1</v>
      </c>
      <c r="CH357" s="24"/>
      <c r="CI357" s="24"/>
      <c r="CJ357" s="24"/>
      <c r="CK357" s="24"/>
      <c r="DE357" s="24"/>
      <c r="DF357" s="24"/>
      <c r="DG357" s="24"/>
      <c r="DH357" s="24"/>
      <c r="DJ357" t="s">
        <v>149</v>
      </c>
      <c r="DK357" t="s">
        <v>149</v>
      </c>
      <c r="DM357">
        <v>13</v>
      </c>
      <c r="DN357">
        <v>7</v>
      </c>
      <c r="DQ357" t="s">
        <v>1000</v>
      </c>
      <c r="DR357" t="s">
        <v>149</v>
      </c>
      <c r="DS357" s="24">
        <v>46160.384426226854</v>
      </c>
    </row>
    <row r="358" spans="1:123" x14ac:dyDescent="0.3">
      <c r="A358" t="s">
        <v>608</v>
      </c>
      <c r="D358" t="s">
        <v>223</v>
      </c>
      <c r="E358" s="24">
        <v>45889.367430555554</v>
      </c>
      <c r="G358" t="s">
        <v>90</v>
      </c>
      <c r="H358" t="s">
        <v>155</v>
      </c>
      <c r="I358" s="24"/>
      <c r="J358" s="24"/>
      <c r="K358" s="24"/>
      <c r="L358" s="24"/>
      <c r="N358" s="24">
        <v>45939.386053449074</v>
      </c>
      <c r="O358" s="24">
        <v>45930.527462662038</v>
      </c>
      <c r="P358" s="24">
        <v>45936.64855953704</v>
      </c>
      <c r="Q358" s="24">
        <v>45989.431371805556</v>
      </c>
      <c r="R358">
        <v>2</v>
      </c>
      <c r="V358" s="24"/>
      <c r="W358" s="24"/>
      <c r="X358" s="24"/>
      <c r="Y358" s="24"/>
      <c r="AA358" s="24">
        <v>46007.459226666666</v>
      </c>
      <c r="AB358" s="24">
        <v>45889.367545532405</v>
      </c>
      <c r="AC358" s="24">
        <v>45894.395887361112</v>
      </c>
      <c r="AD358" s="24">
        <v>46007.459259710646</v>
      </c>
      <c r="AE358">
        <v>6</v>
      </c>
      <c r="AF358" s="24">
        <v>46007.459259710646</v>
      </c>
      <c r="AG358" s="24">
        <v>45894.395887361112</v>
      </c>
      <c r="AH358" s="24">
        <v>45894.403372418979</v>
      </c>
      <c r="AI358" s="24">
        <v>46008.40591947917</v>
      </c>
      <c r="AJ358">
        <v>4</v>
      </c>
      <c r="AK358" s="24"/>
      <c r="AL358" s="24"/>
      <c r="AM358" s="24"/>
      <c r="AN358" s="24"/>
      <c r="AP358" s="24">
        <v>45930.293899606484</v>
      </c>
      <c r="AQ358" s="24">
        <v>45930.293899606484</v>
      </c>
      <c r="AR358" s="24">
        <v>45930.462717372684</v>
      </c>
      <c r="AS358" s="24">
        <v>45930.462717372684</v>
      </c>
      <c r="AT358">
        <v>1</v>
      </c>
      <c r="AU358">
        <v>45918.403696875001</v>
      </c>
      <c r="AV358">
        <v>45918.403696875001</v>
      </c>
      <c r="AW358">
        <v>1</v>
      </c>
      <c r="AX358" s="24"/>
      <c r="AY358" s="24"/>
      <c r="AZ358" s="24"/>
      <c r="BA358" s="24"/>
      <c r="BC358" s="24"/>
      <c r="BD358" s="24"/>
      <c r="BE358" s="24"/>
      <c r="BF358" s="24"/>
      <c r="BH358" s="24">
        <v>45930.462717372684</v>
      </c>
      <c r="BI358" s="24">
        <v>45930.462717372684</v>
      </c>
      <c r="BJ358" s="24">
        <v>45930.521314432874</v>
      </c>
      <c r="BK358" s="24">
        <v>45930.521314432874</v>
      </c>
      <c r="BL358">
        <v>1</v>
      </c>
      <c r="BM358" s="24"/>
      <c r="BN358" s="24"/>
      <c r="BO358" s="24"/>
      <c r="BP358" s="24"/>
      <c r="BR358" s="24">
        <v>46008.40591947917</v>
      </c>
      <c r="BS358" s="24">
        <v>46007.45614613426</v>
      </c>
      <c r="BT358" s="24">
        <v>46007.459226666666</v>
      </c>
      <c r="BU358" s="24">
        <v>46008.405958668984</v>
      </c>
      <c r="BV358">
        <v>2</v>
      </c>
      <c r="BW358" s="24"/>
      <c r="BX358" s="24"/>
      <c r="BY358" s="24"/>
      <c r="BZ358" s="24"/>
      <c r="CB358" s="24"/>
      <c r="CC358" s="24"/>
      <c r="CE358" s="24">
        <v>46008.405958668984</v>
      </c>
      <c r="CF358" s="24">
        <v>46008.405958668984</v>
      </c>
      <c r="CG358">
        <v>1</v>
      </c>
      <c r="CH358" s="24"/>
      <c r="CI358" s="24"/>
      <c r="CJ358" s="24"/>
      <c r="CK358" s="24"/>
      <c r="DE358" s="24"/>
      <c r="DF358" s="24"/>
      <c r="DG358" s="24"/>
      <c r="DH358" s="24"/>
      <c r="DJ358" t="s">
        <v>149</v>
      </c>
      <c r="DK358" t="s">
        <v>149</v>
      </c>
      <c r="DL358">
        <v>56.208081828703705</v>
      </c>
      <c r="DM358">
        <v>78</v>
      </c>
      <c r="DN358">
        <v>120</v>
      </c>
      <c r="DQ358" t="s">
        <v>1000</v>
      </c>
      <c r="DR358" t="s">
        <v>149</v>
      </c>
      <c r="DS358" s="24">
        <v>46160.384426226854</v>
      </c>
    </row>
    <row r="359" spans="1:123" x14ac:dyDescent="0.3">
      <c r="A359" t="s">
        <v>609</v>
      </c>
      <c r="D359" t="s">
        <v>225</v>
      </c>
      <c r="E359" s="24">
        <v>45888.669548611113</v>
      </c>
      <c r="G359" t="s">
        <v>90</v>
      </c>
      <c r="H359" t="s">
        <v>155</v>
      </c>
      <c r="I359" s="24"/>
      <c r="J359" s="24"/>
      <c r="K359" s="24"/>
      <c r="L359" s="24"/>
      <c r="N359" s="24"/>
      <c r="O359" s="24"/>
      <c r="P359" s="24"/>
      <c r="Q359" s="24"/>
      <c r="V359" s="24"/>
      <c r="W359" s="24"/>
      <c r="X359" s="24"/>
      <c r="Y359" s="24"/>
      <c r="AA359" s="24">
        <v>45889.367731261576</v>
      </c>
      <c r="AB359" s="24">
        <v>45889.367731261576</v>
      </c>
      <c r="AC359" s="24">
        <v>45890.642875474536</v>
      </c>
      <c r="AD359" s="24">
        <v>45890.642875474536</v>
      </c>
      <c r="AE359">
        <v>1</v>
      </c>
      <c r="AF359" s="24">
        <v>45890.642875474536</v>
      </c>
      <c r="AG359" s="24">
        <v>45890.642875474536</v>
      </c>
      <c r="AH359" s="24">
        <v>45894.40367349537</v>
      </c>
      <c r="AI359" s="24">
        <v>45894.40367349537</v>
      </c>
      <c r="AJ359">
        <v>1</v>
      </c>
      <c r="AK359" s="24">
        <v>45894.40367349537</v>
      </c>
      <c r="AL359" s="24">
        <v>45894.40367349537</v>
      </c>
      <c r="AM359" s="24">
        <v>45894.4038300463</v>
      </c>
      <c r="AN359" s="24">
        <v>45894.4038300463</v>
      </c>
      <c r="AO359">
        <v>1</v>
      </c>
      <c r="AP359" s="24"/>
      <c r="AQ359" s="24"/>
      <c r="AR359" s="24">
        <v>45888.67005980324</v>
      </c>
      <c r="AS359" s="24">
        <v>45888.67005980324</v>
      </c>
      <c r="AX359" s="24"/>
      <c r="AY359" s="24"/>
      <c r="AZ359" s="24"/>
      <c r="BA359" s="24"/>
      <c r="BC359" s="24">
        <v>45894.408504722225</v>
      </c>
      <c r="BD359" s="24">
        <v>45894.408504722225</v>
      </c>
      <c r="BE359" s="24">
        <v>45901.615534062497</v>
      </c>
      <c r="BF359" s="24">
        <v>45901.615534062497</v>
      </c>
      <c r="BG359">
        <v>1</v>
      </c>
      <c r="BH359" s="24">
        <v>45888.67005980324</v>
      </c>
      <c r="BI359" s="24">
        <v>45888.67005980324</v>
      </c>
      <c r="BJ359" s="24">
        <v>45889.367731261576</v>
      </c>
      <c r="BK359" s="24">
        <v>45889.367731261576</v>
      </c>
      <c r="BL359">
        <v>1</v>
      </c>
      <c r="BM359" s="24"/>
      <c r="BN359" s="24"/>
      <c r="BO359" s="24"/>
      <c r="BP359" s="24"/>
      <c r="BR359" s="24">
        <v>45894.4038300463</v>
      </c>
      <c r="BS359" s="24">
        <v>45894.4038300463</v>
      </c>
      <c r="BT359" s="24">
        <v>45894.408504722225</v>
      </c>
      <c r="BU359" s="24">
        <v>45894.408504722225</v>
      </c>
      <c r="BV359">
        <v>1</v>
      </c>
      <c r="BW359" s="24"/>
      <c r="BX359" s="24"/>
      <c r="BY359" s="24"/>
      <c r="BZ359" s="24"/>
      <c r="CB359" s="24"/>
      <c r="CC359" s="24"/>
      <c r="CE359" s="24">
        <v>45901.615534062497</v>
      </c>
      <c r="CF359" s="24">
        <v>45901.615534062497</v>
      </c>
      <c r="CG359">
        <v>1</v>
      </c>
      <c r="CH359" s="24"/>
      <c r="CI359" s="24"/>
      <c r="CJ359" s="24"/>
      <c r="CK359" s="24"/>
      <c r="DE359" s="24"/>
      <c r="DF359" s="24"/>
      <c r="DG359" s="24"/>
      <c r="DH359" s="24"/>
      <c r="DJ359" t="s">
        <v>149</v>
      </c>
      <c r="DK359" t="s">
        <v>149</v>
      </c>
      <c r="DM359">
        <v>13</v>
      </c>
      <c r="DN359">
        <v>13</v>
      </c>
      <c r="DQ359" t="s">
        <v>1000</v>
      </c>
      <c r="DR359" t="s">
        <v>149</v>
      </c>
      <c r="DS359" s="24">
        <v>46160.384426226854</v>
      </c>
    </row>
    <row r="360" spans="1:123" x14ac:dyDescent="0.3">
      <c r="A360" t="s">
        <v>610</v>
      </c>
      <c r="D360" t="s">
        <v>225</v>
      </c>
      <c r="E360" s="24">
        <v>45887.497106481482</v>
      </c>
      <c r="G360" t="s">
        <v>90</v>
      </c>
      <c r="H360" t="s">
        <v>155</v>
      </c>
      <c r="I360" s="24"/>
      <c r="J360" s="24"/>
      <c r="K360" s="24"/>
      <c r="L360" s="24"/>
      <c r="N360" s="24"/>
      <c r="O360" s="24"/>
      <c r="P360" s="24"/>
      <c r="Q360" s="24"/>
      <c r="V360" s="24"/>
      <c r="W360" s="24"/>
      <c r="X360" s="24"/>
      <c r="Y360" s="24"/>
      <c r="AA360" s="24">
        <v>45937.632626354163</v>
      </c>
      <c r="AB360" s="24">
        <v>45937.632626354163</v>
      </c>
      <c r="AC360" s="24">
        <v>45940.652264085649</v>
      </c>
      <c r="AD360" s="24">
        <v>45940.652264085649</v>
      </c>
      <c r="AE360">
        <v>1</v>
      </c>
      <c r="AF360" s="24">
        <v>45940.652264085649</v>
      </c>
      <c r="AG360" s="24">
        <v>45940.652264085649</v>
      </c>
      <c r="AH360" s="24">
        <v>45943.380676203706</v>
      </c>
      <c r="AI360" s="24">
        <v>45943.380676203706</v>
      </c>
      <c r="AJ360">
        <v>1</v>
      </c>
      <c r="AK360" s="24">
        <v>45943.380676203706</v>
      </c>
      <c r="AL360" s="24">
        <v>45943.380676203706</v>
      </c>
      <c r="AM360" s="24">
        <v>45943.444860312498</v>
      </c>
      <c r="AN360" s="24">
        <v>45943.444860312498</v>
      </c>
      <c r="AO360">
        <v>1</v>
      </c>
      <c r="AP360" s="24"/>
      <c r="AQ360" s="24"/>
      <c r="AR360" s="24">
        <v>45930.481580358799</v>
      </c>
      <c r="AS360" s="24">
        <v>45930.481580358799</v>
      </c>
      <c r="AX360" s="24"/>
      <c r="AY360" s="24"/>
      <c r="AZ360" s="24"/>
      <c r="BA360" s="24"/>
      <c r="BC360" s="24">
        <v>45943.445207303237</v>
      </c>
      <c r="BD360" s="24">
        <v>45943.445207303237</v>
      </c>
      <c r="BE360" s="24">
        <v>45947.62868209491</v>
      </c>
      <c r="BF360" s="24">
        <v>45947.62868209491</v>
      </c>
      <c r="BG360">
        <v>1</v>
      </c>
      <c r="BH360" s="24">
        <v>45930.481580358799</v>
      </c>
      <c r="BI360" s="24">
        <v>45930.481580358799</v>
      </c>
      <c r="BJ360" s="24">
        <v>45937.632626354163</v>
      </c>
      <c r="BK360" s="24">
        <v>45937.632626354163</v>
      </c>
      <c r="BL360">
        <v>1</v>
      </c>
      <c r="BM360" s="24"/>
      <c r="BN360" s="24"/>
      <c r="BO360" s="24"/>
      <c r="BP360" s="24"/>
      <c r="BR360" s="24">
        <v>45943.444860312498</v>
      </c>
      <c r="BS360" s="24">
        <v>45943.444860312498</v>
      </c>
      <c r="BT360" s="24">
        <v>45943.445207303237</v>
      </c>
      <c r="BU360" s="24">
        <v>45943.445207303237</v>
      </c>
      <c r="BV360">
        <v>1</v>
      </c>
      <c r="BW360" s="24"/>
      <c r="BX360" s="24"/>
      <c r="BY360" s="24"/>
      <c r="BZ360" s="24"/>
      <c r="CB360" s="24"/>
      <c r="CC360" s="24"/>
      <c r="CE360" s="24">
        <v>45947.62868209491</v>
      </c>
      <c r="CF360" s="24">
        <v>45947.62868209491</v>
      </c>
      <c r="CG360">
        <v>1</v>
      </c>
      <c r="CH360" s="24"/>
      <c r="CI360" s="24"/>
      <c r="CJ360" s="24"/>
      <c r="CK360" s="24"/>
      <c r="DE360" s="24"/>
      <c r="DF360" s="24"/>
      <c r="DG360" s="24"/>
      <c r="DH360" s="24"/>
      <c r="DJ360" t="s">
        <v>149</v>
      </c>
      <c r="DK360" t="s">
        <v>149</v>
      </c>
      <c r="DM360">
        <v>18</v>
      </c>
      <c r="DN360">
        <v>10</v>
      </c>
      <c r="DQ360" t="s">
        <v>1000</v>
      </c>
      <c r="DR360" t="s">
        <v>149</v>
      </c>
      <c r="DS360" s="24">
        <v>46160.384426226854</v>
      </c>
    </row>
    <row r="361" spans="1:123" x14ac:dyDescent="0.3">
      <c r="A361" t="s">
        <v>611</v>
      </c>
      <c r="D361" t="s">
        <v>225</v>
      </c>
      <c r="E361" s="24">
        <v>45887.496331018519</v>
      </c>
      <c r="G361" t="s">
        <v>90</v>
      </c>
      <c r="H361" t="s">
        <v>155</v>
      </c>
      <c r="I361" s="24"/>
      <c r="J361" s="24"/>
      <c r="K361" s="24"/>
      <c r="L361" s="24"/>
      <c r="N361" s="24"/>
      <c r="O361" s="24"/>
      <c r="P361" s="24"/>
      <c r="Q361" s="24"/>
      <c r="V361" s="24"/>
      <c r="W361" s="24"/>
      <c r="X361" s="24"/>
      <c r="Y361" s="24"/>
      <c r="AA361" s="24">
        <v>45898.393973923608</v>
      </c>
      <c r="AB361" s="24">
        <v>45898.393973923608</v>
      </c>
      <c r="AC361" s="24">
        <v>45901.390761273149</v>
      </c>
      <c r="AD361" s="24">
        <v>45901.390761273149</v>
      </c>
      <c r="AE361">
        <v>1</v>
      </c>
      <c r="AF361" s="24">
        <v>45901.390761273149</v>
      </c>
      <c r="AG361" s="24">
        <v>45901.390761273149</v>
      </c>
      <c r="AH361" s="24">
        <v>45901.568550752316</v>
      </c>
      <c r="AI361" s="24">
        <v>45901.568550752316</v>
      </c>
      <c r="AJ361">
        <v>1</v>
      </c>
      <c r="AK361" s="24">
        <v>45901.568550752316</v>
      </c>
      <c r="AL361" s="24">
        <v>45901.568550752316</v>
      </c>
      <c r="AM361" s="24">
        <v>45901.569710833333</v>
      </c>
      <c r="AN361" s="24">
        <v>45901.569710833333</v>
      </c>
      <c r="AO361">
        <v>1</v>
      </c>
      <c r="AP361" s="24"/>
      <c r="AQ361" s="24"/>
      <c r="AR361" s="24">
        <v>45898.321457442129</v>
      </c>
      <c r="AS361" s="24">
        <v>45898.321457442129</v>
      </c>
      <c r="AX361" s="24"/>
      <c r="AY361" s="24"/>
      <c r="AZ361" s="24"/>
      <c r="BA361" s="24"/>
      <c r="BC361" s="24">
        <v>45901.569793344905</v>
      </c>
      <c r="BD361" s="24">
        <v>45901.569793344905</v>
      </c>
      <c r="BE361" s="24">
        <v>45901.615533402779</v>
      </c>
      <c r="BF361" s="24">
        <v>45901.615533402779</v>
      </c>
      <c r="BG361">
        <v>1</v>
      </c>
      <c r="BH361" s="24">
        <v>45898.321457442129</v>
      </c>
      <c r="BI361" s="24">
        <v>45898.321457442129</v>
      </c>
      <c r="BJ361" s="24">
        <v>45898.393973923608</v>
      </c>
      <c r="BK361" s="24">
        <v>45898.393973923608</v>
      </c>
      <c r="BL361">
        <v>1</v>
      </c>
      <c r="BM361" s="24"/>
      <c r="BN361" s="24"/>
      <c r="BO361" s="24"/>
      <c r="BP361" s="24"/>
      <c r="BR361" s="24">
        <v>45901.569710833333</v>
      </c>
      <c r="BS361" s="24">
        <v>45901.569710833333</v>
      </c>
      <c r="BT361" s="24">
        <v>45901.569793344905</v>
      </c>
      <c r="BU361" s="24">
        <v>45901.569793344905</v>
      </c>
      <c r="BV361">
        <v>1</v>
      </c>
      <c r="BW361" s="24"/>
      <c r="BX361" s="24"/>
      <c r="BY361" s="24"/>
      <c r="BZ361" s="24"/>
      <c r="CB361" s="24"/>
      <c r="CC361" s="24"/>
      <c r="CE361" s="24">
        <v>45901.615533402779</v>
      </c>
      <c r="CF361" s="24">
        <v>45901.615533402779</v>
      </c>
      <c r="CG361">
        <v>1</v>
      </c>
      <c r="CH361" s="24"/>
      <c r="CI361" s="24"/>
      <c r="CJ361" s="24"/>
      <c r="CK361" s="24"/>
      <c r="DE361" s="24"/>
      <c r="DF361" s="24"/>
      <c r="DG361" s="24"/>
      <c r="DH361" s="24"/>
      <c r="DJ361" t="s">
        <v>149</v>
      </c>
      <c r="DK361" t="s">
        <v>149</v>
      </c>
      <c r="DM361">
        <v>4</v>
      </c>
      <c r="DN361">
        <v>4</v>
      </c>
      <c r="DQ361" t="s">
        <v>1000</v>
      </c>
      <c r="DR361" t="s">
        <v>149</v>
      </c>
      <c r="DS361" s="24">
        <v>46160.384426226854</v>
      </c>
    </row>
    <row r="362" spans="1:123" x14ac:dyDescent="0.3">
      <c r="A362" t="s">
        <v>612</v>
      </c>
      <c r="D362" t="s">
        <v>225</v>
      </c>
      <c r="E362" s="24">
        <v>45887.495625000003</v>
      </c>
      <c r="G362" t="s">
        <v>90</v>
      </c>
      <c r="H362" t="s">
        <v>155</v>
      </c>
      <c r="I362" s="24"/>
      <c r="J362" s="24"/>
      <c r="K362" s="24"/>
      <c r="L362" s="24"/>
      <c r="N362" s="24"/>
      <c r="O362" s="24"/>
      <c r="P362" s="24"/>
      <c r="Q362" s="24"/>
      <c r="V362" s="24"/>
      <c r="W362" s="24"/>
      <c r="X362" s="24"/>
      <c r="Y362" s="24"/>
      <c r="AA362" s="24">
        <v>45917.711789386572</v>
      </c>
      <c r="AB362" s="24">
        <v>45917.711789386572</v>
      </c>
      <c r="AC362" s="24">
        <v>45917.840750069445</v>
      </c>
      <c r="AD362" s="24">
        <v>45917.840750069445</v>
      </c>
      <c r="AE362">
        <v>1</v>
      </c>
      <c r="AF362" s="24">
        <v>45917.840750069445</v>
      </c>
      <c r="AG362" s="24">
        <v>45917.840750069445</v>
      </c>
      <c r="AH362" s="24">
        <v>45924.541883136575</v>
      </c>
      <c r="AI362" s="24">
        <v>45924.541883136575</v>
      </c>
      <c r="AJ362">
        <v>1</v>
      </c>
      <c r="AK362" s="24">
        <v>45924.541883136575</v>
      </c>
      <c r="AL362" s="24">
        <v>45924.541883136575</v>
      </c>
      <c r="AM362" s="24">
        <v>45926.469281712962</v>
      </c>
      <c r="AN362" s="24">
        <v>45926.469281712962</v>
      </c>
      <c r="AO362">
        <v>1</v>
      </c>
      <c r="AP362" s="24"/>
      <c r="AQ362" s="24"/>
      <c r="AR362" s="24">
        <v>45917.711735439814</v>
      </c>
      <c r="AS362" s="24">
        <v>45917.711735439814</v>
      </c>
      <c r="AX362" s="24"/>
      <c r="AY362" s="24"/>
      <c r="AZ362" s="24"/>
      <c r="BA362" s="24"/>
      <c r="BC362" s="24">
        <v>45926.469506435184</v>
      </c>
      <c r="BD362" s="24">
        <v>45926.469506435184</v>
      </c>
      <c r="BE362" s="24">
        <v>45931.65622380787</v>
      </c>
      <c r="BF362" s="24">
        <v>45931.65622380787</v>
      </c>
      <c r="BG362">
        <v>1</v>
      </c>
      <c r="BH362" s="24">
        <v>45917.711735439814</v>
      </c>
      <c r="BI362" s="24">
        <v>45917.711735439814</v>
      </c>
      <c r="BJ362" s="24">
        <v>45917.711789386572</v>
      </c>
      <c r="BK362" s="24">
        <v>45917.711789386572</v>
      </c>
      <c r="BL362">
        <v>1</v>
      </c>
      <c r="BM362" s="24"/>
      <c r="BN362" s="24"/>
      <c r="BO362" s="24"/>
      <c r="BP362" s="24"/>
      <c r="BR362" s="24">
        <v>45926.469281712962</v>
      </c>
      <c r="BS362" s="24">
        <v>45926.469281712962</v>
      </c>
      <c r="BT362" s="24">
        <v>45926.469506435184</v>
      </c>
      <c r="BU362" s="24">
        <v>45926.469506435184</v>
      </c>
      <c r="BV362">
        <v>1</v>
      </c>
      <c r="BW362" s="24"/>
      <c r="BX362" s="24"/>
      <c r="BY362" s="24"/>
      <c r="BZ362" s="24"/>
      <c r="CB362" s="24"/>
      <c r="CC362" s="24"/>
      <c r="CE362" s="24">
        <v>45931.65622380787</v>
      </c>
      <c r="CF362" s="24">
        <v>45931.65622380787</v>
      </c>
      <c r="CG362">
        <v>1</v>
      </c>
      <c r="CH362" s="24"/>
      <c r="CI362" s="24"/>
      <c r="CJ362" s="24"/>
      <c r="CK362" s="24"/>
      <c r="DE362" s="24"/>
      <c r="DF362" s="24"/>
      <c r="DG362" s="24"/>
      <c r="DH362" s="24"/>
      <c r="DJ362" t="s">
        <v>149</v>
      </c>
      <c r="DK362" t="s">
        <v>149</v>
      </c>
      <c r="DM362">
        <v>14</v>
      </c>
      <c r="DN362">
        <v>14</v>
      </c>
      <c r="DQ362" t="s">
        <v>1000</v>
      </c>
      <c r="DR362" t="s">
        <v>149</v>
      </c>
      <c r="DS362" s="24">
        <v>46160.384426226854</v>
      </c>
    </row>
    <row r="363" spans="1:123" x14ac:dyDescent="0.3">
      <c r="A363" t="s">
        <v>613</v>
      </c>
      <c r="D363" t="s">
        <v>225</v>
      </c>
      <c r="E363" s="24">
        <v>45887.494664351849</v>
      </c>
      <c r="G363" t="s">
        <v>90</v>
      </c>
      <c r="H363" t="s">
        <v>155</v>
      </c>
      <c r="I363" s="24"/>
      <c r="J363" s="24"/>
      <c r="K363" s="24"/>
      <c r="L363" s="24"/>
      <c r="N363" s="24"/>
      <c r="O363" s="24"/>
      <c r="P363" s="24"/>
      <c r="Q363" s="24"/>
      <c r="V363" s="24"/>
      <c r="W363" s="24"/>
      <c r="X363" s="24"/>
      <c r="Y363" s="24"/>
      <c r="AA363" s="24">
        <v>45911.689444664349</v>
      </c>
      <c r="AB363" s="24">
        <v>45911.689444664349</v>
      </c>
      <c r="AC363" s="24">
        <v>45911.756143935185</v>
      </c>
      <c r="AD363" s="24">
        <v>45911.756143935185</v>
      </c>
      <c r="AE363">
        <v>1</v>
      </c>
      <c r="AF363" s="24">
        <v>45911.756143935185</v>
      </c>
      <c r="AG363" s="24">
        <v>45911.756143935185</v>
      </c>
      <c r="AH363" s="24">
        <v>45912.433122627313</v>
      </c>
      <c r="AI363" s="24">
        <v>45912.433122627313</v>
      </c>
      <c r="AJ363">
        <v>1</v>
      </c>
      <c r="AK363" s="24">
        <v>45912.433122627313</v>
      </c>
      <c r="AL363" s="24">
        <v>45912.433122627313</v>
      </c>
      <c r="AM363" s="24">
        <v>45912.439660150463</v>
      </c>
      <c r="AN363" s="24">
        <v>45912.439660150463</v>
      </c>
      <c r="AO363">
        <v>1</v>
      </c>
      <c r="AP363" s="24"/>
      <c r="AQ363" s="24"/>
      <c r="AR363" s="24">
        <v>45911.689398449074</v>
      </c>
      <c r="AS363" s="24">
        <v>45911.689398449074</v>
      </c>
      <c r="AX363" s="24"/>
      <c r="AY363" s="24"/>
      <c r="AZ363" s="24"/>
      <c r="BA363" s="24"/>
      <c r="BC363" s="24">
        <v>45912.439827465278</v>
      </c>
      <c r="BD363" s="24">
        <v>45912.439827465278</v>
      </c>
      <c r="BE363" s="24">
        <v>45915.638186145836</v>
      </c>
      <c r="BF363" s="24">
        <v>45915.638186145836</v>
      </c>
      <c r="BG363">
        <v>1</v>
      </c>
      <c r="BH363" s="24">
        <v>45911.689398449074</v>
      </c>
      <c r="BI363" s="24">
        <v>45911.689398449074</v>
      </c>
      <c r="BJ363" s="24">
        <v>45911.689444664349</v>
      </c>
      <c r="BK363" s="24">
        <v>45911.689444664349</v>
      </c>
      <c r="BL363">
        <v>1</v>
      </c>
      <c r="BM363" s="24"/>
      <c r="BN363" s="24"/>
      <c r="BO363" s="24"/>
      <c r="BP363" s="24"/>
      <c r="BR363" s="24">
        <v>45912.439660150463</v>
      </c>
      <c r="BS363" s="24">
        <v>45912.439660150463</v>
      </c>
      <c r="BT363" s="24">
        <v>45912.439827465278</v>
      </c>
      <c r="BU363" s="24">
        <v>45912.439827465278</v>
      </c>
      <c r="BV363">
        <v>1</v>
      </c>
      <c r="BW363" s="24"/>
      <c r="BX363" s="24"/>
      <c r="BY363" s="24"/>
      <c r="BZ363" s="24"/>
      <c r="CB363" s="24"/>
      <c r="CC363" s="24"/>
      <c r="CE363" s="24">
        <v>45915.638186145836</v>
      </c>
      <c r="CF363" s="24">
        <v>45915.638186145836</v>
      </c>
      <c r="CG363">
        <v>1</v>
      </c>
      <c r="CH363" s="24"/>
      <c r="CI363" s="24"/>
      <c r="CJ363" s="24"/>
      <c r="CK363" s="24"/>
      <c r="DE363" s="24"/>
      <c r="DF363" s="24"/>
      <c r="DG363" s="24"/>
      <c r="DH363" s="24"/>
      <c r="DJ363" t="s">
        <v>149</v>
      </c>
      <c r="DK363" t="s">
        <v>149</v>
      </c>
      <c r="DM363">
        <v>4</v>
      </c>
      <c r="DN363">
        <v>4</v>
      </c>
      <c r="DQ363" t="s">
        <v>1000</v>
      </c>
      <c r="DR363" t="s">
        <v>149</v>
      </c>
      <c r="DS363" s="24">
        <v>46160.384426226854</v>
      </c>
    </row>
    <row r="364" spans="1:123" x14ac:dyDescent="0.3">
      <c r="A364" t="s">
        <v>614</v>
      </c>
      <c r="D364" t="s">
        <v>223</v>
      </c>
      <c r="E364" s="24">
        <v>45887.46193287037</v>
      </c>
      <c r="G364" t="s">
        <v>90</v>
      </c>
      <c r="H364" t="s">
        <v>155</v>
      </c>
      <c r="I364" s="24"/>
      <c r="J364" s="24"/>
      <c r="K364" s="24"/>
      <c r="L364" s="24"/>
      <c r="N364" s="24"/>
      <c r="O364" s="24"/>
      <c r="P364" s="24"/>
      <c r="Q364" s="24"/>
      <c r="V364" s="24"/>
      <c r="W364" s="24"/>
      <c r="X364" s="24"/>
      <c r="Y364" s="24"/>
      <c r="AA364" s="24">
        <v>45887.472496562499</v>
      </c>
      <c r="AB364" s="24">
        <v>45887.472496562499</v>
      </c>
      <c r="AC364" s="24">
        <v>45888.477227905096</v>
      </c>
      <c r="AD364" s="24">
        <v>45888.477227905096</v>
      </c>
      <c r="AE364">
        <v>1</v>
      </c>
      <c r="AF364" s="24"/>
      <c r="AG364" s="24"/>
      <c r="AH364" s="24"/>
      <c r="AI364" s="24"/>
      <c r="AK364" s="24"/>
      <c r="AL364" s="24"/>
      <c r="AM364" s="24"/>
      <c r="AN364" s="24"/>
      <c r="AP364" s="24"/>
      <c r="AQ364" s="24"/>
      <c r="AR364" s="24">
        <v>45887.472436215277</v>
      </c>
      <c r="AS364" s="24">
        <v>45887.472436215277</v>
      </c>
      <c r="AX364" s="24"/>
      <c r="AY364" s="24"/>
      <c r="AZ364" s="24"/>
      <c r="BA364" s="24"/>
      <c r="BC364" s="24"/>
      <c r="BD364" s="24"/>
      <c r="BE364" s="24"/>
      <c r="BF364" s="24"/>
      <c r="BH364" s="24">
        <v>45887.472436215277</v>
      </c>
      <c r="BI364" s="24">
        <v>45887.472436215277</v>
      </c>
      <c r="BJ364" s="24">
        <v>45887.472496562499</v>
      </c>
      <c r="BK364" s="24">
        <v>45887.472496562499</v>
      </c>
      <c r="BL364">
        <v>1</v>
      </c>
      <c r="BM364" s="24"/>
      <c r="BN364" s="24"/>
      <c r="BO364" s="24"/>
      <c r="BP364" s="24"/>
      <c r="BR364" s="24"/>
      <c r="BS364" s="24"/>
      <c r="BT364" s="24"/>
      <c r="BU364" s="24"/>
      <c r="BW364" s="24"/>
      <c r="BX364" s="24"/>
      <c r="BY364" s="24"/>
      <c r="BZ364" s="24"/>
      <c r="CB364" s="24"/>
      <c r="CC364" s="24"/>
      <c r="CE364" s="24">
        <v>45888.477227905096</v>
      </c>
      <c r="CF364" s="24">
        <v>45888.477227905096</v>
      </c>
      <c r="CG364">
        <v>1</v>
      </c>
      <c r="CH364" s="24"/>
      <c r="CI364" s="24"/>
      <c r="CJ364" s="24"/>
      <c r="CK364" s="24"/>
      <c r="DE364" s="24"/>
      <c r="DF364" s="24"/>
      <c r="DG364" s="24"/>
      <c r="DH364" s="24"/>
      <c r="DJ364" t="s">
        <v>149</v>
      </c>
      <c r="DK364" t="s">
        <v>149</v>
      </c>
      <c r="DM364">
        <v>2</v>
      </c>
      <c r="DN364">
        <v>2</v>
      </c>
      <c r="DQ364" t="s">
        <v>1000</v>
      </c>
      <c r="DR364" t="s">
        <v>149</v>
      </c>
      <c r="DS364" s="24">
        <v>46160.384426226854</v>
      </c>
    </row>
    <row r="365" spans="1:123" x14ac:dyDescent="0.3">
      <c r="A365" t="s">
        <v>615</v>
      </c>
      <c r="D365" t="s">
        <v>223</v>
      </c>
      <c r="E365" s="24">
        <v>45887.431990740741</v>
      </c>
      <c r="G365" t="s">
        <v>90</v>
      </c>
      <c r="H365" t="s">
        <v>155</v>
      </c>
      <c r="I365" s="24"/>
      <c r="J365" s="24"/>
      <c r="K365" s="24"/>
      <c r="L365" s="24"/>
      <c r="N365" s="24"/>
      <c r="O365" s="24"/>
      <c r="P365" s="24"/>
      <c r="Q365" s="24"/>
      <c r="V365" s="24"/>
      <c r="W365" s="24"/>
      <c r="X365" s="24"/>
      <c r="Y365" s="24"/>
      <c r="AA365" s="24">
        <v>45889.367227314811</v>
      </c>
      <c r="AB365" s="24">
        <v>45889.367227314811</v>
      </c>
      <c r="AC365" s="24">
        <v>45902.39887488426</v>
      </c>
      <c r="AD365" s="24">
        <v>45902.39887488426</v>
      </c>
      <c r="AE365">
        <v>1</v>
      </c>
      <c r="AF365" s="24"/>
      <c r="AG365" s="24"/>
      <c r="AH365" s="24"/>
      <c r="AI365" s="24"/>
      <c r="AK365" s="24"/>
      <c r="AL365" s="24"/>
      <c r="AM365" s="24"/>
      <c r="AN365" s="24"/>
      <c r="AP365" s="24"/>
      <c r="AQ365" s="24"/>
      <c r="AR365" s="24">
        <v>45889.366302962961</v>
      </c>
      <c r="AS365" s="24">
        <v>45889.366302962961</v>
      </c>
      <c r="AX365" s="24"/>
      <c r="AY365" s="24"/>
      <c r="AZ365" s="24"/>
      <c r="BA365" s="24"/>
      <c r="BC365" s="24"/>
      <c r="BD365" s="24"/>
      <c r="BE365" s="24"/>
      <c r="BF365" s="24"/>
      <c r="BH365" s="24">
        <v>45889.366302962961</v>
      </c>
      <c r="BI365" s="24">
        <v>45889.366302962961</v>
      </c>
      <c r="BJ365" s="24">
        <v>45889.367227314811</v>
      </c>
      <c r="BK365" s="24">
        <v>45889.367227314811</v>
      </c>
      <c r="BL365">
        <v>1</v>
      </c>
      <c r="BM365" s="24"/>
      <c r="BN365" s="24"/>
      <c r="BO365" s="24"/>
      <c r="BP365" s="24"/>
      <c r="BR365" s="24"/>
      <c r="BS365" s="24"/>
      <c r="BT365" s="24"/>
      <c r="BU365" s="24"/>
      <c r="BW365" s="24"/>
      <c r="BX365" s="24"/>
      <c r="BY365" s="24"/>
      <c r="BZ365" s="24"/>
      <c r="CB365" s="24"/>
      <c r="CC365" s="24"/>
      <c r="CE365" s="24">
        <v>45902.39887488426</v>
      </c>
      <c r="CF365" s="24">
        <v>45902.39887488426</v>
      </c>
      <c r="CG365">
        <v>1</v>
      </c>
      <c r="CH365" s="24"/>
      <c r="CI365" s="24"/>
      <c r="CJ365" s="24"/>
      <c r="CK365" s="24"/>
      <c r="DE365" s="24"/>
      <c r="DF365" s="24"/>
      <c r="DG365" s="24"/>
      <c r="DH365" s="24"/>
      <c r="DJ365" t="s">
        <v>149</v>
      </c>
      <c r="DK365" t="s">
        <v>149</v>
      </c>
      <c r="DM365">
        <v>14</v>
      </c>
      <c r="DN365">
        <v>14</v>
      </c>
      <c r="DQ365" t="s">
        <v>1000</v>
      </c>
      <c r="DR365" t="s">
        <v>149</v>
      </c>
      <c r="DS365" s="24">
        <v>46160.384426226854</v>
      </c>
    </row>
    <row r="366" spans="1:123" x14ac:dyDescent="0.3">
      <c r="A366" t="s">
        <v>616</v>
      </c>
      <c r="D366" t="s">
        <v>223</v>
      </c>
      <c r="E366" s="24">
        <v>45887.427743055552</v>
      </c>
      <c r="G366" t="s">
        <v>90</v>
      </c>
      <c r="H366" t="s">
        <v>155</v>
      </c>
      <c r="I366" s="24"/>
      <c r="J366" s="24"/>
      <c r="K366" s="24"/>
      <c r="L366" s="24"/>
      <c r="N366" s="24">
        <v>45889.367134988424</v>
      </c>
      <c r="O366" s="24">
        <v>45889.367134988424</v>
      </c>
      <c r="P366" s="24">
        <v>45891.357547384257</v>
      </c>
      <c r="Q366" s="24">
        <v>45891.357547384257</v>
      </c>
      <c r="R366">
        <v>1</v>
      </c>
      <c r="V366" s="24"/>
      <c r="W366" s="24"/>
      <c r="X366" s="24"/>
      <c r="Y366" s="24"/>
      <c r="AA366" s="24">
        <v>45908.413244386575</v>
      </c>
      <c r="AB366" s="24">
        <v>45889.366466805557</v>
      </c>
      <c r="AC366" s="24">
        <v>45889.367134988424</v>
      </c>
      <c r="AD366" s="24">
        <v>45908.413384293985</v>
      </c>
      <c r="AE366">
        <v>3</v>
      </c>
      <c r="AF366" s="24">
        <v>45908.413384293985</v>
      </c>
      <c r="AG366" s="24">
        <v>45908.412354525462</v>
      </c>
      <c r="AH366" s="24">
        <v>45908.41241744213</v>
      </c>
      <c r="AI366" s="24">
        <v>45908.41342866898</v>
      </c>
      <c r="AJ366">
        <v>2</v>
      </c>
      <c r="AK366" s="24">
        <v>45908.41241744213</v>
      </c>
      <c r="AL366" s="24">
        <v>45908.41241744213</v>
      </c>
      <c r="AM366" s="24">
        <v>45908.412970752317</v>
      </c>
      <c r="AN366" s="24">
        <v>45908.412970752317</v>
      </c>
      <c r="AO366">
        <v>1</v>
      </c>
      <c r="AP366" s="24">
        <v>45908.412970752317</v>
      </c>
      <c r="AQ366" s="24">
        <v>45908.412970752317</v>
      </c>
      <c r="AR366" s="24">
        <v>45889.366029236109</v>
      </c>
      <c r="AS366" s="24">
        <v>45908.413118240744</v>
      </c>
      <c r="AT366">
        <v>1</v>
      </c>
      <c r="AX366" s="24"/>
      <c r="AY366" s="24"/>
      <c r="AZ366" s="24"/>
      <c r="BA366" s="24"/>
      <c r="BC366" s="24"/>
      <c r="BD366" s="24"/>
      <c r="BE366" s="24"/>
      <c r="BF366" s="24"/>
      <c r="BH366" s="24">
        <v>45908.413118240744</v>
      </c>
      <c r="BI366" s="24">
        <v>45889.366029236109</v>
      </c>
      <c r="BJ366" s="24">
        <v>45889.366466805557</v>
      </c>
      <c r="BK366" s="24">
        <v>45908.413244386575</v>
      </c>
      <c r="BL366">
        <v>2</v>
      </c>
      <c r="BM366" s="24"/>
      <c r="BN366" s="24"/>
      <c r="BO366" s="24"/>
      <c r="BP366" s="24"/>
      <c r="BR366" s="24">
        <v>45908.41342866898</v>
      </c>
      <c r="BS366" s="24">
        <v>45908.41342866898</v>
      </c>
      <c r="BT366" s="24">
        <v>45908.413469224535</v>
      </c>
      <c r="BU366" s="24">
        <v>45908.413469224535</v>
      </c>
      <c r="BV366">
        <v>1</v>
      </c>
      <c r="BW366" s="24"/>
      <c r="BX366" s="24"/>
      <c r="BY366" s="24"/>
      <c r="BZ366" s="24"/>
      <c r="CB366" s="24"/>
      <c r="CC366" s="24"/>
      <c r="CE366" s="24">
        <v>45908.413469224535</v>
      </c>
      <c r="CF366" s="24">
        <v>45908.413469224535</v>
      </c>
      <c r="CG366">
        <v>1</v>
      </c>
      <c r="CH366" s="24"/>
      <c r="CI366" s="24"/>
      <c r="CJ366" s="24"/>
      <c r="CK366" s="24"/>
      <c r="DE366" s="24"/>
      <c r="DF366" s="24"/>
      <c r="DG366" s="24"/>
      <c r="DH366" s="24"/>
      <c r="DJ366" t="s">
        <v>149</v>
      </c>
      <c r="DK366" t="s">
        <v>149</v>
      </c>
      <c r="DL366">
        <v>1.9904123842592591</v>
      </c>
      <c r="DM366">
        <v>20</v>
      </c>
      <c r="DN366">
        <v>20</v>
      </c>
      <c r="DQ366" t="s">
        <v>1000</v>
      </c>
      <c r="DR366" t="s">
        <v>149</v>
      </c>
      <c r="DS366" s="24">
        <v>46160.384426226854</v>
      </c>
    </row>
    <row r="367" spans="1:123" x14ac:dyDescent="0.3">
      <c r="A367" t="s">
        <v>617</v>
      </c>
      <c r="D367" t="s">
        <v>225</v>
      </c>
      <c r="E367" s="24">
        <v>45883.443576388891</v>
      </c>
      <c r="G367" t="s">
        <v>90</v>
      </c>
      <c r="H367" t="s">
        <v>155</v>
      </c>
      <c r="I367" s="24"/>
      <c r="J367" s="24"/>
      <c r="K367" s="24"/>
      <c r="L367" s="24"/>
      <c r="N367" s="24"/>
      <c r="O367" s="24"/>
      <c r="P367" s="24"/>
      <c r="Q367" s="24"/>
      <c r="V367" s="24"/>
      <c r="W367" s="24"/>
      <c r="X367" s="24"/>
      <c r="Y367" s="24"/>
      <c r="AA367" s="24">
        <v>45883.509769583332</v>
      </c>
      <c r="AB367" s="24">
        <v>45883.509769583332</v>
      </c>
      <c r="AC367" s="24">
        <v>45883.51096929398</v>
      </c>
      <c r="AD367" s="24">
        <v>45883.51096929398</v>
      </c>
      <c r="AE367">
        <v>1</v>
      </c>
      <c r="AF367" s="24">
        <v>45883.51096929398</v>
      </c>
      <c r="AG367" s="24">
        <v>45883.51096929398</v>
      </c>
      <c r="AH367" s="24">
        <v>45883.666218576385</v>
      </c>
      <c r="AI367" s="24">
        <v>45883.666218576385</v>
      </c>
      <c r="AJ367">
        <v>1</v>
      </c>
      <c r="AK367" s="24">
        <v>45883.666218576385</v>
      </c>
      <c r="AL367" s="24">
        <v>45883.666218576385</v>
      </c>
      <c r="AM367" s="24">
        <v>45884.38067864583</v>
      </c>
      <c r="AN367" s="24">
        <v>45884.38067864583</v>
      </c>
      <c r="AO367">
        <v>1</v>
      </c>
      <c r="AP367" s="24"/>
      <c r="AQ367" s="24"/>
      <c r="AR367" s="24">
        <v>45883.493138518519</v>
      </c>
      <c r="AS367" s="24">
        <v>45883.493138518519</v>
      </c>
      <c r="AX367" s="24"/>
      <c r="AY367" s="24"/>
      <c r="AZ367" s="24"/>
      <c r="BA367" s="24"/>
      <c r="BC367" s="24">
        <v>45884.382418449073</v>
      </c>
      <c r="BD367" s="24">
        <v>45884.382418449073</v>
      </c>
      <c r="BE367" s="24">
        <v>45887.685781388886</v>
      </c>
      <c r="BF367" s="24">
        <v>45887.685781388886</v>
      </c>
      <c r="BG367">
        <v>1</v>
      </c>
      <c r="BH367" s="24">
        <v>45883.493138518519</v>
      </c>
      <c r="BI367" s="24">
        <v>45883.493138518519</v>
      </c>
      <c r="BJ367" s="24">
        <v>45883.509769583332</v>
      </c>
      <c r="BK367" s="24">
        <v>45883.509769583332</v>
      </c>
      <c r="BL367">
        <v>1</v>
      </c>
      <c r="BM367" s="24"/>
      <c r="BN367" s="24"/>
      <c r="BO367" s="24"/>
      <c r="BP367" s="24"/>
      <c r="BR367" s="24">
        <v>45884.38067864583</v>
      </c>
      <c r="BS367" s="24">
        <v>45884.38067864583</v>
      </c>
      <c r="BT367" s="24">
        <v>45884.382418449073</v>
      </c>
      <c r="BU367" s="24">
        <v>45884.382418449073</v>
      </c>
      <c r="BV367">
        <v>1</v>
      </c>
      <c r="BW367" s="24"/>
      <c r="BX367" s="24"/>
      <c r="BY367" s="24"/>
      <c r="BZ367" s="24"/>
      <c r="CB367" s="24"/>
      <c r="CC367" s="24"/>
      <c r="CE367" s="24">
        <v>45887.685781388886</v>
      </c>
      <c r="CF367" s="24">
        <v>45887.685781388886</v>
      </c>
      <c r="CG367">
        <v>1</v>
      </c>
      <c r="CH367" s="24"/>
      <c r="CI367" s="24"/>
      <c r="CJ367" s="24"/>
      <c r="CK367" s="24"/>
      <c r="DE367" s="24"/>
      <c r="DF367" s="24"/>
      <c r="DG367" s="24"/>
      <c r="DH367" s="24"/>
      <c r="DJ367" t="s">
        <v>149</v>
      </c>
      <c r="DK367" t="s">
        <v>149</v>
      </c>
      <c r="DM367">
        <v>5</v>
      </c>
      <c r="DN367">
        <v>5</v>
      </c>
      <c r="DQ367" t="s">
        <v>1000</v>
      </c>
      <c r="DR367" t="s">
        <v>149</v>
      </c>
      <c r="DS367" s="24">
        <v>46160.384426226854</v>
      </c>
    </row>
    <row r="368" spans="1:123" x14ac:dyDescent="0.3">
      <c r="A368" t="s">
        <v>618</v>
      </c>
      <c r="D368" t="s">
        <v>223</v>
      </c>
      <c r="E368" s="24">
        <v>45882.767048611109</v>
      </c>
      <c r="G368" t="s">
        <v>90</v>
      </c>
      <c r="H368" t="s">
        <v>155</v>
      </c>
      <c r="I368" s="24"/>
      <c r="J368" s="24"/>
      <c r="K368" s="24"/>
      <c r="L368" s="24"/>
      <c r="N368" s="24"/>
      <c r="O368" s="24"/>
      <c r="P368" s="24"/>
      <c r="Q368" s="24"/>
      <c r="V368" s="24"/>
      <c r="W368" s="24"/>
      <c r="X368" s="24"/>
      <c r="Y368" s="24"/>
      <c r="AA368" s="24">
        <v>45882.769942418985</v>
      </c>
      <c r="AB368" s="24">
        <v>45882.769942418985</v>
      </c>
      <c r="AC368" s="24">
        <v>45883.893840821758</v>
      </c>
      <c r="AD368" s="24">
        <v>45883.893840821758</v>
      </c>
      <c r="AE368">
        <v>1</v>
      </c>
      <c r="AF368" s="24">
        <v>45883.893840821758</v>
      </c>
      <c r="AG368" s="24">
        <v>45883.893840821758</v>
      </c>
      <c r="AH368" s="24">
        <v>45884.402470879628</v>
      </c>
      <c r="AI368" s="24">
        <v>45884.402470879628</v>
      </c>
      <c r="AJ368">
        <v>1</v>
      </c>
      <c r="AK368" s="24"/>
      <c r="AL368" s="24"/>
      <c r="AM368" s="24"/>
      <c r="AN368" s="24"/>
      <c r="AP368" s="24"/>
      <c r="AQ368" s="24"/>
      <c r="AR368" s="24">
        <v>45882.769891261574</v>
      </c>
      <c r="AS368" s="24">
        <v>45882.769891261574</v>
      </c>
      <c r="AX368" s="24"/>
      <c r="AY368" s="24"/>
      <c r="AZ368" s="24"/>
      <c r="BA368" s="24"/>
      <c r="BC368" s="24"/>
      <c r="BD368" s="24"/>
      <c r="BE368" s="24"/>
      <c r="BF368" s="24"/>
      <c r="BH368" s="24">
        <v>45882.769891261574</v>
      </c>
      <c r="BI368" s="24">
        <v>45882.769891261574</v>
      </c>
      <c r="BJ368" s="24">
        <v>45882.769942418985</v>
      </c>
      <c r="BK368" s="24">
        <v>45882.769942418985</v>
      </c>
      <c r="BL368">
        <v>1</v>
      </c>
      <c r="BM368" s="24"/>
      <c r="BN368" s="24"/>
      <c r="BO368" s="24"/>
      <c r="BP368" s="24"/>
      <c r="BR368" s="24">
        <v>45884.402470879628</v>
      </c>
      <c r="BS368" s="24">
        <v>45884.402470879628</v>
      </c>
      <c r="BT368" s="24">
        <v>45884.402554178239</v>
      </c>
      <c r="BU368" s="24">
        <v>45884.402554178239</v>
      </c>
      <c r="BV368">
        <v>1</v>
      </c>
      <c r="BW368" s="24"/>
      <c r="BX368" s="24"/>
      <c r="BY368" s="24"/>
      <c r="BZ368" s="24"/>
      <c r="CB368" s="24"/>
      <c r="CC368" s="24"/>
      <c r="CE368" s="24">
        <v>45884.402554178239</v>
      </c>
      <c r="CF368" s="24">
        <v>45884.402554178239</v>
      </c>
      <c r="CG368">
        <v>1</v>
      </c>
      <c r="CH368" s="24"/>
      <c r="CI368" s="24"/>
      <c r="CJ368" s="24"/>
      <c r="CK368" s="24"/>
      <c r="DE368" s="24"/>
      <c r="DF368" s="24"/>
      <c r="DG368" s="24"/>
      <c r="DH368" s="24"/>
      <c r="DJ368" t="s">
        <v>149</v>
      </c>
      <c r="DK368" t="s">
        <v>149</v>
      </c>
      <c r="DM368">
        <v>2</v>
      </c>
      <c r="DN368">
        <v>2</v>
      </c>
      <c r="DQ368" t="s">
        <v>1000</v>
      </c>
      <c r="DR368" t="s">
        <v>149</v>
      </c>
      <c r="DS368" s="24">
        <v>46160.384426226854</v>
      </c>
    </row>
    <row r="369" spans="1:123" x14ac:dyDescent="0.3">
      <c r="A369" t="s">
        <v>619</v>
      </c>
      <c r="D369" t="s">
        <v>225</v>
      </c>
      <c r="E369" s="24">
        <v>45880.415451388886</v>
      </c>
      <c r="G369" t="s">
        <v>150</v>
      </c>
      <c r="H369" t="s">
        <v>155</v>
      </c>
      <c r="I369" s="24"/>
      <c r="J369" s="24"/>
      <c r="K369" s="24"/>
      <c r="L369" s="24"/>
      <c r="N369" s="24"/>
      <c r="O369" s="24"/>
      <c r="P369" s="24"/>
      <c r="Q369" s="24"/>
      <c r="V369" s="24"/>
      <c r="W369" s="24"/>
      <c r="X369" s="24"/>
      <c r="Y369" s="24"/>
      <c r="AA369" s="24"/>
      <c r="AB369" s="24"/>
      <c r="AC369" s="24"/>
      <c r="AD369" s="24"/>
      <c r="AF369" s="24"/>
      <c r="AG369" s="24"/>
      <c r="AH369" s="24"/>
      <c r="AI369" s="24"/>
      <c r="AK369" s="24"/>
      <c r="AL369" s="24"/>
      <c r="AM369" s="24"/>
      <c r="AN369" s="24"/>
      <c r="AP369" s="24"/>
      <c r="AQ369" s="24"/>
      <c r="AR369" s="24">
        <v>45881.457009351849</v>
      </c>
      <c r="AS369" s="24">
        <v>45881.457009351849</v>
      </c>
      <c r="AX369" s="24"/>
      <c r="AY369" s="24"/>
      <c r="AZ369" s="24"/>
      <c r="BA369" s="24"/>
      <c r="BC369" s="24"/>
      <c r="BD369" s="24"/>
      <c r="BE369" s="24"/>
      <c r="BF369" s="24"/>
      <c r="BH369" s="24"/>
      <c r="BI369" s="24"/>
      <c r="BJ369" s="24"/>
      <c r="BK369" s="24"/>
      <c r="BM369" s="24"/>
      <c r="BN369" s="24"/>
      <c r="BO369" s="24"/>
      <c r="BP369" s="24"/>
      <c r="BR369" s="24"/>
      <c r="BS369" s="24"/>
      <c r="BT369" s="24"/>
      <c r="BU369" s="24"/>
      <c r="BW369" s="24"/>
      <c r="BX369" s="24"/>
      <c r="BY369" s="24"/>
      <c r="BZ369" s="24"/>
      <c r="CB369" s="24">
        <v>45881.457009351849</v>
      </c>
      <c r="CC369" s="24">
        <v>45881.457009351849</v>
      </c>
      <c r="CD369">
        <v>1</v>
      </c>
      <c r="CE369" s="24"/>
      <c r="CF369" s="24"/>
      <c r="CH369" s="24"/>
      <c r="CI369" s="24"/>
      <c r="CJ369" s="24"/>
      <c r="CK369" s="24"/>
      <c r="DE369" s="24"/>
      <c r="DF369" s="24"/>
      <c r="DG369" s="24"/>
      <c r="DH369" s="24"/>
      <c r="DJ369" t="s">
        <v>149</v>
      </c>
      <c r="DK369" t="s">
        <v>149</v>
      </c>
      <c r="DQ369" t="s">
        <v>1000</v>
      </c>
      <c r="DR369" t="s">
        <v>149</v>
      </c>
      <c r="DS369" s="24">
        <v>46160.384426226854</v>
      </c>
    </row>
    <row r="370" spans="1:123" x14ac:dyDescent="0.3">
      <c r="A370" t="s">
        <v>620</v>
      </c>
      <c r="D370" t="s">
        <v>223</v>
      </c>
      <c r="E370" s="24">
        <v>45880.41510416667</v>
      </c>
      <c r="G370" t="s">
        <v>90</v>
      </c>
      <c r="H370" t="s">
        <v>155</v>
      </c>
      <c r="I370" s="24"/>
      <c r="J370" s="24"/>
      <c r="K370" s="24"/>
      <c r="L370" s="24"/>
      <c r="N370" s="24"/>
      <c r="O370" s="24"/>
      <c r="P370" s="24"/>
      <c r="Q370" s="24"/>
      <c r="V370" s="24"/>
      <c r="W370" s="24"/>
      <c r="X370" s="24"/>
      <c r="Y370" s="24"/>
      <c r="AA370" s="24">
        <v>45881.407000648149</v>
      </c>
      <c r="AB370" s="24">
        <v>45881.407000648149</v>
      </c>
      <c r="AC370" s="24">
        <v>45887.590855185183</v>
      </c>
      <c r="AD370" s="24">
        <v>45887.590855185183</v>
      </c>
      <c r="AE370">
        <v>1</v>
      </c>
      <c r="AF370" s="24">
        <v>45887.590855185183</v>
      </c>
      <c r="AG370" s="24">
        <v>45887.590855185183</v>
      </c>
      <c r="AH370" s="24">
        <v>45889.411020844906</v>
      </c>
      <c r="AI370" s="24">
        <v>45889.411020844906</v>
      </c>
      <c r="AJ370">
        <v>1</v>
      </c>
      <c r="AK370" s="24"/>
      <c r="AL370" s="24"/>
      <c r="AM370" s="24"/>
      <c r="AN370" s="24"/>
      <c r="AP370" s="24"/>
      <c r="AQ370" s="24"/>
      <c r="AR370" s="24">
        <v>45880.415988090281</v>
      </c>
      <c r="AS370" s="24">
        <v>45880.415988090281</v>
      </c>
      <c r="AX370" s="24"/>
      <c r="AY370" s="24"/>
      <c r="AZ370" s="24"/>
      <c r="BA370" s="24"/>
      <c r="BC370" s="24"/>
      <c r="BD370" s="24"/>
      <c r="BE370" s="24"/>
      <c r="BF370" s="24"/>
      <c r="BH370" s="24">
        <v>45880.415988090281</v>
      </c>
      <c r="BI370" s="24">
        <v>45880.415988090281</v>
      </c>
      <c r="BJ370" s="24">
        <v>45881.407000648149</v>
      </c>
      <c r="BK370" s="24">
        <v>45881.407000648149</v>
      </c>
      <c r="BL370">
        <v>1</v>
      </c>
      <c r="BM370" s="24"/>
      <c r="BN370" s="24"/>
      <c r="BO370" s="24"/>
      <c r="BP370" s="24"/>
      <c r="BR370" s="24">
        <v>45889.411020844906</v>
      </c>
      <c r="BS370" s="24">
        <v>45889.411020844906</v>
      </c>
      <c r="BT370" s="24">
        <v>45889.411236874999</v>
      </c>
      <c r="BU370" s="24">
        <v>45889.411236874999</v>
      </c>
      <c r="BV370">
        <v>1</v>
      </c>
      <c r="BW370" s="24"/>
      <c r="BX370" s="24"/>
      <c r="BY370" s="24"/>
      <c r="BZ370" s="24"/>
      <c r="CB370" s="24"/>
      <c r="CC370" s="24"/>
      <c r="CE370" s="24">
        <v>45889.411236874999</v>
      </c>
      <c r="CF370" s="24">
        <v>45889.411236874999</v>
      </c>
      <c r="CG370">
        <v>1</v>
      </c>
      <c r="CH370" s="24"/>
      <c r="CI370" s="24"/>
      <c r="CJ370" s="24"/>
      <c r="CK370" s="24"/>
      <c r="DE370" s="24"/>
      <c r="DF370" s="24"/>
      <c r="DG370" s="24"/>
      <c r="DH370" s="24"/>
      <c r="DJ370" t="s">
        <v>149</v>
      </c>
      <c r="DK370" t="s">
        <v>149</v>
      </c>
      <c r="DM370">
        <v>9</v>
      </c>
      <c r="DN370">
        <v>9</v>
      </c>
      <c r="DQ370" t="s">
        <v>1000</v>
      </c>
      <c r="DR370" t="s">
        <v>149</v>
      </c>
      <c r="DS370" s="24">
        <v>46160.384426226854</v>
      </c>
    </row>
    <row r="371" spans="1:123" x14ac:dyDescent="0.3">
      <c r="A371" t="s">
        <v>621</v>
      </c>
      <c r="D371" t="s">
        <v>223</v>
      </c>
      <c r="E371" s="24">
        <v>45875.605196759258</v>
      </c>
      <c r="G371" t="s">
        <v>90</v>
      </c>
      <c r="H371" t="s">
        <v>155</v>
      </c>
      <c r="I371" s="24"/>
      <c r="J371" s="24"/>
      <c r="K371" s="24"/>
      <c r="L371" s="24"/>
      <c r="N371" s="24"/>
      <c r="O371" s="24"/>
      <c r="P371" s="24"/>
      <c r="Q371" s="24"/>
      <c r="V371" s="24"/>
      <c r="W371" s="24"/>
      <c r="X371" s="24"/>
      <c r="Y371" s="24"/>
      <c r="AA371" s="24">
        <v>45902.67543851852</v>
      </c>
      <c r="AB371" s="24">
        <v>45902.67543851852</v>
      </c>
      <c r="AC371" s="24">
        <v>45912.413096122684</v>
      </c>
      <c r="AD371" s="24">
        <v>45912.413096122684</v>
      </c>
      <c r="AE371">
        <v>1</v>
      </c>
      <c r="AF371" s="24"/>
      <c r="AG371" s="24"/>
      <c r="AH371" s="24"/>
      <c r="AI371" s="24"/>
      <c r="AK371" s="24"/>
      <c r="AL371" s="24"/>
      <c r="AM371" s="24"/>
      <c r="AN371" s="24"/>
      <c r="AP371" s="24"/>
      <c r="AQ371" s="24"/>
      <c r="AR371" s="24">
        <v>45902.67526502315</v>
      </c>
      <c r="AS371" s="24">
        <v>45902.67526502315</v>
      </c>
      <c r="AX371" s="24"/>
      <c r="AY371" s="24"/>
      <c r="AZ371" s="24"/>
      <c r="BA371" s="24"/>
      <c r="BC371" s="24"/>
      <c r="BD371" s="24"/>
      <c r="BE371" s="24"/>
      <c r="BF371" s="24"/>
      <c r="BH371" s="24">
        <v>45902.67526502315</v>
      </c>
      <c r="BI371" s="24">
        <v>45902.67526502315</v>
      </c>
      <c r="BJ371" s="24">
        <v>45902.67543851852</v>
      </c>
      <c r="BK371" s="24">
        <v>45902.67543851852</v>
      </c>
      <c r="BL371">
        <v>1</v>
      </c>
      <c r="BM371" s="24"/>
      <c r="BN371" s="24"/>
      <c r="BO371" s="24"/>
      <c r="BP371" s="24"/>
      <c r="BR371" s="24">
        <v>45912.413096122684</v>
      </c>
      <c r="BS371" s="24">
        <v>45912.413096122684</v>
      </c>
      <c r="BT371" s="24">
        <v>45915.456602650462</v>
      </c>
      <c r="BU371" s="24">
        <v>45915.456602650462</v>
      </c>
      <c r="BV371">
        <v>1</v>
      </c>
      <c r="BW371" s="24"/>
      <c r="BX371" s="24"/>
      <c r="BY371" s="24"/>
      <c r="BZ371" s="24"/>
      <c r="CB371" s="24"/>
      <c r="CC371" s="24"/>
      <c r="CE371" s="24">
        <v>45915.456602650462</v>
      </c>
      <c r="CF371" s="24">
        <v>45915.456602650462</v>
      </c>
      <c r="CG371">
        <v>1</v>
      </c>
      <c r="CH371" s="24"/>
      <c r="CI371" s="24"/>
      <c r="CJ371" s="24"/>
      <c r="CK371" s="24"/>
      <c r="DE371" s="24"/>
      <c r="DF371" s="24"/>
      <c r="DG371" s="24"/>
      <c r="DH371" s="24"/>
      <c r="DJ371" t="s">
        <v>149</v>
      </c>
      <c r="DK371" t="s">
        <v>149</v>
      </c>
      <c r="DM371">
        <v>13</v>
      </c>
      <c r="DN371">
        <v>13</v>
      </c>
      <c r="DQ371" t="s">
        <v>1000</v>
      </c>
      <c r="DR371" t="s">
        <v>149</v>
      </c>
      <c r="DS371" s="24">
        <v>46160.384426226854</v>
      </c>
    </row>
    <row r="372" spans="1:123" x14ac:dyDescent="0.3">
      <c r="A372" t="s">
        <v>622</v>
      </c>
      <c r="D372" t="s">
        <v>223</v>
      </c>
      <c r="E372" s="24">
        <v>45875.421064814815</v>
      </c>
      <c r="G372" t="s">
        <v>150</v>
      </c>
      <c r="H372" t="s">
        <v>155</v>
      </c>
      <c r="I372" s="24"/>
      <c r="J372" s="24"/>
      <c r="K372" s="24"/>
      <c r="L372" s="24"/>
      <c r="N372" s="24"/>
      <c r="O372" s="24"/>
      <c r="P372" s="24"/>
      <c r="Q372" s="24"/>
      <c r="V372" s="24"/>
      <c r="W372" s="24"/>
      <c r="X372" s="24"/>
      <c r="Y372" s="24"/>
      <c r="AA372" s="24"/>
      <c r="AB372" s="24"/>
      <c r="AC372" s="24"/>
      <c r="AD372" s="24"/>
      <c r="AF372" s="24"/>
      <c r="AG372" s="24"/>
      <c r="AH372" s="24"/>
      <c r="AI372" s="24"/>
      <c r="AK372" s="24"/>
      <c r="AL372" s="24"/>
      <c r="AM372" s="24"/>
      <c r="AN372" s="24"/>
      <c r="AP372" s="24"/>
      <c r="AQ372" s="24"/>
      <c r="AR372" s="24">
        <v>45902.411052696756</v>
      </c>
      <c r="AS372" s="24">
        <v>45902.411052696756</v>
      </c>
      <c r="AX372" s="24"/>
      <c r="AY372" s="24"/>
      <c r="AZ372" s="24"/>
      <c r="BA372" s="24"/>
      <c r="BC372" s="24"/>
      <c r="BD372" s="24"/>
      <c r="BE372" s="24"/>
      <c r="BF372" s="24"/>
      <c r="BH372" s="24"/>
      <c r="BI372" s="24"/>
      <c r="BJ372" s="24"/>
      <c r="BK372" s="24"/>
      <c r="BM372" s="24"/>
      <c r="BN372" s="24"/>
      <c r="BO372" s="24"/>
      <c r="BP372" s="24"/>
      <c r="BR372" s="24"/>
      <c r="BS372" s="24"/>
      <c r="BT372" s="24"/>
      <c r="BU372" s="24"/>
      <c r="BW372" s="24"/>
      <c r="BX372" s="24"/>
      <c r="BY372" s="24"/>
      <c r="BZ372" s="24"/>
      <c r="CB372" s="24">
        <v>45902.411052696756</v>
      </c>
      <c r="CC372" s="24">
        <v>45902.411052696756</v>
      </c>
      <c r="CD372">
        <v>1</v>
      </c>
      <c r="CE372" s="24"/>
      <c r="CF372" s="24"/>
      <c r="CH372" s="24"/>
      <c r="CI372" s="24"/>
      <c r="CJ372" s="24"/>
      <c r="CK372" s="24"/>
      <c r="DE372" s="24"/>
      <c r="DF372" s="24"/>
      <c r="DG372" s="24"/>
      <c r="DH372" s="24"/>
      <c r="DJ372" t="s">
        <v>149</v>
      </c>
      <c r="DK372" t="s">
        <v>149</v>
      </c>
      <c r="DQ372" t="s">
        <v>1000</v>
      </c>
      <c r="DR372" t="s">
        <v>149</v>
      </c>
      <c r="DS372" s="24">
        <v>46160.384426226854</v>
      </c>
    </row>
    <row r="373" spans="1:123" x14ac:dyDescent="0.3">
      <c r="A373" t="s">
        <v>623</v>
      </c>
      <c r="D373" t="s">
        <v>223</v>
      </c>
      <c r="E373" s="24">
        <v>45874.427662037036</v>
      </c>
      <c r="G373" t="s">
        <v>90</v>
      </c>
      <c r="H373" t="s">
        <v>155</v>
      </c>
      <c r="I373" s="24"/>
      <c r="J373" s="24"/>
      <c r="K373" s="24"/>
      <c r="L373" s="24"/>
      <c r="N373" s="24"/>
      <c r="O373" s="24"/>
      <c r="P373" s="24"/>
      <c r="Q373" s="24"/>
      <c r="V373" s="24"/>
      <c r="W373" s="24"/>
      <c r="X373" s="24"/>
      <c r="Y373" s="24"/>
      <c r="AA373" s="24">
        <v>45875.477952326386</v>
      </c>
      <c r="AB373" s="24">
        <v>45875.477952326386</v>
      </c>
      <c r="AC373" s="24">
        <v>45875.602534259262</v>
      </c>
      <c r="AD373" s="24">
        <v>45875.602534259262</v>
      </c>
      <c r="AE373">
        <v>1</v>
      </c>
      <c r="AF373" s="24"/>
      <c r="AG373" s="24"/>
      <c r="AH373" s="24"/>
      <c r="AI373" s="24"/>
      <c r="AK373" s="24"/>
      <c r="AL373" s="24"/>
      <c r="AM373" s="24"/>
      <c r="AN373" s="24"/>
      <c r="AP373" s="24"/>
      <c r="AQ373" s="24"/>
      <c r="AR373" s="24">
        <v>45874.537827141205</v>
      </c>
      <c r="AS373" s="24">
        <v>45874.537827141205</v>
      </c>
      <c r="AX373" s="24"/>
      <c r="AY373" s="24"/>
      <c r="AZ373" s="24"/>
      <c r="BA373" s="24"/>
      <c r="BC373" s="24"/>
      <c r="BD373" s="24"/>
      <c r="BE373" s="24"/>
      <c r="BF373" s="24"/>
      <c r="BH373" s="24">
        <v>45874.537827141205</v>
      </c>
      <c r="BI373" s="24">
        <v>45874.537827141205</v>
      </c>
      <c r="BJ373" s="24">
        <v>45875.477952326386</v>
      </c>
      <c r="BK373" s="24">
        <v>45875.477952326386</v>
      </c>
      <c r="BL373">
        <v>1</v>
      </c>
      <c r="BM373" s="24"/>
      <c r="BN373" s="24"/>
      <c r="BO373" s="24"/>
      <c r="BP373" s="24"/>
      <c r="BR373" s="24">
        <v>45875.602534259262</v>
      </c>
      <c r="BS373" s="24">
        <v>45875.602534259262</v>
      </c>
      <c r="BT373" s="24">
        <v>45876.400595671294</v>
      </c>
      <c r="BU373" s="24">
        <v>45876.400595671294</v>
      </c>
      <c r="BV373">
        <v>1</v>
      </c>
      <c r="BW373" s="24"/>
      <c r="BX373" s="24"/>
      <c r="BY373" s="24"/>
      <c r="BZ373" s="24"/>
      <c r="CB373" s="24"/>
      <c r="CC373" s="24"/>
      <c r="CE373" s="24">
        <v>45876.400595671294</v>
      </c>
      <c r="CF373" s="24">
        <v>45876.400595671294</v>
      </c>
      <c r="CG373">
        <v>1</v>
      </c>
      <c r="CH373" s="24"/>
      <c r="CI373" s="24"/>
      <c r="CJ373" s="24"/>
      <c r="CK373" s="24"/>
      <c r="DE373" s="24"/>
      <c r="DF373" s="24"/>
      <c r="DG373" s="24"/>
      <c r="DH373" s="24"/>
      <c r="DJ373" t="s">
        <v>149</v>
      </c>
      <c r="DK373" t="s">
        <v>149</v>
      </c>
      <c r="DM373">
        <v>2</v>
      </c>
      <c r="DN373">
        <v>1</v>
      </c>
      <c r="DQ373" t="s">
        <v>1000</v>
      </c>
      <c r="DR373" t="s">
        <v>149</v>
      </c>
      <c r="DS373" s="24">
        <v>46160.384426226854</v>
      </c>
    </row>
    <row r="374" spans="1:123" x14ac:dyDescent="0.3">
      <c r="A374" t="s">
        <v>624</v>
      </c>
      <c r="D374" t="s">
        <v>223</v>
      </c>
      <c r="E374" s="24">
        <v>45874.406631944446</v>
      </c>
      <c r="G374" t="s">
        <v>90</v>
      </c>
      <c r="H374" t="s">
        <v>155</v>
      </c>
      <c r="I374" s="24"/>
      <c r="J374" s="24"/>
      <c r="K374" s="24"/>
      <c r="L374" s="24"/>
      <c r="N374" s="24"/>
      <c r="O374" s="24"/>
      <c r="P374" s="24"/>
      <c r="Q374" s="24"/>
      <c r="V374" s="24"/>
      <c r="W374" s="24"/>
      <c r="X374" s="24"/>
      <c r="Y374" s="24"/>
      <c r="AA374" s="24">
        <v>45874.540561550923</v>
      </c>
      <c r="AB374" s="24">
        <v>45874.540561550923</v>
      </c>
      <c r="AC374" s="24">
        <v>45894.632488368057</v>
      </c>
      <c r="AD374" s="24">
        <v>45894.632488368057</v>
      </c>
      <c r="AE374">
        <v>1</v>
      </c>
      <c r="AF374" s="24">
        <v>45894.632488368057</v>
      </c>
      <c r="AG374" s="24">
        <v>45894.632488368057</v>
      </c>
      <c r="AH374" s="24">
        <v>45898.319025532408</v>
      </c>
      <c r="AI374" s="24">
        <v>45898.319025532408</v>
      </c>
      <c r="AJ374">
        <v>1</v>
      </c>
      <c r="AK374" s="24"/>
      <c r="AL374" s="24"/>
      <c r="AM374" s="24"/>
      <c r="AN374" s="24"/>
      <c r="AP374" s="24"/>
      <c r="AQ374" s="24"/>
      <c r="AR374" s="24">
        <v>45874.540494537039</v>
      </c>
      <c r="AS374" s="24">
        <v>45874.540494537039</v>
      </c>
      <c r="AX374" s="24"/>
      <c r="AY374" s="24"/>
      <c r="AZ374" s="24"/>
      <c r="BA374" s="24"/>
      <c r="BC374" s="24"/>
      <c r="BD374" s="24"/>
      <c r="BE374" s="24"/>
      <c r="BF374" s="24"/>
      <c r="BH374" s="24">
        <v>45874.540494537039</v>
      </c>
      <c r="BI374" s="24">
        <v>45874.540494537039</v>
      </c>
      <c r="BJ374" s="24">
        <v>45874.540561550923</v>
      </c>
      <c r="BK374" s="24">
        <v>45874.540561550923</v>
      </c>
      <c r="BL374">
        <v>1</v>
      </c>
      <c r="BM374" s="24"/>
      <c r="BN374" s="24"/>
      <c r="BO374" s="24"/>
      <c r="BP374" s="24"/>
      <c r="BR374" s="24">
        <v>45898.319025532408</v>
      </c>
      <c r="BS374" s="24">
        <v>45898.319025532408</v>
      </c>
      <c r="BT374" s="24">
        <v>45898.407613356481</v>
      </c>
      <c r="BU374" s="24">
        <v>45898.407613356481</v>
      </c>
      <c r="BV374">
        <v>1</v>
      </c>
      <c r="BW374" s="24"/>
      <c r="BX374" s="24"/>
      <c r="BY374" s="24"/>
      <c r="BZ374" s="24"/>
      <c r="CB374" s="24"/>
      <c r="CC374" s="24"/>
      <c r="CE374" s="24">
        <v>45898.407613356481</v>
      </c>
      <c r="CF374" s="24">
        <v>45898.407613356481</v>
      </c>
      <c r="CG374">
        <v>1</v>
      </c>
      <c r="CH374" s="24"/>
      <c r="CI374" s="24"/>
      <c r="CJ374" s="24"/>
      <c r="CK374" s="24"/>
      <c r="DE374" s="24"/>
      <c r="DF374" s="24"/>
      <c r="DG374" s="24"/>
      <c r="DH374" s="24"/>
      <c r="DJ374" t="s">
        <v>149</v>
      </c>
      <c r="DK374" t="s">
        <v>149</v>
      </c>
      <c r="DM374">
        <v>24</v>
      </c>
      <c r="DN374">
        <v>24</v>
      </c>
      <c r="DQ374" t="s">
        <v>1000</v>
      </c>
      <c r="DR374" t="s">
        <v>149</v>
      </c>
      <c r="DS374" s="24">
        <v>46160.384426226854</v>
      </c>
    </row>
    <row r="375" spans="1:123" x14ac:dyDescent="0.3">
      <c r="A375" t="s">
        <v>625</v>
      </c>
      <c r="D375" t="s">
        <v>223</v>
      </c>
      <c r="E375" s="24">
        <v>45873.638414351852</v>
      </c>
      <c r="G375" t="s">
        <v>90</v>
      </c>
      <c r="H375" t="s">
        <v>155</v>
      </c>
      <c r="I375" s="24"/>
      <c r="J375" s="24"/>
      <c r="K375" s="24"/>
      <c r="L375" s="24"/>
      <c r="N375" s="24"/>
      <c r="O375" s="24"/>
      <c r="P375" s="24"/>
      <c r="Q375" s="24"/>
      <c r="V375" s="24"/>
      <c r="W375" s="24"/>
      <c r="X375" s="24"/>
      <c r="Y375" s="24"/>
      <c r="AA375" s="24">
        <v>45902.67442625</v>
      </c>
      <c r="AB375" s="24">
        <v>45902.67442625</v>
      </c>
      <c r="AC375" s="24">
        <v>45915.411621284722</v>
      </c>
      <c r="AD375" s="24">
        <v>45915.411621284722</v>
      </c>
      <c r="AE375">
        <v>1</v>
      </c>
      <c r="AF375" s="24"/>
      <c r="AG375" s="24"/>
      <c r="AH375" s="24"/>
      <c r="AI375" s="24"/>
      <c r="AK375" s="24"/>
      <c r="AL375" s="24"/>
      <c r="AM375" s="24"/>
      <c r="AN375" s="24"/>
      <c r="AP375" s="24"/>
      <c r="AQ375" s="24"/>
      <c r="AR375" s="24">
        <v>45902.674264687499</v>
      </c>
      <c r="AS375" s="24">
        <v>45902.674264687499</v>
      </c>
      <c r="AX375" s="24"/>
      <c r="AY375" s="24"/>
      <c r="AZ375" s="24"/>
      <c r="BA375" s="24"/>
      <c r="BC375" s="24"/>
      <c r="BD375" s="24"/>
      <c r="BE375" s="24"/>
      <c r="BF375" s="24"/>
      <c r="BH375" s="24">
        <v>45902.674264687499</v>
      </c>
      <c r="BI375" s="24">
        <v>45902.674264687499</v>
      </c>
      <c r="BJ375" s="24">
        <v>45902.67442625</v>
      </c>
      <c r="BK375" s="24">
        <v>45902.67442625</v>
      </c>
      <c r="BL375">
        <v>1</v>
      </c>
      <c r="BM375" s="24"/>
      <c r="BN375" s="24"/>
      <c r="BO375" s="24"/>
      <c r="BP375" s="24"/>
      <c r="BR375" s="24">
        <v>45915.411621284722</v>
      </c>
      <c r="BS375" s="24">
        <v>45915.411621284722</v>
      </c>
      <c r="BT375" s="24">
        <v>45916.475987291669</v>
      </c>
      <c r="BU375" s="24">
        <v>45916.475987291669</v>
      </c>
      <c r="BV375">
        <v>1</v>
      </c>
      <c r="BW375" s="24"/>
      <c r="BX375" s="24"/>
      <c r="BY375" s="24"/>
      <c r="BZ375" s="24"/>
      <c r="CB375" s="24"/>
      <c r="CC375" s="24"/>
      <c r="CE375" s="24">
        <v>45916.475987291669</v>
      </c>
      <c r="CF375" s="24">
        <v>45916.475987291669</v>
      </c>
      <c r="CG375">
        <v>1</v>
      </c>
      <c r="CH375" s="24"/>
      <c r="CI375" s="24"/>
      <c r="CJ375" s="24"/>
      <c r="CK375" s="24"/>
      <c r="DE375" s="24"/>
      <c r="DF375" s="24"/>
      <c r="DG375" s="24"/>
      <c r="DH375" s="24"/>
      <c r="DJ375" t="s">
        <v>149</v>
      </c>
      <c r="DK375" t="s">
        <v>149</v>
      </c>
      <c r="DM375">
        <v>14</v>
      </c>
      <c r="DN375">
        <v>14</v>
      </c>
      <c r="DQ375" t="s">
        <v>1000</v>
      </c>
      <c r="DR375" t="s">
        <v>149</v>
      </c>
      <c r="DS375" s="24">
        <v>46160.384426226854</v>
      </c>
    </row>
    <row r="376" spans="1:123" x14ac:dyDescent="0.3">
      <c r="A376" t="s">
        <v>626</v>
      </c>
      <c r="D376" t="s">
        <v>223</v>
      </c>
      <c r="E376" s="24">
        <v>45873.624849537038</v>
      </c>
      <c r="G376" t="s">
        <v>90</v>
      </c>
      <c r="H376" t="s">
        <v>155</v>
      </c>
      <c r="I376" s="24"/>
      <c r="J376" s="24"/>
      <c r="K376" s="24"/>
      <c r="L376" s="24"/>
      <c r="N376" s="24"/>
      <c r="O376" s="24"/>
      <c r="P376" s="24"/>
      <c r="Q376" s="24"/>
      <c r="V376" s="24"/>
      <c r="W376" s="24"/>
      <c r="X376" s="24"/>
      <c r="Y376" s="24"/>
      <c r="AA376" s="24">
        <v>45889.34193667824</v>
      </c>
      <c r="AB376" s="24">
        <v>45889.34193667824</v>
      </c>
      <c r="AC376" s="24">
        <v>45902.357421296299</v>
      </c>
      <c r="AD376" s="24">
        <v>45902.357421296299</v>
      </c>
      <c r="AE376">
        <v>1</v>
      </c>
      <c r="AF376" s="24">
        <v>45902.357421296299</v>
      </c>
      <c r="AG376" s="24">
        <v>45902.357421296299</v>
      </c>
      <c r="AH376" s="24">
        <v>45902.357481493054</v>
      </c>
      <c r="AI376" s="24">
        <v>45902.357481493054</v>
      </c>
      <c r="AJ376">
        <v>1</v>
      </c>
      <c r="AK376" s="24"/>
      <c r="AL376" s="24"/>
      <c r="AM376" s="24"/>
      <c r="AN376" s="24"/>
      <c r="AP376" s="24"/>
      <c r="AQ376" s="24"/>
      <c r="AR376" s="24">
        <v>45889.34175925926</v>
      </c>
      <c r="AS376" s="24">
        <v>45889.34175925926</v>
      </c>
      <c r="AX376" s="24"/>
      <c r="AY376" s="24"/>
      <c r="AZ376" s="24"/>
      <c r="BA376" s="24"/>
      <c r="BC376" s="24"/>
      <c r="BD376" s="24"/>
      <c r="BE376" s="24"/>
      <c r="BF376" s="24"/>
      <c r="BH376" s="24">
        <v>45889.34175925926</v>
      </c>
      <c r="BI376" s="24">
        <v>45889.34175925926</v>
      </c>
      <c r="BJ376" s="24">
        <v>45889.34193667824</v>
      </c>
      <c r="BK376" s="24">
        <v>45889.34193667824</v>
      </c>
      <c r="BL376">
        <v>1</v>
      </c>
      <c r="BM376" s="24"/>
      <c r="BN376" s="24"/>
      <c r="BO376" s="24"/>
      <c r="BP376" s="24"/>
      <c r="BR376" s="24">
        <v>45902.357481493054</v>
      </c>
      <c r="BS376" s="24">
        <v>45902.357481493054</v>
      </c>
      <c r="BT376" s="24">
        <v>45902.357535173614</v>
      </c>
      <c r="BU376" s="24">
        <v>45902.357535173614</v>
      </c>
      <c r="BV376">
        <v>1</v>
      </c>
      <c r="BW376" s="24"/>
      <c r="BX376" s="24"/>
      <c r="BY376" s="24"/>
      <c r="BZ376" s="24"/>
      <c r="CB376" s="24"/>
      <c r="CC376" s="24"/>
      <c r="CE376" s="24">
        <v>45902.357535173614</v>
      </c>
      <c r="CF376" s="24">
        <v>45902.357535173614</v>
      </c>
      <c r="CG376">
        <v>1</v>
      </c>
      <c r="CH376" s="24"/>
      <c r="CI376" s="24"/>
      <c r="CJ376" s="24"/>
      <c r="CK376" s="24"/>
      <c r="DE376" s="24"/>
      <c r="DF376" s="24"/>
      <c r="DG376" s="24"/>
      <c r="DH376" s="24"/>
      <c r="DJ376" t="s">
        <v>149</v>
      </c>
      <c r="DK376" t="s">
        <v>149</v>
      </c>
      <c r="DM376">
        <v>14</v>
      </c>
      <c r="DN376">
        <v>14</v>
      </c>
      <c r="DQ376" t="s">
        <v>1000</v>
      </c>
      <c r="DR376" t="s">
        <v>149</v>
      </c>
      <c r="DS376" s="24">
        <v>46160.384426226854</v>
      </c>
    </row>
    <row r="377" spans="1:123" x14ac:dyDescent="0.3">
      <c r="A377" t="s">
        <v>627</v>
      </c>
      <c r="D377" t="s">
        <v>223</v>
      </c>
      <c r="E377" s="24">
        <v>45873.603796296295</v>
      </c>
      <c r="G377" t="s">
        <v>150</v>
      </c>
      <c r="H377" t="s">
        <v>155</v>
      </c>
      <c r="I377" s="24"/>
      <c r="J377" s="24"/>
      <c r="K377" s="24"/>
      <c r="L377" s="24"/>
      <c r="N377" s="24"/>
      <c r="O377" s="24"/>
      <c r="P377" s="24"/>
      <c r="Q377" s="24"/>
      <c r="V377" s="24"/>
      <c r="W377" s="24"/>
      <c r="X377" s="24"/>
      <c r="Y377" s="24"/>
      <c r="AA377" s="24"/>
      <c r="AB377" s="24"/>
      <c r="AC377" s="24"/>
      <c r="AD377" s="24"/>
      <c r="AF377" s="24"/>
      <c r="AG377" s="24"/>
      <c r="AH377" s="24"/>
      <c r="AI377" s="24"/>
      <c r="AK377" s="24"/>
      <c r="AL377" s="24"/>
      <c r="AM377" s="24"/>
      <c r="AN377" s="24"/>
      <c r="AP377" s="24"/>
      <c r="AQ377" s="24"/>
      <c r="AR377" s="24">
        <v>45887.565341469905</v>
      </c>
      <c r="AS377" s="24">
        <v>45887.565341469905</v>
      </c>
      <c r="AX377" s="24"/>
      <c r="AY377" s="24"/>
      <c r="AZ377" s="24"/>
      <c r="BA377" s="24"/>
      <c r="BC377" s="24"/>
      <c r="BD377" s="24"/>
      <c r="BE377" s="24"/>
      <c r="BF377" s="24"/>
      <c r="BH377" s="24"/>
      <c r="BI377" s="24"/>
      <c r="BJ377" s="24"/>
      <c r="BK377" s="24"/>
      <c r="BM377" s="24"/>
      <c r="BN377" s="24"/>
      <c r="BO377" s="24"/>
      <c r="BP377" s="24"/>
      <c r="BR377" s="24"/>
      <c r="BS377" s="24"/>
      <c r="BT377" s="24"/>
      <c r="BU377" s="24"/>
      <c r="BW377" s="24"/>
      <c r="BX377" s="24"/>
      <c r="BY377" s="24"/>
      <c r="BZ377" s="24"/>
      <c r="CB377" s="24">
        <v>45887.565341469905</v>
      </c>
      <c r="CC377" s="24">
        <v>45887.565341469905</v>
      </c>
      <c r="CD377">
        <v>1</v>
      </c>
      <c r="CE377" s="24"/>
      <c r="CF377" s="24"/>
      <c r="CH377" s="24"/>
      <c r="CI377" s="24"/>
      <c r="CJ377" s="24"/>
      <c r="CK377" s="24"/>
      <c r="DE377" s="24"/>
      <c r="DF377" s="24"/>
      <c r="DG377" s="24"/>
      <c r="DH377" s="24"/>
      <c r="DJ377" t="s">
        <v>149</v>
      </c>
      <c r="DK377" t="s">
        <v>149</v>
      </c>
      <c r="DQ377" t="s">
        <v>1000</v>
      </c>
      <c r="DR377" t="s">
        <v>149</v>
      </c>
      <c r="DS377" s="24">
        <v>46160.384426226854</v>
      </c>
    </row>
    <row r="378" spans="1:123" x14ac:dyDescent="0.3">
      <c r="A378" t="s">
        <v>628</v>
      </c>
      <c r="D378" t="s">
        <v>223</v>
      </c>
      <c r="E378" s="24">
        <v>45873.577476851853</v>
      </c>
      <c r="G378" t="s">
        <v>150</v>
      </c>
      <c r="H378" t="s">
        <v>155</v>
      </c>
      <c r="I378" s="24"/>
      <c r="J378" s="24"/>
      <c r="K378" s="24"/>
      <c r="L378" s="24"/>
      <c r="N378" s="24"/>
      <c r="O378" s="24"/>
      <c r="P378" s="24"/>
      <c r="Q378" s="24"/>
      <c r="V378" s="24"/>
      <c r="W378" s="24"/>
      <c r="X378" s="24"/>
      <c r="Y378" s="24"/>
      <c r="AA378" s="24">
        <v>45883.402791469911</v>
      </c>
      <c r="AB378" s="24">
        <v>45883.402791469911</v>
      </c>
      <c r="AC378" s="24">
        <v>45883.405186111115</v>
      </c>
      <c r="AD378" s="24">
        <v>45883.405186111115</v>
      </c>
      <c r="AE378">
        <v>1</v>
      </c>
      <c r="AF378" s="24"/>
      <c r="AG378" s="24"/>
      <c r="AH378" s="24"/>
      <c r="AI378" s="24"/>
      <c r="AK378" s="24"/>
      <c r="AL378" s="24"/>
      <c r="AM378" s="24"/>
      <c r="AN378" s="24"/>
      <c r="AP378" s="24"/>
      <c r="AQ378" s="24"/>
      <c r="AR378" s="24">
        <v>45874.541179305554</v>
      </c>
      <c r="AS378" s="24">
        <v>45874.541179305554</v>
      </c>
      <c r="AX378" s="24"/>
      <c r="AY378" s="24"/>
      <c r="AZ378" s="24"/>
      <c r="BA378" s="24"/>
      <c r="BC378" s="24"/>
      <c r="BD378" s="24"/>
      <c r="BE378" s="24"/>
      <c r="BF378" s="24"/>
      <c r="BH378" s="24">
        <v>45874.541231041665</v>
      </c>
      <c r="BI378" s="24">
        <v>45874.541231041665</v>
      </c>
      <c r="BJ378" s="24">
        <v>45883.402791469911</v>
      </c>
      <c r="BK378" s="24">
        <v>45883.402791469911</v>
      </c>
      <c r="BL378">
        <v>1</v>
      </c>
      <c r="BM378" s="24"/>
      <c r="BN378" s="24"/>
      <c r="BO378" s="24"/>
      <c r="BP378" s="24"/>
      <c r="BR378" s="24">
        <v>45883.405186111115</v>
      </c>
      <c r="BS378" s="24">
        <v>45883.405186111115</v>
      </c>
      <c r="BT378" s="24">
        <v>45883.405381747689</v>
      </c>
      <c r="BU378" s="24">
        <v>45883.405381747689</v>
      </c>
      <c r="BV378">
        <v>1</v>
      </c>
      <c r="BW378" s="24">
        <v>45874.541179305554</v>
      </c>
      <c r="BX378" s="24">
        <v>45874.541179305554</v>
      </c>
      <c r="BY378" s="24">
        <v>45874.541231041665</v>
      </c>
      <c r="BZ378" s="24">
        <v>45874.541231041665</v>
      </c>
      <c r="CA378">
        <v>1</v>
      </c>
      <c r="CB378" s="24">
        <v>45883.405381747689</v>
      </c>
      <c r="CC378" s="24">
        <v>45883.405381747689</v>
      </c>
      <c r="CD378">
        <v>1</v>
      </c>
      <c r="CE378" s="24"/>
      <c r="CF378" s="24"/>
      <c r="CH378" s="24"/>
      <c r="CI378" s="24"/>
      <c r="CJ378" s="24"/>
      <c r="CK378" s="24"/>
      <c r="DE378" s="24"/>
      <c r="DF378" s="24"/>
      <c r="DG378" s="24"/>
      <c r="DH378" s="24"/>
      <c r="DJ378" t="s">
        <v>149</v>
      </c>
      <c r="DK378" t="s">
        <v>149</v>
      </c>
      <c r="DQ378" t="s">
        <v>1000</v>
      </c>
      <c r="DR378" t="s">
        <v>149</v>
      </c>
      <c r="DS378" s="24">
        <v>46160.384426226854</v>
      </c>
    </row>
    <row r="379" spans="1:123" x14ac:dyDescent="0.3">
      <c r="A379" t="s">
        <v>629</v>
      </c>
      <c r="D379" t="s">
        <v>225</v>
      </c>
      <c r="E379" s="24">
        <v>45873.481064814812</v>
      </c>
      <c r="G379" t="s">
        <v>90</v>
      </c>
      <c r="H379" t="s">
        <v>155</v>
      </c>
      <c r="I379" s="24"/>
      <c r="J379" s="24"/>
      <c r="K379" s="24"/>
      <c r="L379" s="24"/>
      <c r="N379" s="24"/>
      <c r="O379" s="24"/>
      <c r="P379" s="24"/>
      <c r="Q379" s="24"/>
      <c r="V379" s="24"/>
      <c r="W379" s="24"/>
      <c r="X379" s="24"/>
      <c r="Y379" s="24"/>
      <c r="AA379" s="24">
        <v>45882.325197569444</v>
      </c>
      <c r="AB379" s="24">
        <v>45882.325197569444</v>
      </c>
      <c r="AC379" s="24">
        <v>45882.348600324076</v>
      </c>
      <c r="AD379" s="24">
        <v>45882.348600324076</v>
      </c>
      <c r="AE379">
        <v>1</v>
      </c>
      <c r="AF379" s="24">
        <v>45882.348600324076</v>
      </c>
      <c r="AG379" s="24">
        <v>45882.348600324076</v>
      </c>
      <c r="AH379" s="24">
        <v>45883.519175856483</v>
      </c>
      <c r="AI379" s="24">
        <v>45883.519175856483</v>
      </c>
      <c r="AJ379">
        <v>1</v>
      </c>
      <c r="AK379" s="24">
        <v>45883.519175856483</v>
      </c>
      <c r="AL379" s="24">
        <v>45883.519175856483</v>
      </c>
      <c r="AM379" s="24">
        <v>45883.671798217591</v>
      </c>
      <c r="AN379" s="24">
        <v>45883.671798217591</v>
      </c>
      <c r="AO379">
        <v>1</v>
      </c>
      <c r="AP379" s="24"/>
      <c r="AQ379" s="24"/>
      <c r="AR379" s="24">
        <v>45874.560035613424</v>
      </c>
      <c r="AS379" s="24">
        <v>45874.560035613424</v>
      </c>
      <c r="AX379" s="24"/>
      <c r="AY379" s="24"/>
      <c r="AZ379" s="24"/>
      <c r="BA379" s="24"/>
      <c r="BC379" s="24">
        <v>45883.671985578701</v>
      </c>
      <c r="BD379" s="24">
        <v>45883.671985578701</v>
      </c>
      <c r="BE379" s="24">
        <v>45887.685781250002</v>
      </c>
      <c r="BF379" s="24">
        <v>45887.685781250002</v>
      </c>
      <c r="BG379">
        <v>1</v>
      </c>
      <c r="BH379" s="24">
        <v>45874.560035613424</v>
      </c>
      <c r="BI379" s="24">
        <v>45874.560035613424</v>
      </c>
      <c r="BJ379" s="24">
        <v>45882.325197569444</v>
      </c>
      <c r="BK379" s="24">
        <v>45882.325197569444</v>
      </c>
      <c r="BL379">
        <v>1</v>
      </c>
      <c r="BM379" s="24"/>
      <c r="BN379" s="24"/>
      <c r="BO379" s="24"/>
      <c r="BP379" s="24"/>
      <c r="BR379" s="24">
        <v>45883.671798217591</v>
      </c>
      <c r="BS379" s="24">
        <v>45883.671798217591</v>
      </c>
      <c r="BT379" s="24">
        <v>45883.671985578701</v>
      </c>
      <c r="BU379" s="24">
        <v>45883.671985578701</v>
      </c>
      <c r="BV379">
        <v>1</v>
      </c>
      <c r="BW379" s="24"/>
      <c r="BX379" s="24"/>
      <c r="BY379" s="24"/>
      <c r="BZ379" s="24"/>
      <c r="CB379" s="24"/>
      <c r="CC379" s="24"/>
      <c r="CE379" s="24">
        <v>45887.685781250002</v>
      </c>
      <c r="CF379" s="24">
        <v>45887.685781250002</v>
      </c>
      <c r="CG379">
        <v>1</v>
      </c>
      <c r="CH379" s="24"/>
      <c r="CI379" s="24"/>
      <c r="CJ379" s="24"/>
      <c r="CK379" s="24"/>
      <c r="DE379" s="24"/>
      <c r="DF379" s="24"/>
      <c r="DG379" s="24"/>
      <c r="DH379" s="24"/>
      <c r="DJ379" t="s">
        <v>149</v>
      </c>
      <c r="DK379" t="s">
        <v>149</v>
      </c>
      <c r="DM379">
        <v>14</v>
      </c>
      <c r="DN379">
        <v>6</v>
      </c>
      <c r="DQ379" t="s">
        <v>1000</v>
      </c>
      <c r="DR379" t="s">
        <v>149</v>
      </c>
      <c r="DS379" s="24">
        <v>46160.384426226854</v>
      </c>
    </row>
    <row r="380" spans="1:123" x14ac:dyDescent="0.3">
      <c r="A380" t="s">
        <v>630</v>
      </c>
      <c r="D380" t="s">
        <v>225</v>
      </c>
      <c r="E380" s="24">
        <v>45873.479930555557</v>
      </c>
      <c r="G380" t="s">
        <v>90</v>
      </c>
      <c r="H380" t="s">
        <v>155</v>
      </c>
      <c r="I380" s="24"/>
      <c r="J380" s="24"/>
      <c r="K380" s="24"/>
      <c r="L380" s="24"/>
      <c r="N380" s="24"/>
      <c r="O380" s="24"/>
      <c r="P380" s="24"/>
      <c r="Q380" s="24"/>
      <c r="V380" s="24"/>
      <c r="W380" s="24"/>
      <c r="X380" s="24"/>
      <c r="Y380" s="24"/>
      <c r="AA380" s="24">
        <v>45883.586177604164</v>
      </c>
      <c r="AB380" s="24">
        <v>45883.586177604164</v>
      </c>
      <c r="AC380" s="24">
        <v>45886.538031875003</v>
      </c>
      <c r="AD380" s="24">
        <v>45886.538031875003</v>
      </c>
      <c r="AE380">
        <v>1</v>
      </c>
      <c r="AF380" s="24">
        <v>45886.538031875003</v>
      </c>
      <c r="AG380" s="24">
        <v>45886.538031875003</v>
      </c>
      <c r="AH380" s="24">
        <v>45887.666901863427</v>
      </c>
      <c r="AI380" s="24">
        <v>45887.666901863427</v>
      </c>
      <c r="AJ380">
        <v>1</v>
      </c>
      <c r="AK380" s="24">
        <v>45887.666901863427</v>
      </c>
      <c r="AL380" s="24">
        <v>45887.666901863427</v>
      </c>
      <c r="AM380" s="24">
        <v>45887.666944097225</v>
      </c>
      <c r="AN380" s="24">
        <v>45887.666944097225</v>
      </c>
      <c r="AO380">
        <v>1</v>
      </c>
      <c r="AP380" s="24"/>
      <c r="AQ380" s="24"/>
      <c r="AR380" s="24">
        <v>45874.559614861108</v>
      </c>
      <c r="AS380" s="24">
        <v>45874.559614861108</v>
      </c>
      <c r="AX380" s="24"/>
      <c r="AY380" s="24"/>
      <c r="AZ380" s="24"/>
      <c r="BA380" s="24"/>
      <c r="BC380" s="24">
        <v>45887.667021550929</v>
      </c>
      <c r="BD380" s="24">
        <v>45887.667021550929</v>
      </c>
      <c r="BE380" s="24">
        <v>45887.685781238426</v>
      </c>
      <c r="BF380" s="24">
        <v>45887.685781238426</v>
      </c>
      <c r="BG380">
        <v>1</v>
      </c>
      <c r="BH380" s="24">
        <v>45874.559614861108</v>
      </c>
      <c r="BI380" s="24">
        <v>45874.559614861108</v>
      </c>
      <c r="BJ380" s="24">
        <v>45883.586177604164</v>
      </c>
      <c r="BK380" s="24">
        <v>45883.586177604164</v>
      </c>
      <c r="BL380">
        <v>1</v>
      </c>
      <c r="BM380" s="24"/>
      <c r="BN380" s="24"/>
      <c r="BO380" s="24"/>
      <c r="BP380" s="24"/>
      <c r="BR380" s="24">
        <v>45887.666944097225</v>
      </c>
      <c r="BS380" s="24">
        <v>45887.666944097225</v>
      </c>
      <c r="BT380" s="24">
        <v>45887.667021550929</v>
      </c>
      <c r="BU380" s="24">
        <v>45887.667021550929</v>
      </c>
      <c r="BV380">
        <v>1</v>
      </c>
      <c r="BW380" s="24"/>
      <c r="BX380" s="24"/>
      <c r="BY380" s="24"/>
      <c r="BZ380" s="24"/>
      <c r="CB380" s="24"/>
      <c r="CC380" s="24"/>
      <c r="CE380" s="24">
        <v>45887.685781238426</v>
      </c>
      <c r="CF380" s="24">
        <v>45887.685781238426</v>
      </c>
      <c r="CG380">
        <v>1</v>
      </c>
      <c r="CH380" s="24"/>
      <c r="CI380" s="24"/>
      <c r="CJ380" s="24"/>
      <c r="CK380" s="24"/>
      <c r="DE380" s="24"/>
      <c r="DF380" s="24"/>
      <c r="DG380" s="24"/>
      <c r="DH380" s="24"/>
      <c r="DJ380" t="s">
        <v>149</v>
      </c>
      <c r="DK380" t="s">
        <v>149</v>
      </c>
      <c r="DM380">
        <v>14</v>
      </c>
      <c r="DN380">
        <v>5</v>
      </c>
      <c r="DQ380" t="s">
        <v>1000</v>
      </c>
      <c r="DR380" t="s">
        <v>149</v>
      </c>
      <c r="DS380" s="24">
        <v>46160.384426226854</v>
      </c>
    </row>
    <row r="381" spans="1:123" x14ac:dyDescent="0.3">
      <c r="A381" t="s">
        <v>631</v>
      </c>
      <c r="D381" t="s">
        <v>223</v>
      </c>
      <c r="E381" s="24">
        <v>45873.424131944441</v>
      </c>
      <c r="G381" t="s">
        <v>90</v>
      </c>
      <c r="H381" t="s">
        <v>155</v>
      </c>
      <c r="I381" s="24"/>
      <c r="J381" s="24"/>
      <c r="K381" s="24"/>
      <c r="L381" s="24"/>
      <c r="N381" s="24">
        <v>45902.399148402779</v>
      </c>
      <c r="O381" s="24">
        <v>45902.399148402779</v>
      </c>
      <c r="P381" s="24">
        <v>45909.404084363428</v>
      </c>
      <c r="Q381" s="24">
        <v>45909.404084363428</v>
      </c>
      <c r="R381">
        <v>1</v>
      </c>
      <c r="V381" s="24"/>
      <c r="W381" s="24"/>
      <c r="X381" s="24"/>
      <c r="Y381" s="24"/>
      <c r="AA381" s="24">
        <v>45909.404084363428</v>
      </c>
      <c r="AB381" s="24">
        <v>45898.401379768518</v>
      </c>
      <c r="AC381" s="24">
        <v>45902.399148402779</v>
      </c>
      <c r="AD381" s="24">
        <v>45915.415110706017</v>
      </c>
      <c r="AE381">
        <v>2</v>
      </c>
      <c r="AF381" s="24">
        <v>45915.415110706017</v>
      </c>
      <c r="AG381" s="24">
        <v>45915.415110706017</v>
      </c>
      <c r="AH381" s="24">
        <v>45915.415278877314</v>
      </c>
      <c r="AI381" s="24">
        <v>45915.415278877314</v>
      </c>
      <c r="AJ381">
        <v>1</v>
      </c>
      <c r="AK381" s="24"/>
      <c r="AL381" s="24"/>
      <c r="AM381" s="24"/>
      <c r="AN381" s="24"/>
      <c r="AP381" s="24">
        <v>45874.574756608796</v>
      </c>
      <c r="AQ381" s="24">
        <v>45874.574756608796</v>
      </c>
      <c r="AR381" s="24">
        <v>45898.401144594907</v>
      </c>
      <c r="AS381" s="24">
        <v>45898.401144594907</v>
      </c>
      <c r="AT381">
        <v>1</v>
      </c>
      <c r="AX381" s="24"/>
      <c r="AY381" s="24"/>
      <c r="AZ381" s="24"/>
      <c r="BA381" s="24"/>
      <c r="BC381" s="24"/>
      <c r="BD381" s="24"/>
      <c r="BE381" s="24"/>
      <c r="BF381" s="24"/>
      <c r="BH381" s="24">
        <v>45898.401144594907</v>
      </c>
      <c r="BI381" s="24">
        <v>45898.401144594907</v>
      </c>
      <c r="BJ381" s="24">
        <v>45898.401379768518</v>
      </c>
      <c r="BK381" s="24">
        <v>45898.401379768518</v>
      </c>
      <c r="BL381">
        <v>1</v>
      </c>
      <c r="BM381" s="24"/>
      <c r="BN381" s="24"/>
      <c r="BO381" s="24"/>
      <c r="BP381" s="24"/>
      <c r="BR381" s="24">
        <v>45915.415278877314</v>
      </c>
      <c r="BS381" s="24">
        <v>45915.415278877314</v>
      </c>
      <c r="BT381" s="24">
        <v>45915.415321828703</v>
      </c>
      <c r="BU381" s="24">
        <v>45915.415321828703</v>
      </c>
      <c r="BV381">
        <v>1</v>
      </c>
      <c r="BW381" s="24"/>
      <c r="BX381" s="24"/>
      <c r="BY381" s="24"/>
      <c r="BZ381" s="24"/>
      <c r="CB381" s="24"/>
      <c r="CC381" s="24"/>
      <c r="CE381" s="24">
        <v>45915.415321828703</v>
      </c>
      <c r="CF381" s="24">
        <v>45915.415321828703</v>
      </c>
      <c r="CG381">
        <v>1</v>
      </c>
      <c r="CH381" s="24"/>
      <c r="CI381" s="24"/>
      <c r="CJ381" s="24"/>
      <c r="CK381" s="24"/>
      <c r="DE381" s="24"/>
      <c r="DF381" s="24"/>
      <c r="DG381" s="24"/>
      <c r="DH381" s="24"/>
      <c r="DJ381" t="s">
        <v>149</v>
      </c>
      <c r="DK381" t="s">
        <v>149</v>
      </c>
      <c r="DL381">
        <v>7.0049358796296293</v>
      </c>
      <c r="DM381">
        <v>18</v>
      </c>
      <c r="DN381">
        <v>18</v>
      </c>
      <c r="DQ381" t="s">
        <v>1000</v>
      </c>
      <c r="DR381" t="s">
        <v>149</v>
      </c>
      <c r="DS381" s="24">
        <v>46160.384426226854</v>
      </c>
    </row>
    <row r="382" spans="1:123" x14ac:dyDescent="0.3">
      <c r="A382" t="s">
        <v>632</v>
      </c>
      <c r="D382" t="s">
        <v>223</v>
      </c>
      <c r="E382" s="24">
        <v>45873.422256944446</v>
      </c>
      <c r="G382" t="s">
        <v>90</v>
      </c>
      <c r="H382" t="s">
        <v>155</v>
      </c>
      <c r="I382" s="24"/>
      <c r="J382" s="24"/>
      <c r="K382" s="24"/>
      <c r="L382" s="24"/>
      <c r="N382" s="24"/>
      <c r="O382" s="24"/>
      <c r="P382" s="24"/>
      <c r="Q382" s="24"/>
      <c r="V382" s="24"/>
      <c r="W382" s="24"/>
      <c r="X382" s="24"/>
      <c r="Y382" s="24"/>
      <c r="AA382" s="24">
        <v>45875.406244768521</v>
      </c>
      <c r="AB382" s="24">
        <v>45875.406244768521</v>
      </c>
      <c r="AC382" s="24">
        <v>45888.479278217594</v>
      </c>
      <c r="AD382" s="24">
        <v>45888.479278217594</v>
      </c>
      <c r="AE382">
        <v>1</v>
      </c>
      <c r="AF382" s="24"/>
      <c r="AG382" s="24"/>
      <c r="AH382" s="24"/>
      <c r="AI382" s="24"/>
      <c r="AK382" s="24"/>
      <c r="AL382" s="24"/>
      <c r="AM382" s="24"/>
      <c r="AN382" s="24"/>
      <c r="AP382" s="24"/>
      <c r="AQ382" s="24"/>
      <c r="AR382" s="24">
        <v>45874.574469594911</v>
      </c>
      <c r="AS382" s="24">
        <v>45874.574469594911</v>
      </c>
      <c r="AX382" s="24"/>
      <c r="AY382" s="24"/>
      <c r="AZ382" s="24"/>
      <c r="BA382" s="24"/>
      <c r="BC382" s="24"/>
      <c r="BD382" s="24"/>
      <c r="BE382" s="24"/>
      <c r="BF382" s="24"/>
      <c r="BH382" s="24">
        <v>45874.574469594911</v>
      </c>
      <c r="BI382" s="24">
        <v>45874.574469594911</v>
      </c>
      <c r="BJ382" s="24">
        <v>45875.406244768521</v>
      </c>
      <c r="BK382" s="24">
        <v>45875.406244768521</v>
      </c>
      <c r="BL382">
        <v>1</v>
      </c>
      <c r="BM382" s="24"/>
      <c r="BN382" s="24"/>
      <c r="BO382" s="24"/>
      <c r="BP382" s="24"/>
      <c r="BR382" s="24"/>
      <c r="BS382" s="24"/>
      <c r="BT382" s="24"/>
      <c r="BU382" s="24"/>
      <c r="BW382" s="24"/>
      <c r="BX382" s="24"/>
      <c r="BY382" s="24"/>
      <c r="BZ382" s="24"/>
      <c r="CB382" s="24"/>
      <c r="CC382" s="24"/>
      <c r="CE382" s="24">
        <v>45888.479278217594</v>
      </c>
      <c r="CF382" s="24">
        <v>45888.479278217594</v>
      </c>
      <c r="CG382">
        <v>1</v>
      </c>
      <c r="CH382" s="24"/>
      <c r="CI382" s="24"/>
      <c r="CJ382" s="24"/>
      <c r="CK382" s="24"/>
      <c r="DE382" s="24"/>
      <c r="DF382" s="24"/>
      <c r="DG382" s="24"/>
      <c r="DH382" s="24"/>
      <c r="DJ382" t="s">
        <v>149</v>
      </c>
      <c r="DK382" t="s">
        <v>149</v>
      </c>
      <c r="DM382">
        <v>14</v>
      </c>
      <c r="DN382">
        <v>14</v>
      </c>
      <c r="DQ382" t="s">
        <v>1000</v>
      </c>
      <c r="DR382" t="s">
        <v>149</v>
      </c>
      <c r="DS382" s="24">
        <v>46160.384426226854</v>
      </c>
    </row>
    <row r="383" spans="1:123" x14ac:dyDescent="0.3">
      <c r="A383" t="s">
        <v>633</v>
      </c>
      <c r="D383" t="s">
        <v>223</v>
      </c>
      <c r="E383" s="24">
        <v>45873.36141203704</v>
      </c>
      <c r="G383" t="s">
        <v>90</v>
      </c>
      <c r="H383" t="s">
        <v>155</v>
      </c>
      <c r="I383" s="24"/>
      <c r="J383" s="24"/>
      <c r="K383" s="24"/>
      <c r="L383" s="24"/>
      <c r="N383" s="24"/>
      <c r="O383" s="24"/>
      <c r="P383" s="24"/>
      <c r="Q383" s="24"/>
      <c r="V383" s="24"/>
      <c r="W383" s="24"/>
      <c r="X383" s="24"/>
      <c r="Y383" s="24"/>
      <c r="AA383" s="24">
        <v>45890.348462511574</v>
      </c>
      <c r="AB383" s="24">
        <v>45890.348462511574</v>
      </c>
      <c r="AC383" s="24">
        <v>45890.354488136574</v>
      </c>
      <c r="AD383" s="24">
        <v>45890.354488136574</v>
      </c>
      <c r="AE383">
        <v>1</v>
      </c>
      <c r="AF383" s="24">
        <v>45890.354488136574</v>
      </c>
      <c r="AG383" s="24">
        <v>45890.354488136574</v>
      </c>
      <c r="AH383" s="24">
        <v>45890.553119432872</v>
      </c>
      <c r="AI383" s="24">
        <v>45890.553119432872</v>
      </c>
      <c r="AJ383">
        <v>1</v>
      </c>
      <c r="AK383" s="24"/>
      <c r="AL383" s="24"/>
      <c r="AM383" s="24"/>
      <c r="AN383" s="24"/>
      <c r="AP383" s="24"/>
      <c r="AQ383" s="24"/>
      <c r="AR383" s="24">
        <v>45890.348419675924</v>
      </c>
      <c r="AS383" s="24">
        <v>45890.348419675924</v>
      </c>
      <c r="AX383" s="24"/>
      <c r="AY383" s="24"/>
      <c r="AZ383" s="24"/>
      <c r="BA383" s="24"/>
      <c r="BC383" s="24"/>
      <c r="BD383" s="24"/>
      <c r="BE383" s="24"/>
      <c r="BF383" s="24"/>
      <c r="BH383" s="24">
        <v>45890.348419675924</v>
      </c>
      <c r="BI383" s="24">
        <v>45890.348419675924</v>
      </c>
      <c r="BJ383" s="24">
        <v>45890.348462511574</v>
      </c>
      <c r="BK383" s="24">
        <v>45890.348462511574</v>
      </c>
      <c r="BL383">
        <v>1</v>
      </c>
      <c r="BM383" s="24"/>
      <c r="BN383" s="24"/>
      <c r="BO383" s="24"/>
      <c r="BP383" s="24"/>
      <c r="BR383" s="24">
        <v>45890.553119432872</v>
      </c>
      <c r="BS383" s="24">
        <v>45890.553119432872</v>
      </c>
      <c r="BT383" s="24">
        <v>45891.405709548613</v>
      </c>
      <c r="BU383" s="24">
        <v>45891.405709548613</v>
      </c>
      <c r="BV383">
        <v>1</v>
      </c>
      <c r="BW383" s="24"/>
      <c r="BX383" s="24"/>
      <c r="BY383" s="24"/>
      <c r="BZ383" s="24"/>
      <c r="CB383" s="24"/>
      <c r="CC383" s="24"/>
      <c r="CE383" s="24">
        <v>45891.405709548613</v>
      </c>
      <c r="CF383" s="24">
        <v>45891.405709548613</v>
      </c>
      <c r="CG383">
        <v>1</v>
      </c>
      <c r="CH383" s="24"/>
      <c r="CI383" s="24"/>
      <c r="CJ383" s="24"/>
      <c r="CK383" s="24"/>
      <c r="DE383" s="24"/>
      <c r="DF383" s="24"/>
      <c r="DG383" s="24"/>
      <c r="DH383" s="24"/>
      <c r="DJ383" t="s">
        <v>149</v>
      </c>
      <c r="DK383" t="s">
        <v>149</v>
      </c>
      <c r="DM383">
        <v>2</v>
      </c>
      <c r="DN383">
        <v>2</v>
      </c>
      <c r="DQ383" t="s">
        <v>1000</v>
      </c>
      <c r="DR383" t="s">
        <v>149</v>
      </c>
      <c r="DS383" s="24">
        <v>46160.384426226854</v>
      </c>
    </row>
    <row r="384" spans="1:123" x14ac:dyDescent="0.3">
      <c r="A384" t="s">
        <v>634</v>
      </c>
      <c r="D384" t="s">
        <v>223</v>
      </c>
      <c r="E384" s="24">
        <v>45870.593506944446</v>
      </c>
      <c r="G384" t="s">
        <v>90</v>
      </c>
      <c r="H384" t="s">
        <v>155</v>
      </c>
      <c r="I384" s="24"/>
      <c r="J384" s="24"/>
      <c r="K384" s="24"/>
      <c r="L384" s="24"/>
      <c r="N384" s="24"/>
      <c r="O384" s="24"/>
      <c r="P384" s="24"/>
      <c r="Q384" s="24"/>
      <c r="V384" s="24"/>
      <c r="W384" s="24"/>
      <c r="X384" s="24"/>
      <c r="Y384" s="24"/>
      <c r="AA384" s="24">
        <v>45889.432406631946</v>
      </c>
      <c r="AB384" s="24">
        <v>45889.432406631946</v>
      </c>
      <c r="AC384" s="24">
        <v>45901.361274745374</v>
      </c>
      <c r="AD384" s="24">
        <v>45901.361274745374</v>
      </c>
      <c r="AE384">
        <v>1</v>
      </c>
      <c r="AF384" s="24">
        <v>45901.361274745374</v>
      </c>
      <c r="AG384" s="24">
        <v>45901.361274745374</v>
      </c>
      <c r="AH384" s="24">
        <v>45901.361323310186</v>
      </c>
      <c r="AI384" s="24">
        <v>45901.361323310186</v>
      </c>
      <c r="AJ384">
        <v>1</v>
      </c>
      <c r="AK384" s="24"/>
      <c r="AL384" s="24"/>
      <c r="AM384" s="24"/>
      <c r="AN384" s="24"/>
      <c r="AP384" s="24"/>
      <c r="AQ384" s="24"/>
      <c r="AR384" s="24">
        <v>45889.384239317129</v>
      </c>
      <c r="AS384" s="24">
        <v>45889.384239317129</v>
      </c>
      <c r="AX384" s="24"/>
      <c r="AY384" s="24"/>
      <c r="AZ384" s="24"/>
      <c r="BA384" s="24"/>
      <c r="BC384" s="24"/>
      <c r="BD384" s="24"/>
      <c r="BE384" s="24"/>
      <c r="BF384" s="24"/>
      <c r="BH384" s="24">
        <v>45889.384239317129</v>
      </c>
      <c r="BI384" s="24">
        <v>45889.384239317129</v>
      </c>
      <c r="BJ384" s="24">
        <v>45889.432406631946</v>
      </c>
      <c r="BK384" s="24">
        <v>45889.432406631946</v>
      </c>
      <c r="BL384">
        <v>1</v>
      </c>
      <c r="BM384" s="24"/>
      <c r="BN384" s="24"/>
      <c r="BO384" s="24"/>
      <c r="BP384" s="24"/>
      <c r="BR384" s="24">
        <v>45901.361323310186</v>
      </c>
      <c r="BS384" s="24">
        <v>45901.361323310186</v>
      </c>
      <c r="BT384" s="24">
        <v>45901.400454409719</v>
      </c>
      <c r="BU384" s="24">
        <v>45901.400454409719</v>
      </c>
      <c r="BV384">
        <v>1</v>
      </c>
      <c r="BW384" s="24"/>
      <c r="BX384" s="24"/>
      <c r="BY384" s="24"/>
      <c r="BZ384" s="24"/>
      <c r="CB384" s="24"/>
      <c r="CC384" s="24"/>
      <c r="CE384" s="24">
        <v>45901.400454409719</v>
      </c>
      <c r="CF384" s="24">
        <v>45901.400454409719</v>
      </c>
      <c r="CG384">
        <v>1</v>
      </c>
      <c r="CH384" s="24"/>
      <c r="CI384" s="24"/>
      <c r="CJ384" s="24"/>
      <c r="CK384" s="24"/>
      <c r="DE384" s="24"/>
      <c r="DF384" s="24"/>
      <c r="DG384" s="24"/>
      <c r="DH384" s="24"/>
      <c r="DJ384" t="s">
        <v>149</v>
      </c>
      <c r="DK384" t="s">
        <v>149</v>
      </c>
      <c r="DM384">
        <v>13</v>
      </c>
      <c r="DN384">
        <v>12</v>
      </c>
      <c r="DQ384" t="s">
        <v>1000</v>
      </c>
      <c r="DR384" t="s">
        <v>149</v>
      </c>
      <c r="DS384" s="24">
        <v>46160.384426226854</v>
      </c>
    </row>
    <row r="385" spans="1:123" x14ac:dyDescent="0.3">
      <c r="A385" t="s">
        <v>635</v>
      </c>
      <c r="D385" t="s">
        <v>223</v>
      </c>
      <c r="E385" s="24">
        <v>45870.457268518519</v>
      </c>
      <c r="G385" t="s">
        <v>90</v>
      </c>
      <c r="H385" t="s">
        <v>155</v>
      </c>
      <c r="I385" s="24"/>
      <c r="J385" s="24"/>
      <c r="K385" s="24"/>
      <c r="L385" s="24"/>
      <c r="N385" s="24"/>
      <c r="O385" s="24"/>
      <c r="P385" s="24"/>
      <c r="Q385" s="24"/>
      <c r="V385" s="24"/>
      <c r="W385" s="24"/>
      <c r="X385" s="24"/>
      <c r="Y385" s="24"/>
      <c r="AA385" s="24">
        <v>45875.405841863423</v>
      </c>
      <c r="AB385" s="24">
        <v>45875.405841863423</v>
      </c>
      <c r="AC385" s="24">
        <v>45881.407659236109</v>
      </c>
      <c r="AD385" s="24">
        <v>45881.407659236109</v>
      </c>
      <c r="AE385">
        <v>1</v>
      </c>
      <c r="AF385" s="24"/>
      <c r="AG385" s="24"/>
      <c r="AH385" s="24"/>
      <c r="AI385" s="24"/>
      <c r="AK385" s="24"/>
      <c r="AL385" s="24"/>
      <c r="AM385" s="24"/>
      <c r="AN385" s="24"/>
      <c r="AP385" s="24"/>
      <c r="AQ385" s="24"/>
      <c r="AR385" s="24">
        <v>45875.405799722219</v>
      </c>
      <c r="AS385" s="24">
        <v>45875.405799722219</v>
      </c>
      <c r="AX385" s="24"/>
      <c r="AY385" s="24"/>
      <c r="AZ385" s="24"/>
      <c r="BA385" s="24"/>
      <c r="BC385" s="24"/>
      <c r="BD385" s="24"/>
      <c r="BE385" s="24"/>
      <c r="BF385" s="24"/>
      <c r="BH385" s="24">
        <v>45875.405799722219</v>
      </c>
      <c r="BI385" s="24">
        <v>45875.405799722219</v>
      </c>
      <c r="BJ385" s="24">
        <v>45875.405841863423</v>
      </c>
      <c r="BK385" s="24">
        <v>45875.405841863423</v>
      </c>
      <c r="BL385">
        <v>1</v>
      </c>
      <c r="BM385" s="24"/>
      <c r="BN385" s="24"/>
      <c r="BO385" s="24"/>
      <c r="BP385" s="24"/>
      <c r="BR385" s="24">
        <v>45881.407659236109</v>
      </c>
      <c r="BS385" s="24">
        <v>45881.407659236109</v>
      </c>
      <c r="BT385" s="24">
        <v>45881.40804978009</v>
      </c>
      <c r="BU385" s="24">
        <v>45881.40804978009</v>
      </c>
      <c r="BV385">
        <v>1</v>
      </c>
      <c r="BW385" s="24"/>
      <c r="BX385" s="24"/>
      <c r="BY385" s="24"/>
      <c r="BZ385" s="24"/>
      <c r="CB385" s="24"/>
      <c r="CC385" s="24"/>
      <c r="CE385" s="24">
        <v>45881.40804978009</v>
      </c>
      <c r="CF385" s="24">
        <v>45881.40804978009</v>
      </c>
      <c r="CG385">
        <v>1</v>
      </c>
      <c r="CH385" s="24"/>
      <c r="CI385" s="24"/>
      <c r="CJ385" s="24"/>
      <c r="CK385" s="24"/>
      <c r="DE385" s="24"/>
      <c r="DF385" s="24"/>
      <c r="DG385" s="24"/>
      <c r="DH385" s="24"/>
      <c r="DJ385" t="s">
        <v>149</v>
      </c>
      <c r="DK385" t="s">
        <v>149</v>
      </c>
      <c r="DM385">
        <v>7</v>
      </c>
      <c r="DN385">
        <v>7</v>
      </c>
      <c r="DQ385" t="s">
        <v>1000</v>
      </c>
      <c r="DR385" t="s">
        <v>149</v>
      </c>
      <c r="DS385" s="24">
        <v>46160.384426226854</v>
      </c>
    </row>
    <row r="386" spans="1:123" x14ac:dyDescent="0.3">
      <c r="A386" t="s">
        <v>636</v>
      </c>
      <c r="D386" t="s">
        <v>225</v>
      </c>
      <c r="E386" s="24">
        <v>45870.426805555559</v>
      </c>
      <c r="G386" t="s">
        <v>90</v>
      </c>
      <c r="H386" t="s">
        <v>155</v>
      </c>
      <c r="I386" s="24"/>
      <c r="J386" s="24"/>
      <c r="K386" s="24"/>
      <c r="L386" s="24"/>
      <c r="N386" s="24"/>
      <c r="O386" s="24"/>
      <c r="P386" s="24"/>
      <c r="Q386" s="24"/>
      <c r="V386" s="24"/>
      <c r="W386" s="24"/>
      <c r="X386" s="24"/>
      <c r="Y386" s="24"/>
      <c r="AA386" s="24">
        <v>45873.410755138888</v>
      </c>
      <c r="AB386" s="24">
        <v>45873.410755138888</v>
      </c>
      <c r="AC386" s="24">
        <v>45874.4551597338</v>
      </c>
      <c r="AD386" s="24">
        <v>45874.4551597338</v>
      </c>
      <c r="AE386">
        <v>1</v>
      </c>
      <c r="AF386" s="24"/>
      <c r="AG386" s="24"/>
      <c r="AH386" s="24"/>
      <c r="AI386" s="24"/>
      <c r="AK386" s="24"/>
      <c r="AL386" s="24"/>
      <c r="AM386" s="24"/>
      <c r="AN386" s="24"/>
      <c r="AP386" s="24"/>
      <c r="AQ386" s="24"/>
      <c r="AR386" s="24">
        <v>45870.495398969906</v>
      </c>
      <c r="AS386" s="24">
        <v>45870.495398969906</v>
      </c>
      <c r="AX386" s="24"/>
      <c r="AY386" s="24"/>
      <c r="AZ386" s="24"/>
      <c r="BA386" s="24"/>
      <c r="BC386" s="24">
        <v>45874.455306620373</v>
      </c>
      <c r="BD386" s="24">
        <v>45874.455306620373</v>
      </c>
      <c r="BE386" s="24">
        <v>45874.669521481483</v>
      </c>
      <c r="BF386" s="24">
        <v>45874.669521481483</v>
      </c>
      <c r="BG386">
        <v>1</v>
      </c>
      <c r="BH386" s="24">
        <v>45870.495398969906</v>
      </c>
      <c r="BI386" s="24">
        <v>45870.495398969906</v>
      </c>
      <c r="BJ386" s="24">
        <v>45873.410755138888</v>
      </c>
      <c r="BK386" s="24">
        <v>45873.410755138888</v>
      </c>
      <c r="BL386">
        <v>1</v>
      </c>
      <c r="BM386" s="24"/>
      <c r="BN386" s="24"/>
      <c r="BO386" s="24"/>
      <c r="BP386" s="24"/>
      <c r="BR386" s="24">
        <v>45874.4551597338</v>
      </c>
      <c r="BS386" s="24">
        <v>45874.4551597338</v>
      </c>
      <c r="BT386" s="24">
        <v>45874.455306620373</v>
      </c>
      <c r="BU386" s="24">
        <v>45874.455306620373</v>
      </c>
      <c r="BV386">
        <v>1</v>
      </c>
      <c r="BW386" s="24"/>
      <c r="BX386" s="24"/>
      <c r="BY386" s="24"/>
      <c r="BZ386" s="24"/>
      <c r="CB386" s="24"/>
      <c r="CC386" s="24"/>
      <c r="CE386" s="24">
        <v>45874.669521481483</v>
      </c>
      <c r="CF386" s="24">
        <v>45874.669521481483</v>
      </c>
      <c r="CG386">
        <v>1</v>
      </c>
      <c r="CH386" s="24"/>
      <c r="CI386" s="24"/>
      <c r="CJ386" s="24"/>
      <c r="CK386" s="24"/>
      <c r="DE386" s="24"/>
      <c r="DF386" s="24"/>
      <c r="DG386" s="24"/>
      <c r="DH386" s="24"/>
      <c r="DJ386" t="s">
        <v>149</v>
      </c>
      <c r="DK386" t="s">
        <v>149</v>
      </c>
      <c r="DM386">
        <v>5</v>
      </c>
      <c r="DN386">
        <v>2</v>
      </c>
      <c r="DQ386" t="s">
        <v>1000</v>
      </c>
      <c r="DR386" t="s">
        <v>149</v>
      </c>
      <c r="DS386" s="24">
        <v>46160.384426226854</v>
      </c>
    </row>
    <row r="387" spans="1:123" x14ac:dyDescent="0.3">
      <c r="A387" t="s">
        <v>637</v>
      </c>
      <c r="D387" t="s">
        <v>223</v>
      </c>
      <c r="E387" s="24">
        <v>45870.394467592596</v>
      </c>
      <c r="G387" t="s">
        <v>90</v>
      </c>
      <c r="H387" t="s">
        <v>155</v>
      </c>
      <c r="I387" s="24"/>
      <c r="J387" s="24"/>
      <c r="K387" s="24"/>
      <c r="L387" s="24"/>
      <c r="N387" s="24"/>
      <c r="O387" s="24"/>
      <c r="P387" s="24"/>
      <c r="Q387" s="24"/>
      <c r="V387" s="24"/>
      <c r="W387" s="24"/>
      <c r="X387" s="24"/>
      <c r="Y387" s="24"/>
      <c r="AA387" s="24">
        <v>45887.424982152777</v>
      </c>
      <c r="AB387" s="24">
        <v>45887.424982152777</v>
      </c>
      <c r="AC387" s="24">
        <v>45887.427854918984</v>
      </c>
      <c r="AD387" s="24">
        <v>45887.427854918984</v>
      </c>
      <c r="AE387">
        <v>1</v>
      </c>
      <c r="AF387" s="24">
        <v>45887.427854918984</v>
      </c>
      <c r="AG387" s="24">
        <v>45887.427854918984</v>
      </c>
      <c r="AH387" s="24">
        <v>45888.40867384259</v>
      </c>
      <c r="AI387" s="24">
        <v>45888.40867384259</v>
      </c>
      <c r="AJ387">
        <v>1</v>
      </c>
      <c r="AK387" s="24"/>
      <c r="AL387" s="24"/>
      <c r="AM387" s="24"/>
      <c r="AN387" s="24"/>
      <c r="AP387" s="24"/>
      <c r="AQ387" s="24"/>
      <c r="AR387" s="24">
        <v>45874.575047604165</v>
      </c>
      <c r="AS387" s="24">
        <v>45874.575047604165</v>
      </c>
      <c r="AX387" s="24"/>
      <c r="AY387" s="24"/>
      <c r="AZ387" s="24"/>
      <c r="BA387" s="24"/>
      <c r="BC387" s="24"/>
      <c r="BD387" s="24"/>
      <c r="BE387" s="24"/>
      <c r="BF387" s="24"/>
      <c r="BH387" s="24">
        <v>45874.575047604165</v>
      </c>
      <c r="BI387" s="24">
        <v>45874.575047604165</v>
      </c>
      <c r="BJ387" s="24">
        <v>45887.424982152777</v>
      </c>
      <c r="BK387" s="24">
        <v>45887.424982152777</v>
      </c>
      <c r="BL387">
        <v>1</v>
      </c>
      <c r="BM387" s="24"/>
      <c r="BN387" s="24"/>
      <c r="BO387" s="24"/>
      <c r="BP387" s="24"/>
      <c r="BR387" s="24">
        <v>45888.40867384259</v>
      </c>
      <c r="BS387" s="24">
        <v>45888.40867384259</v>
      </c>
      <c r="BT387" s="24">
        <v>45888.408774571762</v>
      </c>
      <c r="BU387" s="24">
        <v>45888.408774571762</v>
      </c>
      <c r="BV387">
        <v>1</v>
      </c>
      <c r="BW387" s="24"/>
      <c r="BX387" s="24"/>
      <c r="BY387" s="24"/>
      <c r="BZ387" s="24"/>
      <c r="CB387" s="24"/>
      <c r="CC387" s="24"/>
      <c r="CE387" s="24">
        <v>45888.408774571762</v>
      </c>
      <c r="CF387" s="24">
        <v>45888.408774571762</v>
      </c>
      <c r="CG387">
        <v>1</v>
      </c>
      <c r="CH387" s="24"/>
      <c r="CI387" s="24"/>
      <c r="CJ387" s="24"/>
      <c r="CK387" s="24"/>
      <c r="DE387" s="24"/>
      <c r="DF387" s="24"/>
      <c r="DG387" s="24"/>
      <c r="DH387" s="24"/>
      <c r="DJ387" t="s">
        <v>149</v>
      </c>
      <c r="DK387" t="s">
        <v>149</v>
      </c>
      <c r="DM387">
        <v>14</v>
      </c>
      <c r="DN387">
        <v>1</v>
      </c>
      <c r="DQ387" t="s">
        <v>1000</v>
      </c>
      <c r="DR387" t="s">
        <v>149</v>
      </c>
      <c r="DS387" s="24">
        <v>46160.384426226854</v>
      </c>
    </row>
    <row r="388" spans="1:123" x14ac:dyDescent="0.3">
      <c r="A388" t="s">
        <v>638</v>
      </c>
      <c r="D388" t="s">
        <v>223</v>
      </c>
      <c r="E388" s="24">
        <v>45870.379791666666</v>
      </c>
      <c r="G388" t="s">
        <v>150</v>
      </c>
      <c r="H388" t="s">
        <v>155</v>
      </c>
      <c r="I388" s="24"/>
      <c r="J388" s="24"/>
      <c r="K388" s="24"/>
      <c r="L388" s="24"/>
      <c r="N388" s="24"/>
      <c r="O388" s="24"/>
      <c r="P388" s="24"/>
      <c r="Q388" s="24"/>
      <c r="V388" s="24"/>
      <c r="W388" s="24"/>
      <c r="X388" s="24"/>
      <c r="Y388" s="24"/>
      <c r="AA388" s="24"/>
      <c r="AB388" s="24"/>
      <c r="AC388" s="24"/>
      <c r="AD388" s="24"/>
      <c r="AF388" s="24"/>
      <c r="AG388" s="24"/>
      <c r="AH388" s="24"/>
      <c r="AI388" s="24"/>
      <c r="AK388" s="24"/>
      <c r="AL388" s="24"/>
      <c r="AM388" s="24"/>
      <c r="AN388" s="24"/>
      <c r="AP388" s="24"/>
      <c r="AQ388" s="24"/>
      <c r="AR388" s="24">
        <v>46009.602716793983</v>
      </c>
      <c r="AS388" s="24">
        <v>46009.602716793983</v>
      </c>
      <c r="AX388" s="24"/>
      <c r="AY388" s="24"/>
      <c r="AZ388" s="24"/>
      <c r="BA388" s="24"/>
      <c r="BC388" s="24"/>
      <c r="BD388" s="24"/>
      <c r="BE388" s="24"/>
      <c r="BF388" s="24"/>
      <c r="BH388" s="24"/>
      <c r="BI388" s="24"/>
      <c r="BJ388" s="24"/>
      <c r="BK388" s="24"/>
      <c r="BM388" s="24"/>
      <c r="BN388" s="24"/>
      <c r="BO388" s="24"/>
      <c r="BP388" s="24"/>
      <c r="BR388" s="24"/>
      <c r="BS388" s="24"/>
      <c r="BT388" s="24"/>
      <c r="BU388" s="24"/>
      <c r="BW388" s="24"/>
      <c r="BX388" s="24"/>
      <c r="BY388" s="24"/>
      <c r="BZ388" s="24"/>
      <c r="CB388" s="24">
        <v>46009.602716793983</v>
      </c>
      <c r="CC388" s="24">
        <v>46009.602716793983</v>
      </c>
      <c r="CD388">
        <v>1</v>
      </c>
      <c r="CE388" s="24"/>
      <c r="CF388" s="24"/>
      <c r="CH388" s="24"/>
      <c r="CI388" s="24"/>
      <c r="CJ388" s="24"/>
      <c r="CK388" s="24"/>
      <c r="DE388" s="24"/>
      <c r="DF388" s="24"/>
      <c r="DG388" s="24"/>
      <c r="DH388" s="24"/>
      <c r="DJ388" t="s">
        <v>149</v>
      </c>
      <c r="DK388" t="s">
        <v>149</v>
      </c>
      <c r="DQ388" t="s">
        <v>1000</v>
      </c>
      <c r="DR388" t="s">
        <v>149</v>
      </c>
      <c r="DS388" s="24">
        <v>46160.384426226854</v>
      </c>
    </row>
    <row r="389" spans="1:123" x14ac:dyDescent="0.3">
      <c r="A389" t="s">
        <v>639</v>
      </c>
      <c r="D389" t="s">
        <v>223</v>
      </c>
      <c r="E389" s="24">
        <v>45870.368078703701</v>
      </c>
      <c r="G389" t="s">
        <v>90</v>
      </c>
      <c r="H389" t="s">
        <v>155</v>
      </c>
      <c r="I389" s="24"/>
      <c r="J389" s="24"/>
      <c r="K389" s="24"/>
      <c r="L389" s="24"/>
      <c r="N389" s="24">
        <v>45883.365709849539</v>
      </c>
      <c r="O389" s="24">
        <v>45883.365709849539</v>
      </c>
      <c r="P389" s="24">
        <v>45887.354787511576</v>
      </c>
      <c r="Q389" s="24">
        <v>45887.354787511576</v>
      </c>
      <c r="R389">
        <v>1</v>
      </c>
      <c r="V389" s="24"/>
      <c r="W389" s="24"/>
      <c r="X389" s="24"/>
      <c r="Y389" s="24"/>
      <c r="AA389" s="24">
        <v>45887.354787511576</v>
      </c>
      <c r="AB389" s="24">
        <v>45882.404649166667</v>
      </c>
      <c r="AC389" s="24">
        <v>45883.365709849539</v>
      </c>
      <c r="AD389" s="24">
        <v>45888.476571620369</v>
      </c>
      <c r="AE389">
        <v>2</v>
      </c>
      <c r="AF389" s="24"/>
      <c r="AG389" s="24"/>
      <c r="AH389" s="24"/>
      <c r="AI389" s="24"/>
      <c r="AK389" s="24"/>
      <c r="AL389" s="24"/>
      <c r="AM389" s="24"/>
      <c r="AN389" s="24"/>
      <c r="AP389" s="24"/>
      <c r="AQ389" s="24"/>
      <c r="AR389" s="24">
        <v>45874.559742476849</v>
      </c>
      <c r="AS389" s="24">
        <v>45874.559742476849</v>
      </c>
      <c r="AX389" s="24"/>
      <c r="AY389" s="24"/>
      <c r="AZ389" s="24"/>
      <c r="BA389" s="24"/>
      <c r="BC389" s="24"/>
      <c r="BD389" s="24"/>
      <c r="BE389" s="24"/>
      <c r="BF389" s="24"/>
      <c r="BH389" s="24">
        <v>45874.559742476849</v>
      </c>
      <c r="BI389" s="24">
        <v>45874.559742476849</v>
      </c>
      <c r="BJ389" s="24">
        <v>45882.404649166667</v>
      </c>
      <c r="BK389" s="24">
        <v>45882.404649166667</v>
      </c>
      <c r="BL389">
        <v>1</v>
      </c>
      <c r="BM389" s="24"/>
      <c r="BN389" s="24"/>
      <c r="BO389" s="24"/>
      <c r="BP389" s="24"/>
      <c r="BR389" s="24"/>
      <c r="BS389" s="24"/>
      <c r="BT389" s="24"/>
      <c r="BU389" s="24"/>
      <c r="BW389" s="24"/>
      <c r="BX389" s="24"/>
      <c r="BY389" s="24"/>
      <c r="BZ389" s="24"/>
      <c r="CB389" s="24"/>
      <c r="CC389" s="24"/>
      <c r="CE389" s="24">
        <v>45888.476571620369</v>
      </c>
      <c r="CF389" s="24">
        <v>45888.476571620369</v>
      </c>
      <c r="CG389">
        <v>1</v>
      </c>
      <c r="CH389" s="24"/>
      <c r="CI389" s="24"/>
      <c r="CJ389" s="24"/>
      <c r="CK389" s="24"/>
      <c r="DE389" s="24"/>
      <c r="DF389" s="24"/>
      <c r="DG389" s="24"/>
      <c r="DH389" s="24"/>
      <c r="DJ389" t="s">
        <v>149</v>
      </c>
      <c r="DK389" t="s">
        <v>149</v>
      </c>
      <c r="DL389">
        <v>3.9890776620370372</v>
      </c>
      <c r="DM389">
        <v>14</v>
      </c>
      <c r="DN389">
        <v>7</v>
      </c>
      <c r="DQ389" t="s">
        <v>1000</v>
      </c>
      <c r="DR389" t="s">
        <v>149</v>
      </c>
      <c r="DS389" s="24">
        <v>46160.384426226854</v>
      </c>
    </row>
    <row r="390" spans="1:123" x14ac:dyDescent="0.3">
      <c r="A390" t="s">
        <v>640</v>
      </c>
      <c r="D390" t="s">
        <v>223</v>
      </c>
      <c r="E390" s="24">
        <v>45870.34888888889</v>
      </c>
      <c r="G390" t="s">
        <v>90</v>
      </c>
      <c r="H390" t="s">
        <v>155</v>
      </c>
      <c r="I390" s="24"/>
      <c r="J390" s="24"/>
      <c r="K390" s="24"/>
      <c r="L390" s="24"/>
      <c r="N390" s="24"/>
      <c r="O390" s="24"/>
      <c r="P390" s="24"/>
      <c r="Q390" s="24"/>
      <c r="V390" s="24"/>
      <c r="W390" s="24"/>
      <c r="X390" s="24"/>
      <c r="Y390" s="24"/>
      <c r="AA390" s="24">
        <v>45870.495623564813</v>
      </c>
      <c r="AB390" s="24">
        <v>45870.495623564813</v>
      </c>
      <c r="AC390" s="24">
        <v>45874.40362759259</v>
      </c>
      <c r="AD390" s="24">
        <v>45874.40362759259</v>
      </c>
      <c r="AE390">
        <v>1</v>
      </c>
      <c r="AF390" s="24"/>
      <c r="AG390" s="24"/>
      <c r="AH390" s="24"/>
      <c r="AI390" s="24"/>
      <c r="AK390" s="24"/>
      <c r="AL390" s="24"/>
      <c r="AM390" s="24"/>
      <c r="AN390" s="24"/>
      <c r="AP390" s="24"/>
      <c r="AQ390" s="24"/>
      <c r="AR390" s="24">
        <v>45870.483427928244</v>
      </c>
      <c r="AS390" s="24">
        <v>45870.483427928244</v>
      </c>
      <c r="AX390" s="24"/>
      <c r="AY390" s="24"/>
      <c r="AZ390" s="24"/>
      <c r="BA390" s="24"/>
      <c r="BC390" s="24"/>
      <c r="BD390" s="24"/>
      <c r="BE390" s="24"/>
      <c r="BF390" s="24"/>
      <c r="BH390" s="24">
        <v>45870.483427928244</v>
      </c>
      <c r="BI390" s="24">
        <v>45870.483427928244</v>
      </c>
      <c r="BJ390" s="24">
        <v>45870.495623564813</v>
      </c>
      <c r="BK390" s="24">
        <v>45870.495623564813</v>
      </c>
      <c r="BL390">
        <v>1</v>
      </c>
      <c r="BM390" s="24"/>
      <c r="BN390" s="24"/>
      <c r="BO390" s="24"/>
      <c r="BP390" s="24"/>
      <c r="BR390" s="24"/>
      <c r="BS390" s="24"/>
      <c r="BT390" s="24"/>
      <c r="BU390" s="24"/>
      <c r="BW390" s="24"/>
      <c r="BX390" s="24"/>
      <c r="BY390" s="24"/>
      <c r="BZ390" s="24"/>
      <c r="CB390" s="24"/>
      <c r="CC390" s="24"/>
      <c r="CE390" s="24">
        <v>45874.40362759259</v>
      </c>
      <c r="CF390" s="24">
        <v>45874.40362759259</v>
      </c>
      <c r="CG390">
        <v>1</v>
      </c>
      <c r="CH390" s="24"/>
      <c r="CI390" s="24"/>
      <c r="CJ390" s="24"/>
      <c r="CK390" s="24"/>
      <c r="DE390" s="24"/>
      <c r="DF390" s="24"/>
      <c r="DG390" s="24"/>
      <c r="DH390" s="24"/>
      <c r="DJ390" t="s">
        <v>149</v>
      </c>
      <c r="DK390" t="s">
        <v>149</v>
      </c>
      <c r="DM390">
        <v>4</v>
      </c>
      <c r="DN390">
        <v>4</v>
      </c>
      <c r="DQ390" t="s">
        <v>1000</v>
      </c>
      <c r="DR390" t="s">
        <v>149</v>
      </c>
      <c r="DS390" s="24">
        <v>46160.384426226854</v>
      </c>
    </row>
    <row r="391" spans="1:123" x14ac:dyDescent="0.3">
      <c r="A391" t="s">
        <v>641</v>
      </c>
      <c r="D391" t="s">
        <v>223</v>
      </c>
      <c r="E391" s="24">
        <v>45870.348622685182</v>
      </c>
      <c r="G391" t="s">
        <v>90</v>
      </c>
      <c r="H391" t="s">
        <v>155</v>
      </c>
      <c r="I391" s="24"/>
      <c r="J391" s="24"/>
      <c r="K391" s="24"/>
      <c r="L391" s="24"/>
      <c r="N391" s="24"/>
      <c r="O391" s="24"/>
      <c r="P391" s="24"/>
      <c r="Q391" s="24"/>
      <c r="V391" s="24"/>
      <c r="W391" s="24"/>
      <c r="X391" s="24"/>
      <c r="Y391" s="24"/>
      <c r="AA391" s="24">
        <v>45870.576230868057</v>
      </c>
      <c r="AB391" s="24">
        <v>45870.576230868057</v>
      </c>
      <c r="AC391" s="24">
        <v>45874.403764560186</v>
      </c>
      <c r="AD391" s="24">
        <v>45874.403764560186</v>
      </c>
      <c r="AE391">
        <v>1</v>
      </c>
      <c r="AF391" s="24"/>
      <c r="AG391" s="24"/>
      <c r="AH391" s="24"/>
      <c r="AI391" s="24"/>
      <c r="AK391" s="24"/>
      <c r="AL391" s="24"/>
      <c r="AM391" s="24"/>
      <c r="AN391" s="24"/>
      <c r="AP391" s="24"/>
      <c r="AQ391" s="24"/>
      <c r="AR391" s="24">
        <v>45870.575568518521</v>
      </c>
      <c r="AS391" s="24">
        <v>45870.575568518521</v>
      </c>
      <c r="AX391" s="24"/>
      <c r="AY391" s="24"/>
      <c r="AZ391" s="24"/>
      <c r="BA391" s="24"/>
      <c r="BC391" s="24"/>
      <c r="BD391" s="24"/>
      <c r="BE391" s="24"/>
      <c r="BF391" s="24"/>
      <c r="BH391" s="24">
        <v>45870.575568518521</v>
      </c>
      <c r="BI391" s="24">
        <v>45870.575568518521</v>
      </c>
      <c r="BJ391" s="24">
        <v>45870.576230868057</v>
      </c>
      <c r="BK391" s="24">
        <v>45870.576230868057</v>
      </c>
      <c r="BL391">
        <v>1</v>
      </c>
      <c r="BM391" s="24"/>
      <c r="BN391" s="24"/>
      <c r="BO391" s="24"/>
      <c r="BP391" s="24"/>
      <c r="BR391" s="24"/>
      <c r="BS391" s="24"/>
      <c r="BT391" s="24"/>
      <c r="BU391" s="24"/>
      <c r="BW391" s="24"/>
      <c r="BX391" s="24"/>
      <c r="BY391" s="24"/>
      <c r="BZ391" s="24"/>
      <c r="CB391" s="24"/>
      <c r="CC391" s="24"/>
      <c r="CE391" s="24">
        <v>45874.403764560186</v>
      </c>
      <c r="CF391" s="24">
        <v>45874.403764560186</v>
      </c>
      <c r="CG391">
        <v>1</v>
      </c>
      <c r="CH391" s="24"/>
      <c r="CI391" s="24"/>
      <c r="CJ391" s="24"/>
      <c r="CK391" s="24"/>
      <c r="DE391" s="24"/>
      <c r="DF391" s="24"/>
      <c r="DG391" s="24"/>
      <c r="DH391" s="24"/>
      <c r="DJ391" t="s">
        <v>149</v>
      </c>
      <c r="DK391" t="s">
        <v>149</v>
      </c>
      <c r="DM391">
        <v>4</v>
      </c>
      <c r="DN391">
        <v>4</v>
      </c>
      <c r="DQ391" t="s">
        <v>1000</v>
      </c>
      <c r="DR391" t="s">
        <v>149</v>
      </c>
      <c r="DS391" s="24">
        <v>46160.384426226854</v>
      </c>
    </row>
    <row r="392" spans="1:123" x14ac:dyDescent="0.3">
      <c r="A392" t="s">
        <v>642</v>
      </c>
      <c r="D392" t="s">
        <v>223</v>
      </c>
      <c r="E392" s="24">
        <v>45869.470335648148</v>
      </c>
      <c r="G392" t="s">
        <v>90</v>
      </c>
      <c r="H392" t="s">
        <v>155</v>
      </c>
      <c r="I392" s="24"/>
      <c r="J392" s="24"/>
      <c r="K392" s="24"/>
      <c r="L392" s="24"/>
      <c r="N392" s="24"/>
      <c r="O392" s="24"/>
      <c r="P392" s="24"/>
      <c r="Q392" s="24"/>
      <c r="V392" s="24"/>
      <c r="W392" s="24"/>
      <c r="X392" s="24"/>
      <c r="Y392" s="24"/>
      <c r="AA392" s="24">
        <v>45930.527599131943</v>
      </c>
      <c r="AB392" s="24">
        <v>45873.493869571757</v>
      </c>
      <c r="AC392" s="24">
        <v>45873.494818761574</v>
      </c>
      <c r="AD392" s="24">
        <v>45957.828763229169</v>
      </c>
      <c r="AE392">
        <v>4</v>
      </c>
      <c r="AF392" s="24">
        <v>45957.828763229169</v>
      </c>
      <c r="AG392" s="24">
        <v>45957.828763229169</v>
      </c>
      <c r="AH392" s="24">
        <v>45957.828793946763</v>
      </c>
      <c r="AI392" s="24">
        <v>45957.828793946763</v>
      </c>
      <c r="AJ392">
        <v>1</v>
      </c>
      <c r="AK392" s="24"/>
      <c r="AL392" s="24"/>
      <c r="AM392" s="24"/>
      <c r="AN392" s="24"/>
      <c r="AP392" s="24">
        <v>45926.611083402779</v>
      </c>
      <c r="AQ392" s="24">
        <v>45926.611083402779</v>
      </c>
      <c r="AR392" s="24">
        <v>45873.493869571757</v>
      </c>
      <c r="AS392" s="24">
        <v>45930.47755246528</v>
      </c>
      <c r="AT392">
        <v>1</v>
      </c>
      <c r="AU392">
        <v>45926.610685046297</v>
      </c>
      <c r="AV392">
        <v>45873.494818761574</v>
      </c>
      <c r="AW392">
        <v>3</v>
      </c>
      <c r="AX392" s="24"/>
      <c r="AY392" s="24"/>
      <c r="AZ392" s="24"/>
      <c r="BA392" s="24"/>
      <c r="BC392" s="24"/>
      <c r="BD392" s="24"/>
      <c r="BE392" s="24"/>
      <c r="BF392" s="24"/>
      <c r="BH392" s="24">
        <v>45930.47755246528</v>
      </c>
      <c r="BI392" s="24">
        <v>45930.47755246528</v>
      </c>
      <c r="BJ392" s="24">
        <v>45930.527599131943</v>
      </c>
      <c r="BK392" s="24">
        <v>45930.527599131943</v>
      </c>
      <c r="BL392">
        <v>1</v>
      </c>
      <c r="BM392" s="24">
        <v>45926.610637418984</v>
      </c>
      <c r="BN392" s="24">
        <v>45926.610637418984</v>
      </c>
      <c r="BO392" s="24">
        <v>45926.610685046297</v>
      </c>
      <c r="BP392" s="24">
        <v>45926.610685046297</v>
      </c>
      <c r="BQ392">
        <v>1</v>
      </c>
      <c r="BR392" s="24">
        <v>45957.828793946763</v>
      </c>
      <c r="BS392" s="24">
        <v>45957.828793946763</v>
      </c>
      <c r="BT392" s="24">
        <v>45958.399379131944</v>
      </c>
      <c r="BU392" s="24">
        <v>45958.399379131944</v>
      </c>
      <c r="BV392">
        <v>1</v>
      </c>
      <c r="BW392" s="24"/>
      <c r="BX392" s="24"/>
      <c r="BY392" s="24"/>
      <c r="BZ392" s="24"/>
      <c r="CB392" s="24"/>
      <c r="CC392" s="24"/>
      <c r="CE392" s="24">
        <v>45958.399379131944</v>
      </c>
      <c r="CF392" s="24">
        <v>45958.399379131944</v>
      </c>
      <c r="CG392">
        <v>1</v>
      </c>
      <c r="CH392" s="24"/>
      <c r="CI392" s="24"/>
      <c r="CJ392" s="24"/>
      <c r="CK392" s="24"/>
      <c r="DE392" s="24"/>
      <c r="DF392" s="24"/>
      <c r="DG392" s="24"/>
      <c r="DH392" s="24"/>
      <c r="DJ392" t="s">
        <v>149</v>
      </c>
      <c r="DK392" t="s">
        <v>149</v>
      </c>
      <c r="DM392">
        <v>28</v>
      </c>
      <c r="DN392">
        <v>85</v>
      </c>
      <c r="DQ392" t="s">
        <v>1000</v>
      </c>
      <c r="DR392" t="s">
        <v>149</v>
      </c>
      <c r="DS392" s="24">
        <v>46160.384426226854</v>
      </c>
    </row>
    <row r="393" spans="1:123" x14ac:dyDescent="0.3">
      <c r="A393" t="s">
        <v>643</v>
      </c>
      <c r="D393" t="s">
        <v>223</v>
      </c>
      <c r="E393" s="24">
        <v>45869.470104166663</v>
      </c>
      <c r="G393" t="s">
        <v>90</v>
      </c>
      <c r="H393" t="s">
        <v>155</v>
      </c>
      <c r="I393" s="24"/>
      <c r="J393" s="24"/>
      <c r="K393" s="24"/>
      <c r="L393" s="24"/>
      <c r="N393" s="24"/>
      <c r="O393" s="24"/>
      <c r="P393" s="24"/>
      <c r="Q393" s="24"/>
      <c r="V393" s="24"/>
      <c r="W393" s="24"/>
      <c r="X393" s="24"/>
      <c r="Y393" s="24"/>
      <c r="AA393" s="24">
        <v>45875.403149965277</v>
      </c>
      <c r="AB393" s="24">
        <v>45875.403149965277</v>
      </c>
      <c r="AC393" s="24">
        <v>45887.442173587966</v>
      </c>
      <c r="AD393" s="24">
        <v>45887.442173587966</v>
      </c>
      <c r="AE393">
        <v>1</v>
      </c>
      <c r="AF393" s="24"/>
      <c r="AG393" s="24"/>
      <c r="AH393" s="24"/>
      <c r="AI393" s="24"/>
      <c r="AK393" s="24"/>
      <c r="AL393" s="24"/>
      <c r="AM393" s="24"/>
      <c r="AN393" s="24"/>
      <c r="AP393" s="24"/>
      <c r="AQ393" s="24"/>
      <c r="AR393" s="24">
        <v>45874.536852939818</v>
      </c>
      <c r="AS393" s="24">
        <v>45874.536852939818</v>
      </c>
      <c r="AX393" s="24"/>
      <c r="AY393" s="24"/>
      <c r="AZ393" s="24"/>
      <c r="BA393" s="24"/>
      <c r="BC393" s="24"/>
      <c r="BD393" s="24"/>
      <c r="BE393" s="24"/>
      <c r="BF393" s="24"/>
      <c r="BH393" s="24">
        <v>45874.536852939818</v>
      </c>
      <c r="BI393" s="24">
        <v>45874.536852939818</v>
      </c>
      <c r="BJ393" s="24">
        <v>45875.403149965277</v>
      </c>
      <c r="BK393" s="24">
        <v>45875.403149965277</v>
      </c>
      <c r="BL393">
        <v>1</v>
      </c>
      <c r="BM393" s="24"/>
      <c r="BN393" s="24"/>
      <c r="BO393" s="24"/>
      <c r="BP393" s="24"/>
      <c r="BR393" s="24"/>
      <c r="BS393" s="24"/>
      <c r="BT393" s="24"/>
      <c r="BU393" s="24"/>
      <c r="BW393" s="24"/>
      <c r="BX393" s="24"/>
      <c r="BY393" s="24"/>
      <c r="BZ393" s="24"/>
      <c r="CB393" s="24"/>
      <c r="CC393" s="24"/>
      <c r="CE393" s="24">
        <v>45887.442173587966</v>
      </c>
      <c r="CF393" s="24">
        <v>45887.442173587966</v>
      </c>
      <c r="CG393">
        <v>1</v>
      </c>
      <c r="CH393" s="24"/>
      <c r="CI393" s="24"/>
      <c r="CJ393" s="24"/>
      <c r="CK393" s="24"/>
      <c r="DE393" s="24"/>
      <c r="DF393" s="24"/>
      <c r="DG393" s="24"/>
      <c r="DH393" s="24"/>
      <c r="DJ393" t="s">
        <v>149</v>
      </c>
      <c r="DK393" t="s">
        <v>149</v>
      </c>
      <c r="DM393">
        <v>13</v>
      </c>
      <c r="DN393">
        <v>13</v>
      </c>
      <c r="DQ393" t="s">
        <v>1000</v>
      </c>
      <c r="DR393" t="s">
        <v>149</v>
      </c>
      <c r="DS393" s="24">
        <v>46160.384426226854</v>
      </c>
    </row>
    <row r="394" spans="1:123" x14ac:dyDescent="0.3">
      <c r="A394" t="s">
        <v>644</v>
      </c>
      <c r="D394" t="s">
        <v>223</v>
      </c>
      <c r="E394" s="24">
        <v>45869.395555555559</v>
      </c>
      <c r="G394" t="s">
        <v>90</v>
      </c>
      <c r="H394" t="s">
        <v>155</v>
      </c>
      <c r="I394" s="24"/>
      <c r="J394" s="24"/>
      <c r="K394" s="24"/>
      <c r="L394" s="24"/>
      <c r="N394" s="24"/>
      <c r="O394" s="24"/>
      <c r="P394" s="24"/>
      <c r="Q394" s="24"/>
      <c r="V394" s="24"/>
      <c r="W394" s="24"/>
      <c r="X394" s="24"/>
      <c r="Y394" s="24"/>
      <c r="AA394" s="24">
        <v>45873.69727409722</v>
      </c>
      <c r="AB394" s="24">
        <v>45873.69727409722</v>
      </c>
      <c r="AC394" s="24">
        <v>45873.697372326387</v>
      </c>
      <c r="AD394" s="24">
        <v>45873.697372326387</v>
      </c>
      <c r="AE394">
        <v>1</v>
      </c>
      <c r="AF394" s="24">
        <v>45873.697372326387</v>
      </c>
      <c r="AG394" s="24">
        <v>45873.697372326387</v>
      </c>
      <c r="AH394" s="24">
        <v>45874.592791689814</v>
      </c>
      <c r="AI394" s="24">
        <v>45874.592791689814</v>
      </c>
      <c r="AJ394">
        <v>1</v>
      </c>
      <c r="AK394" s="24"/>
      <c r="AL394" s="24"/>
      <c r="AM394" s="24"/>
      <c r="AN394" s="24"/>
      <c r="AP394" s="24"/>
      <c r="AQ394" s="24"/>
      <c r="AR394" s="24">
        <v>45873.697234201391</v>
      </c>
      <c r="AS394" s="24">
        <v>45873.697234201391</v>
      </c>
      <c r="AX394" s="24"/>
      <c r="AY394" s="24"/>
      <c r="AZ394" s="24"/>
      <c r="BA394" s="24"/>
      <c r="BC394" s="24"/>
      <c r="BD394" s="24"/>
      <c r="BE394" s="24"/>
      <c r="BF394" s="24"/>
      <c r="BH394" s="24">
        <v>45873.697234201391</v>
      </c>
      <c r="BI394" s="24">
        <v>45873.697234201391</v>
      </c>
      <c r="BJ394" s="24">
        <v>45873.69727409722</v>
      </c>
      <c r="BK394" s="24">
        <v>45873.69727409722</v>
      </c>
      <c r="BL394">
        <v>1</v>
      </c>
      <c r="BM394" s="24"/>
      <c r="BN394" s="24"/>
      <c r="BO394" s="24"/>
      <c r="BP394" s="24"/>
      <c r="BR394" s="24">
        <v>45874.592791689814</v>
      </c>
      <c r="BS394" s="24">
        <v>45874.592791689814</v>
      </c>
      <c r="BT394" s="24">
        <v>45874.5928221875</v>
      </c>
      <c r="BU394" s="24">
        <v>45874.5928221875</v>
      </c>
      <c r="BV394">
        <v>1</v>
      </c>
      <c r="BW394" s="24"/>
      <c r="BX394" s="24"/>
      <c r="BY394" s="24"/>
      <c r="BZ394" s="24"/>
      <c r="CB394" s="24"/>
      <c r="CC394" s="24"/>
      <c r="CE394" s="24">
        <v>45874.5928221875</v>
      </c>
      <c r="CF394" s="24">
        <v>45874.5928221875</v>
      </c>
      <c r="CG394">
        <v>1</v>
      </c>
      <c r="CH394" s="24"/>
      <c r="CI394" s="24"/>
      <c r="CJ394" s="24"/>
      <c r="CK394" s="24"/>
      <c r="DE394" s="24"/>
      <c r="DF394" s="24"/>
      <c r="DG394" s="24"/>
      <c r="DH394" s="24"/>
      <c r="DJ394" t="s">
        <v>149</v>
      </c>
      <c r="DK394" t="s">
        <v>149</v>
      </c>
      <c r="DM394">
        <v>1</v>
      </c>
      <c r="DN394">
        <v>1</v>
      </c>
      <c r="DQ394" t="s">
        <v>1000</v>
      </c>
      <c r="DR394" t="s">
        <v>149</v>
      </c>
      <c r="DS394" s="24">
        <v>46160.384426226854</v>
      </c>
    </row>
    <row r="395" spans="1:123" x14ac:dyDescent="0.3">
      <c r="A395" t="s">
        <v>645</v>
      </c>
      <c r="D395" t="s">
        <v>223</v>
      </c>
      <c r="E395" s="24">
        <v>45866.595590277779</v>
      </c>
      <c r="G395" t="s">
        <v>90</v>
      </c>
      <c r="H395" t="s">
        <v>155</v>
      </c>
      <c r="I395" s="24"/>
      <c r="J395" s="24"/>
      <c r="K395" s="24"/>
      <c r="L395" s="24"/>
      <c r="N395" s="24">
        <v>45904.424971643515</v>
      </c>
      <c r="O395" s="24">
        <v>45904.424971643515</v>
      </c>
      <c r="P395" s="24">
        <v>45909.355838750002</v>
      </c>
      <c r="Q395" s="24">
        <v>45909.355838750002</v>
      </c>
      <c r="R395">
        <v>1</v>
      </c>
      <c r="V395" s="24"/>
      <c r="W395" s="24"/>
      <c r="X395" s="24"/>
      <c r="Y395" s="24"/>
      <c r="AA395" s="24">
        <v>45909.355838750002</v>
      </c>
      <c r="AB395" s="24">
        <v>45904.400606203701</v>
      </c>
      <c r="AC395" s="24">
        <v>45904.424971643515</v>
      </c>
      <c r="AD395" s="24">
        <v>45916.476663229165</v>
      </c>
      <c r="AE395">
        <v>2</v>
      </c>
      <c r="AF395" s="24"/>
      <c r="AG395" s="24"/>
      <c r="AH395" s="24"/>
      <c r="AI395" s="24"/>
      <c r="AK395" s="24"/>
      <c r="AL395" s="24"/>
      <c r="AM395" s="24"/>
      <c r="AN395" s="24"/>
      <c r="AP395" s="24"/>
      <c r="AQ395" s="24"/>
      <c r="AR395" s="24">
        <v>45902.674894988428</v>
      </c>
      <c r="AS395" s="24">
        <v>45902.674894988428</v>
      </c>
      <c r="AX395" s="24"/>
      <c r="AY395" s="24"/>
      <c r="AZ395" s="24"/>
      <c r="BA395" s="24"/>
      <c r="BC395" s="24"/>
      <c r="BD395" s="24"/>
      <c r="BE395" s="24"/>
      <c r="BF395" s="24"/>
      <c r="BH395" s="24">
        <v>45902.674894988428</v>
      </c>
      <c r="BI395" s="24">
        <v>45902.674894988428</v>
      </c>
      <c r="BJ395" s="24">
        <v>45904.400606203701</v>
      </c>
      <c r="BK395" s="24">
        <v>45904.400606203701</v>
      </c>
      <c r="BL395">
        <v>1</v>
      </c>
      <c r="BM395" s="24"/>
      <c r="BN395" s="24"/>
      <c r="BO395" s="24"/>
      <c r="BP395" s="24"/>
      <c r="BR395" s="24"/>
      <c r="BS395" s="24"/>
      <c r="BT395" s="24"/>
      <c r="BU395" s="24"/>
      <c r="BW395" s="24"/>
      <c r="BX395" s="24"/>
      <c r="BY395" s="24"/>
      <c r="BZ395" s="24"/>
      <c r="CB395" s="24"/>
      <c r="CC395" s="24"/>
      <c r="CE395" s="24">
        <v>45916.476663229165</v>
      </c>
      <c r="CF395" s="24">
        <v>45916.476663229165</v>
      </c>
      <c r="CG395">
        <v>1</v>
      </c>
      <c r="CH395" s="24"/>
      <c r="CI395" s="24"/>
      <c r="CJ395" s="24"/>
      <c r="CK395" s="24"/>
      <c r="DE395" s="24"/>
      <c r="DF395" s="24"/>
      <c r="DG395" s="24"/>
      <c r="DH395" s="24"/>
      <c r="DJ395" t="s">
        <v>149</v>
      </c>
      <c r="DK395" t="s">
        <v>149</v>
      </c>
      <c r="DL395">
        <v>4.9308670138888893</v>
      </c>
      <c r="DM395">
        <v>14</v>
      </c>
      <c r="DN395">
        <v>13</v>
      </c>
      <c r="DQ395" t="s">
        <v>1000</v>
      </c>
      <c r="DR395" t="s">
        <v>149</v>
      </c>
      <c r="DS395" s="24">
        <v>46160.384426226854</v>
      </c>
    </row>
    <row r="396" spans="1:123" x14ac:dyDescent="0.3">
      <c r="A396" t="s">
        <v>646</v>
      </c>
      <c r="D396" t="s">
        <v>223</v>
      </c>
      <c r="E396" s="24">
        <v>45866.585555555554</v>
      </c>
      <c r="G396" t="s">
        <v>90</v>
      </c>
      <c r="H396" t="s">
        <v>155</v>
      </c>
      <c r="I396" s="24"/>
      <c r="J396" s="24"/>
      <c r="K396" s="24"/>
      <c r="L396" s="24"/>
      <c r="N396" s="24"/>
      <c r="O396" s="24"/>
      <c r="P396" s="24"/>
      <c r="Q396" s="24"/>
      <c r="V396" s="24"/>
      <c r="W396" s="24"/>
      <c r="X396" s="24"/>
      <c r="Y396" s="24"/>
      <c r="AA396" s="24">
        <v>45889.626257928241</v>
      </c>
      <c r="AB396" s="24">
        <v>45889.626257928241</v>
      </c>
      <c r="AC396" s="24">
        <v>45901.400948576389</v>
      </c>
      <c r="AD396" s="24">
        <v>45901.400948576389</v>
      </c>
      <c r="AE396">
        <v>1</v>
      </c>
      <c r="AF396" s="24">
        <v>45901.400948576389</v>
      </c>
      <c r="AG396" s="24">
        <v>45901.400948576389</v>
      </c>
      <c r="AH396" s="24">
        <v>45901.401016747688</v>
      </c>
      <c r="AI396" s="24">
        <v>45901.401016747688</v>
      </c>
      <c r="AJ396">
        <v>1</v>
      </c>
      <c r="AK396" s="24"/>
      <c r="AL396" s="24"/>
      <c r="AM396" s="24"/>
      <c r="AN396" s="24"/>
      <c r="AP396" s="24"/>
      <c r="AQ396" s="24"/>
      <c r="AR396" s="24">
        <v>45874.540299803244</v>
      </c>
      <c r="AS396" s="24">
        <v>45874.540299803244</v>
      </c>
      <c r="AX396" s="24"/>
      <c r="AY396" s="24"/>
      <c r="AZ396" s="24"/>
      <c r="BA396" s="24"/>
      <c r="BC396" s="24"/>
      <c r="BD396" s="24"/>
      <c r="BE396" s="24"/>
      <c r="BF396" s="24"/>
      <c r="BH396" s="24">
        <v>45874.540299803244</v>
      </c>
      <c r="BI396" s="24">
        <v>45874.540299803244</v>
      </c>
      <c r="BJ396" s="24">
        <v>45889.626257928241</v>
      </c>
      <c r="BK396" s="24">
        <v>45889.626257928241</v>
      </c>
      <c r="BL396">
        <v>1</v>
      </c>
      <c r="BM396" s="24"/>
      <c r="BN396" s="24"/>
      <c r="BO396" s="24"/>
      <c r="BP396" s="24"/>
      <c r="BR396" s="24"/>
      <c r="BS396" s="24"/>
      <c r="BT396" s="24"/>
      <c r="BU396" s="24"/>
      <c r="BW396" s="24"/>
      <c r="BX396" s="24"/>
      <c r="BY396" s="24"/>
      <c r="BZ396" s="24"/>
      <c r="CB396" s="24"/>
      <c r="CC396" s="24"/>
      <c r="CE396" s="24">
        <v>45901.401016747688</v>
      </c>
      <c r="CF396" s="24">
        <v>45901.401016747688</v>
      </c>
      <c r="CG396">
        <v>1</v>
      </c>
      <c r="CH396" s="24"/>
      <c r="CI396" s="24"/>
      <c r="CJ396" s="24"/>
      <c r="CK396" s="24"/>
      <c r="DE396" s="24"/>
      <c r="DF396" s="24"/>
      <c r="DG396" s="24"/>
      <c r="DH396" s="24"/>
      <c r="DJ396" t="s">
        <v>149</v>
      </c>
      <c r="DK396" t="s">
        <v>149</v>
      </c>
      <c r="DM396">
        <v>27</v>
      </c>
      <c r="DN396">
        <v>12</v>
      </c>
      <c r="DQ396" t="s">
        <v>1000</v>
      </c>
      <c r="DR396" t="s">
        <v>149</v>
      </c>
      <c r="DS396" s="24">
        <v>46160.384426226854</v>
      </c>
    </row>
    <row r="397" spans="1:123" x14ac:dyDescent="0.3">
      <c r="A397" t="s">
        <v>647</v>
      </c>
      <c r="D397" t="s">
        <v>223</v>
      </c>
      <c r="E397" s="24">
        <v>45863.578912037039</v>
      </c>
      <c r="G397" t="s">
        <v>90</v>
      </c>
      <c r="H397" t="s">
        <v>155</v>
      </c>
      <c r="I397" s="24"/>
      <c r="J397" s="24"/>
      <c r="K397" s="24"/>
      <c r="L397" s="24"/>
      <c r="N397" s="24"/>
      <c r="O397" s="24"/>
      <c r="P397" s="24"/>
      <c r="Q397" s="24"/>
      <c r="V397" s="24"/>
      <c r="W397" s="24"/>
      <c r="X397" s="24"/>
      <c r="Y397" s="24"/>
      <c r="AA397" s="24">
        <v>45863.603465995373</v>
      </c>
      <c r="AB397" s="24">
        <v>45863.603465995373</v>
      </c>
      <c r="AC397" s="24">
        <v>45863.603511863425</v>
      </c>
      <c r="AD397" s="24">
        <v>45863.603511863425</v>
      </c>
      <c r="AE397">
        <v>1</v>
      </c>
      <c r="AF397" s="24">
        <v>45863.603511863425</v>
      </c>
      <c r="AG397" s="24">
        <v>45863.603511863425</v>
      </c>
      <c r="AH397" s="24">
        <v>45869.39032136574</v>
      </c>
      <c r="AI397" s="24">
        <v>45869.39032136574</v>
      </c>
      <c r="AJ397">
        <v>1</v>
      </c>
      <c r="AK397" s="24"/>
      <c r="AL397" s="24"/>
      <c r="AM397" s="24"/>
      <c r="AN397" s="24"/>
      <c r="AP397" s="24"/>
      <c r="AQ397" s="24"/>
      <c r="AR397" s="24">
        <v>45863.5809921412</v>
      </c>
      <c r="AS397" s="24">
        <v>45863.5809921412</v>
      </c>
      <c r="AX397" s="24"/>
      <c r="AY397" s="24"/>
      <c r="AZ397" s="24"/>
      <c r="BA397" s="24"/>
      <c r="BC397" s="24"/>
      <c r="BD397" s="24"/>
      <c r="BE397" s="24"/>
      <c r="BF397" s="24"/>
      <c r="BH397" s="24">
        <v>45863.5809921412</v>
      </c>
      <c r="BI397" s="24">
        <v>45863.5809921412</v>
      </c>
      <c r="BJ397" s="24">
        <v>45863.603465995373</v>
      </c>
      <c r="BK397" s="24">
        <v>45863.603465995373</v>
      </c>
      <c r="BL397">
        <v>1</v>
      </c>
      <c r="BM397" s="24"/>
      <c r="BN397" s="24"/>
      <c r="BO397" s="24"/>
      <c r="BP397" s="24"/>
      <c r="BR397" s="24">
        <v>45869.39032136574</v>
      </c>
      <c r="BS397" s="24">
        <v>45869.39032136574</v>
      </c>
      <c r="BT397" s="24">
        <v>45869.406984027781</v>
      </c>
      <c r="BU397" s="24">
        <v>45869.406984027781</v>
      </c>
      <c r="BV397">
        <v>1</v>
      </c>
      <c r="BW397" s="24"/>
      <c r="BX397" s="24"/>
      <c r="BY397" s="24"/>
      <c r="BZ397" s="24"/>
      <c r="CB397" s="24"/>
      <c r="CC397" s="24"/>
      <c r="CE397" s="24">
        <v>45869.406984027781</v>
      </c>
      <c r="CF397" s="24">
        <v>45869.406984027781</v>
      </c>
      <c r="CG397">
        <v>1</v>
      </c>
      <c r="CH397" s="24"/>
      <c r="CI397" s="24"/>
      <c r="CJ397" s="24"/>
      <c r="CK397" s="24"/>
      <c r="DE397" s="24"/>
      <c r="DF397" s="24"/>
      <c r="DG397" s="24"/>
      <c r="DH397" s="24"/>
      <c r="DJ397" t="s">
        <v>149</v>
      </c>
      <c r="DK397" t="s">
        <v>149</v>
      </c>
      <c r="DM397">
        <v>6</v>
      </c>
      <c r="DN397">
        <v>6</v>
      </c>
      <c r="DQ397" t="s">
        <v>1000</v>
      </c>
      <c r="DR397" t="s">
        <v>149</v>
      </c>
      <c r="DS397" s="24">
        <v>46160.384426226854</v>
      </c>
    </row>
    <row r="398" spans="1:123" x14ac:dyDescent="0.3">
      <c r="A398" t="s">
        <v>648</v>
      </c>
      <c r="D398" t="s">
        <v>225</v>
      </c>
      <c r="E398" s="24">
        <v>45863.563275462962</v>
      </c>
      <c r="G398" t="s">
        <v>90</v>
      </c>
      <c r="H398" t="s">
        <v>155</v>
      </c>
      <c r="I398" s="24"/>
      <c r="J398" s="24"/>
      <c r="K398" s="24"/>
      <c r="L398" s="24"/>
      <c r="N398" s="24"/>
      <c r="O398" s="24"/>
      <c r="P398" s="24"/>
      <c r="Q398" s="24"/>
      <c r="V398" s="24"/>
      <c r="W398" s="24"/>
      <c r="X398" s="24"/>
      <c r="Y398" s="24"/>
      <c r="AA398" s="24">
        <v>45866.462815046296</v>
      </c>
      <c r="AB398" s="24">
        <v>45863.566725150464</v>
      </c>
      <c r="AC398" s="24">
        <v>45863.576206365738</v>
      </c>
      <c r="AD398" s="24">
        <v>45867.701293333332</v>
      </c>
      <c r="AE398">
        <v>2</v>
      </c>
      <c r="AF398" s="24">
        <v>45867.701293333332</v>
      </c>
      <c r="AG398" s="24">
        <v>45863.576206365738</v>
      </c>
      <c r="AH398" s="24">
        <v>45866.462815046296</v>
      </c>
      <c r="AI398" s="24">
        <v>45870.66331689815</v>
      </c>
      <c r="AJ398">
        <v>2</v>
      </c>
      <c r="AK398" s="24">
        <v>45870.664577673611</v>
      </c>
      <c r="AL398" s="24">
        <v>45870.66331689815</v>
      </c>
      <c r="AM398" s="24">
        <v>45870.664460972221</v>
      </c>
      <c r="AN398" s="24">
        <v>45870.686655104168</v>
      </c>
      <c r="AO398">
        <v>2</v>
      </c>
      <c r="AP398" s="24"/>
      <c r="AQ398" s="24"/>
      <c r="AR398" s="24">
        <v>45863.566669965279</v>
      </c>
      <c r="AS398" s="24">
        <v>45863.566669965279</v>
      </c>
      <c r="AX398" s="24"/>
      <c r="AY398" s="24"/>
      <c r="AZ398" s="24"/>
      <c r="BA398" s="24"/>
      <c r="BC398" s="24">
        <v>45870.686721666665</v>
      </c>
      <c r="BD398" s="24">
        <v>45870.686721666665</v>
      </c>
      <c r="BE398" s="24">
        <v>45874.66952127315</v>
      </c>
      <c r="BF398" s="24">
        <v>45874.66952127315</v>
      </c>
      <c r="BG398">
        <v>1</v>
      </c>
      <c r="BH398" s="24">
        <v>45863.566669965279</v>
      </c>
      <c r="BI398" s="24">
        <v>45863.566669965279</v>
      </c>
      <c r="BJ398" s="24">
        <v>45863.566725150464</v>
      </c>
      <c r="BK398" s="24">
        <v>45863.566725150464</v>
      </c>
      <c r="BL398">
        <v>1</v>
      </c>
      <c r="BM398" s="24"/>
      <c r="BN398" s="24"/>
      <c r="BO398" s="24"/>
      <c r="BP398" s="24"/>
      <c r="BR398" s="24">
        <v>45870.686655104168</v>
      </c>
      <c r="BS398" s="24">
        <v>45870.664460972221</v>
      </c>
      <c r="BT398" s="24">
        <v>45870.664577673611</v>
      </c>
      <c r="BU398" s="24">
        <v>45870.686721666665</v>
      </c>
      <c r="BV398">
        <v>2</v>
      </c>
      <c r="BW398" s="24"/>
      <c r="BX398" s="24"/>
      <c r="BY398" s="24"/>
      <c r="BZ398" s="24"/>
      <c r="CB398" s="24"/>
      <c r="CC398" s="24"/>
      <c r="CE398" s="24">
        <v>45874.66952127315</v>
      </c>
      <c r="CF398" s="24">
        <v>45874.66952127315</v>
      </c>
      <c r="CG398">
        <v>1</v>
      </c>
      <c r="CH398" s="24"/>
      <c r="CI398" s="24"/>
      <c r="CJ398" s="24"/>
      <c r="CK398" s="24"/>
      <c r="DE398" s="24"/>
      <c r="DF398" s="24"/>
      <c r="DG398" s="24"/>
      <c r="DH398" s="24"/>
      <c r="DJ398" t="s">
        <v>149</v>
      </c>
      <c r="DK398" t="s">
        <v>149</v>
      </c>
      <c r="DM398">
        <v>12</v>
      </c>
      <c r="DN398">
        <v>12</v>
      </c>
      <c r="DQ398" t="s">
        <v>1000</v>
      </c>
      <c r="DR398" t="s">
        <v>149</v>
      </c>
      <c r="DS398" s="24">
        <v>46160.384426226854</v>
      </c>
    </row>
    <row r="399" spans="1:123" x14ac:dyDescent="0.3">
      <c r="A399" t="s">
        <v>649</v>
      </c>
      <c r="D399" t="s">
        <v>223</v>
      </c>
      <c r="E399" s="24">
        <v>45862.664317129631</v>
      </c>
      <c r="G399" t="s">
        <v>150</v>
      </c>
      <c r="H399" t="s">
        <v>155</v>
      </c>
      <c r="I399" s="24"/>
      <c r="J399" s="24"/>
      <c r="K399" s="24"/>
      <c r="L399" s="24"/>
      <c r="N399" s="24"/>
      <c r="O399" s="24"/>
      <c r="P399" s="24"/>
      <c r="Q399" s="24"/>
      <c r="V399" s="24"/>
      <c r="W399" s="24"/>
      <c r="X399" s="24"/>
      <c r="Y399" s="24"/>
      <c r="AA399" s="24"/>
      <c r="AB399" s="24"/>
      <c r="AC399" s="24"/>
      <c r="AD399" s="24"/>
      <c r="AF399" s="24"/>
      <c r="AG399" s="24"/>
      <c r="AH399" s="24"/>
      <c r="AI399" s="24"/>
      <c r="AK399" s="24"/>
      <c r="AL399" s="24"/>
      <c r="AM399" s="24"/>
      <c r="AN399" s="24"/>
      <c r="AP399" s="24"/>
      <c r="AQ399" s="24"/>
      <c r="AR399" s="24">
        <v>45887.553511377315</v>
      </c>
      <c r="AS399" s="24">
        <v>45887.553511377315</v>
      </c>
      <c r="AX399" s="24"/>
      <c r="AY399" s="24"/>
      <c r="AZ399" s="24"/>
      <c r="BA399" s="24"/>
      <c r="BC399" s="24"/>
      <c r="BD399" s="24"/>
      <c r="BE399" s="24"/>
      <c r="BF399" s="24"/>
      <c r="BH399" s="24"/>
      <c r="BI399" s="24"/>
      <c r="BJ399" s="24"/>
      <c r="BK399" s="24"/>
      <c r="BM399" s="24"/>
      <c r="BN399" s="24"/>
      <c r="BO399" s="24"/>
      <c r="BP399" s="24"/>
      <c r="BR399" s="24"/>
      <c r="BS399" s="24"/>
      <c r="BT399" s="24"/>
      <c r="BU399" s="24"/>
      <c r="BW399" s="24"/>
      <c r="BX399" s="24"/>
      <c r="BY399" s="24"/>
      <c r="BZ399" s="24"/>
      <c r="CB399" s="24">
        <v>45887.553511377315</v>
      </c>
      <c r="CC399" s="24">
        <v>45887.553511377315</v>
      </c>
      <c r="CD399">
        <v>1</v>
      </c>
      <c r="CE399" s="24"/>
      <c r="CF399" s="24"/>
      <c r="CH399" s="24"/>
      <c r="CI399" s="24"/>
      <c r="CJ399" s="24"/>
      <c r="CK399" s="24"/>
      <c r="DE399" s="24"/>
      <c r="DF399" s="24"/>
      <c r="DG399" s="24"/>
      <c r="DH399" s="24"/>
      <c r="DJ399" t="s">
        <v>149</v>
      </c>
      <c r="DK399" t="s">
        <v>149</v>
      </c>
      <c r="DQ399" t="s">
        <v>1000</v>
      </c>
      <c r="DR399" t="s">
        <v>149</v>
      </c>
      <c r="DS399" s="24">
        <v>46160.384426226854</v>
      </c>
    </row>
    <row r="400" spans="1:123" x14ac:dyDescent="0.3">
      <c r="A400" t="s">
        <v>650</v>
      </c>
      <c r="D400" t="s">
        <v>223</v>
      </c>
      <c r="E400" s="24">
        <v>45862.402511574073</v>
      </c>
      <c r="G400" t="s">
        <v>90</v>
      </c>
      <c r="H400" t="s">
        <v>155</v>
      </c>
      <c r="I400" s="24"/>
      <c r="J400" s="24"/>
      <c r="K400" s="24"/>
      <c r="L400" s="24"/>
      <c r="N400" s="24"/>
      <c r="O400" s="24"/>
      <c r="P400" s="24"/>
      <c r="Q400" s="24"/>
      <c r="V400" s="24"/>
      <c r="W400" s="24"/>
      <c r="X400" s="24"/>
      <c r="Y400" s="24"/>
      <c r="AA400" s="24">
        <v>45884.404876145833</v>
      </c>
      <c r="AB400" s="24">
        <v>45862.4029537963</v>
      </c>
      <c r="AC400" s="24">
        <v>45863.403682708333</v>
      </c>
      <c r="AD400" s="24">
        <v>45888.455013715276</v>
      </c>
      <c r="AE400">
        <v>2</v>
      </c>
      <c r="AF400" s="24"/>
      <c r="AG400" s="24"/>
      <c r="AH400" s="24"/>
      <c r="AI400" s="24"/>
      <c r="AK400" s="24"/>
      <c r="AL400" s="24"/>
      <c r="AM400" s="24"/>
      <c r="AN400" s="24"/>
      <c r="AP400" s="24">
        <v>45873.355894131942</v>
      </c>
      <c r="AQ400" s="24">
        <v>45873.355894131942</v>
      </c>
      <c r="AR400" s="24">
        <v>45875.478798738426</v>
      </c>
      <c r="AS400" s="24">
        <v>45875.478798738426</v>
      </c>
      <c r="AT400">
        <v>1</v>
      </c>
      <c r="AU400">
        <v>45863.403682708333</v>
      </c>
      <c r="AV400">
        <v>45863.403682708333</v>
      </c>
      <c r="AW400">
        <v>1</v>
      </c>
      <c r="AX400" s="24"/>
      <c r="AY400" s="24"/>
      <c r="AZ400" s="24"/>
      <c r="BA400" s="24"/>
      <c r="BC400" s="24"/>
      <c r="BD400" s="24"/>
      <c r="BE400" s="24"/>
      <c r="BF400" s="24"/>
      <c r="BH400" s="24">
        <v>45875.478798738426</v>
      </c>
      <c r="BI400" s="24">
        <v>45875.478798738426</v>
      </c>
      <c r="BJ400" s="24">
        <v>45884.404876145833</v>
      </c>
      <c r="BK400" s="24">
        <v>45884.404876145833</v>
      </c>
      <c r="BL400">
        <v>1</v>
      </c>
      <c r="BM400" s="24"/>
      <c r="BN400" s="24"/>
      <c r="BO400" s="24"/>
      <c r="BP400" s="24"/>
      <c r="BR400" s="24"/>
      <c r="BS400" s="24"/>
      <c r="BT400" s="24"/>
      <c r="BU400" s="24"/>
      <c r="BW400" s="24"/>
      <c r="BX400" s="24"/>
      <c r="BY400" s="24"/>
      <c r="BZ400" s="24"/>
      <c r="CB400" s="24"/>
      <c r="CC400" s="24"/>
      <c r="CE400" s="24">
        <v>45888.455013715276</v>
      </c>
      <c r="CF400" s="24">
        <v>45888.455013715276</v>
      </c>
      <c r="CG400">
        <v>1</v>
      </c>
      <c r="CH400" s="24"/>
      <c r="CI400" s="24"/>
      <c r="CJ400" s="24"/>
      <c r="CK400" s="24"/>
      <c r="DE400" s="24"/>
      <c r="DF400" s="24"/>
      <c r="DG400" s="24"/>
      <c r="DH400" s="24"/>
      <c r="DJ400" t="s">
        <v>149</v>
      </c>
      <c r="DK400" t="s">
        <v>149</v>
      </c>
      <c r="DM400">
        <v>13</v>
      </c>
      <c r="DN400">
        <v>27</v>
      </c>
      <c r="DQ400" t="s">
        <v>1000</v>
      </c>
      <c r="DR400" t="s">
        <v>149</v>
      </c>
      <c r="DS400" s="24">
        <v>46160.384426226854</v>
      </c>
    </row>
    <row r="401" spans="1:123" x14ac:dyDescent="0.3">
      <c r="A401" t="s">
        <v>651</v>
      </c>
      <c r="D401" t="s">
        <v>225</v>
      </c>
      <c r="E401" s="24">
        <v>45861.431574074071</v>
      </c>
      <c r="G401" t="s">
        <v>90</v>
      </c>
      <c r="H401" t="s">
        <v>155</v>
      </c>
      <c r="I401" s="24"/>
      <c r="J401" s="24"/>
      <c r="K401" s="24"/>
      <c r="L401" s="24"/>
      <c r="N401" s="24"/>
      <c r="O401" s="24"/>
      <c r="P401" s="24"/>
      <c r="Q401" s="24"/>
      <c r="V401" s="24"/>
      <c r="W401" s="24"/>
      <c r="X401" s="24"/>
      <c r="Y401" s="24"/>
      <c r="AA401" s="24">
        <v>45866.348270057868</v>
      </c>
      <c r="AB401" s="24">
        <v>45861.432635497687</v>
      </c>
      <c r="AC401" s="24">
        <v>45862.576181469907</v>
      </c>
      <c r="AD401" s="24">
        <v>45866.462728171296</v>
      </c>
      <c r="AE401">
        <v>2</v>
      </c>
      <c r="AF401" s="24">
        <v>45866.462728171296</v>
      </c>
      <c r="AG401" s="24">
        <v>45862.576181469907</v>
      </c>
      <c r="AH401" s="24">
        <v>45863.500912986114</v>
      </c>
      <c r="AI401" s="24">
        <v>45867.668194375001</v>
      </c>
      <c r="AJ401">
        <v>2</v>
      </c>
      <c r="AK401" s="24">
        <v>45867.668194375001</v>
      </c>
      <c r="AL401" s="24">
        <v>45863.500912986114</v>
      </c>
      <c r="AM401" s="24">
        <v>45866.348270057868</v>
      </c>
      <c r="AN401" s="24">
        <v>45868.346620763892</v>
      </c>
      <c r="AO401">
        <v>2</v>
      </c>
      <c r="AP401" s="24"/>
      <c r="AQ401" s="24"/>
      <c r="AR401" s="24">
        <v>45861.432595983795</v>
      </c>
      <c r="AS401" s="24">
        <v>45861.432595983795</v>
      </c>
      <c r="AX401" s="24"/>
      <c r="AY401" s="24"/>
      <c r="AZ401" s="24"/>
      <c r="BA401" s="24"/>
      <c r="BC401" s="24">
        <v>45868.399764085647</v>
      </c>
      <c r="BD401" s="24">
        <v>45868.399764085647</v>
      </c>
      <c r="BE401" s="24">
        <v>45874.669521377313</v>
      </c>
      <c r="BF401" s="24">
        <v>45874.669521377313</v>
      </c>
      <c r="BG401">
        <v>1</v>
      </c>
      <c r="BH401" s="24">
        <v>45861.432595983795</v>
      </c>
      <c r="BI401" s="24">
        <v>45861.432595983795</v>
      </c>
      <c r="BJ401" s="24">
        <v>45861.432635497687</v>
      </c>
      <c r="BK401" s="24">
        <v>45861.432635497687</v>
      </c>
      <c r="BL401">
        <v>1</v>
      </c>
      <c r="BM401" s="24"/>
      <c r="BN401" s="24"/>
      <c r="BO401" s="24"/>
      <c r="BP401" s="24"/>
      <c r="BR401" s="24">
        <v>45868.346620763892</v>
      </c>
      <c r="BS401" s="24">
        <v>45868.346620763892</v>
      </c>
      <c r="BT401" s="24">
        <v>45868.399764085647</v>
      </c>
      <c r="BU401" s="24">
        <v>45868.399764085647</v>
      </c>
      <c r="BV401">
        <v>1</v>
      </c>
      <c r="BW401" s="24"/>
      <c r="BX401" s="24"/>
      <c r="BY401" s="24"/>
      <c r="BZ401" s="24"/>
      <c r="CB401" s="24"/>
      <c r="CC401" s="24"/>
      <c r="CE401" s="24">
        <v>45874.669521377313</v>
      </c>
      <c r="CF401" s="24">
        <v>45874.669521377313</v>
      </c>
      <c r="CG401">
        <v>1</v>
      </c>
      <c r="CH401" s="24"/>
      <c r="CI401" s="24"/>
      <c r="CJ401" s="24"/>
      <c r="CK401" s="24"/>
      <c r="DE401" s="24"/>
      <c r="DF401" s="24"/>
      <c r="DG401" s="24"/>
      <c r="DH401" s="24"/>
      <c r="DJ401" t="s">
        <v>149</v>
      </c>
      <c r="DK401" t="s">
        <v>149</v>
      </c>
      <c r="DM401">
        <v>14</v>
      </c>
      <c r="DN401">
        <v>14</v>
      </c>
      <c r="DQ401" t="s">
        <v>1000</v>
      </c>
      <c r="DR401" t="s">
        <v>149</v>
      </c>
      <c r="DS401" s="24">
        <v>46160.384426226854</v>
      </c>
    </row>
    <row r="402" spans="1:123" x14ac:dyDescent="0.3">
      <c r="A402" t="s">
        <v>652</v>
      </c>
      <c r="D402" t="s">
        <v>223</v>
      </c>
      <c r="E402" s="24">
        <v>45860.455879629626</v>
      </c>
      <c r="G402" t="s">
        <v>90</v>
      </c>
      <c r="H402" t="s">
        <v>155</v>
      </c>
      <c r="I402" s="24"/>
      <c r="J402" s="24"/>
      <c r="K402" s="24"/>
      <c r="L402" s="24"/>
      <c r="N402" s="24"/>
      <c r="O402" s="24"/>
      <c r="P402" s="24"/>
      <c r="Q402" s="24"/>
      <c r="V402" s="24"/>
      <c r="W402" s="24"/>
      <c r="X402" s="24"/>
      <c r="Y402" s="24"/>
      <c r="AA402" s="24">
        <v>45861.403312060182</v>
      </c>
      <c r="AB402" s="24">
        <v>45861.403312060182</v>
      </c>
      <c r="AC402" s="24">
        <v>45874.408239039352</v>
      </c>
      <c r="AD402" s="24">
        <v>45874.408239039352</v>
      </c>
      <c r="AE402">
        <v>1</v>
      </c>
      <c r="AF402" s="24">
        <v>45874.408239039352</v>
      </c>
      <c r="AG402" s="24">
        <v>45874.408239039352</v>
      </c>
      <c r="AH402" s="24">
        <v>45874.485307974537</v>
      </c>
      <c r="AI402" s="24">
        <v>45874.485307974537</v>
      </c>
      <c r="AJ402">
        <v>1</v>
      </c>
      <c r="AK402" s="24"/>
      <c r="AL402" s="24"/>
      <c r="AM402" s="24"/>
      <c r="AN402" s="24"/>
      <c r="AP402" s="24"/>
      <c r="AQ402" s="24"/>
      <c r="AR402" s="24">
        <v>45860.465590543979</v>
      </c>
      <c r="AS402" s="24">
        <v>45860.465590543979</v>
      </c>
      <c r="AX402" s="24"/>
      <c r="AY402" s="24"/>
      <c r="AZ402" s="24"/>
      <c r="BA402" s="24"/>
      <c r="BC402" s="24"/>
      <c r="BD402" s="24"/>
      <c r="BE402" s="24"/>
      <c r="BF402" s="24"/>
      <c r="BH402" s="24">
        <v>45860.465590543979</v>
      </c>
      <c r="BI402" s="24">
        <v>45860.465590543979</v>
      </c>
      <c r="BJ402" s="24">
        <v>45861.403312060182</v>
      </c>
      <c r="BK402" s="24">
        <v>45861.403312060182</v>
      </c>
      <c r="BL402">
        <v>1</v>
      </c>
      <c r="BM402" s="24"/>
      <c r="BN402" s="24"/>
      <c r="BO402" s="24"/>
      <c r="BP402" s="24"/>
      <c r="BR402" s="24"/>
      <c r="BS402" s="24"/>
      <c r="BT402" s="24"/>
      <c r="BU402" s="24"/>
      <c r="BW402" s="24"/>
      <c r="BX402" s="24"/>
      <c r="BY402" s="24"/>
      <c r="BZ402" s="24"/>
      <c r="CB402" s="24"/>
      <c r="CC402" s="24"/>
      <c r="CE402" s="24">
        <v>45874.485307974537</v>
      </c>
      <c r="CF402" s="24">
        <v>45874.485307974537</v>
      </c>
      <c r="CG402">
        <v>1</v>
      </c>
      <c r="CH402" s="24"/>
      <c r="CI402" s="24"/>
      <c r="CJ402" s="24"/>
      <c r="CK402" s="24"/>
      <c r="DE402" s="24"/>
      <c r="DF402" s="24"/>
      <c r="DG402" s="24"/>
      <c r="DH402" s="24"/>
      <c r="DJ402" t="s">
        <v>149</v>
      </c>
      <c r="DK402" t="s">
        <v>149</v>
      </c>
      <c r="DM402">
        <v>15</v>
      </c>
      <c r="DN402">
        <v>14</v>
      </c>
      <c r="DQ402" t="s">
        <v>1000</v>
      </c>
      <c r="DR402" t="s">
        <v>149</v>
      </c>
      <c r="DS402" s="24">
        <v>46160.384426226854</v>
      </c>
    </row>
    <row r="403" spans="1:123" x14ac:dyDescent="0.3">
      <c r="A403" t="s">
        <v>653</v>
      </c>
      <c r="D403" t="s">
        <v>223</v>
      </c>
      <c r="E403" s="24">
        <v>45860.404583333337</v>
      </c>
      <c r="G403" t="s">
        <v>90</v>
      </c>
      <c r="H403" t="s">
        <v>155</v>
      </c>
      <c r="I403" s="24"/>
      <c r="J403" s="24"/>
      <c r="K403" s="24"/>
      <c r="L403" s="24"/>
      <c r="N403" s="24"/>
      <c r="O403" s="24"/>
      <c r="P403" s="24"/>
      <c r="Q403" s="24"/>
      <c r="V403" s="24"/>
      <c r="W403" s="24"/>
      <c r="X403" s="24"/>
      <c r="Y403" s="24"/>
      <c r="AA403" s="24">
        <v>45860.455011342594</v>
      </c>
      <c r="AB403" s="24">
        <v>45860.455011342594</v>
      </c>
      <c r="AC403" s="24">
        <v>45860.4551253588</v>
      </c>
      <c r="AD403" s="24">
        <v>45860.4551253588</v>
      </c>
      <c r="AE403">
        <v>1</v>
      </c>
      <c r="AF403" s="24">
        <v>45860.4551253588</v>
      </c>
      <c r="AG403" s="24">
        <v>45860.4551253588</v>
      </c>
      <c r="AH403" s="24">
        <v>45860.455169837966</v>
      </c>
      <c r="AI403" s="24">
        <v>45860.455169837966</v>
      </c>
      <c r="AJ403">
        <v>1</v>
      </c>
      <c r="AK403" s="24"/>
      <c r="AL403" s="24"/>
      <c r="AM403" s="24"/>
      <c r="AN403" s="24"/>
      <c r="AP403" s="24"/>
      <c r="AQ403" s="24"/>
      <c r="AR403" s="24">
        <v>45860.412622511576</v>
      </c>
      <c r="AS403" s="24">
        <v>45860.412622511576</v>
      </c>
      <c r="AX403" s="24"/>
      <c r="AY403" s="24"/>
      <c r="AZ403" s="24"/>
      <c r="BA403" s="24"/>
      <c r="BC403" s="24"/>
      <c r="BD403" s="24"/>
      <c r="BE403" s="24"/>
      <c r="BF403" s="24"/>
      <c r="BH403" s="24">
        <v>45860.412622511576</v>
      </c>
      <c r="BI403" s="24">
        <v>45860.412622511576</v>
      </c>
      <c r="BJ403" s="24">
        <v>45860.455011342594</v>
      </c>
      <c r="BK403" s="24">
        <v>45860.455011342594</v>
      </c>
      <c r="BL403">
        <v>1</v>
      </c>
      <c r="BM403" s="24"/>
      <c r="BN403" s="24"/>
      <c r="BO403" s="24"/>
      <c r="BP403" s="24"/>
      <c r="BR403" s="24">
        <v>45860.455169837966</v>
      </c>
      <c r="BS403" s="24">
        <v>45860.455169837966</v>
      </c>
      <c r="BT403" s="24">
        <v>45860.455213692127</v>
      </c>
      <c r="BU403" s="24">
        <v>45860.455213692127</v>
      </c>
      <c r="BV403">
        <v>1</v>
      </c>
      <c r="BW403" s="24"/>
      <c r="BX403" s="24"/>
      <c r="BY403" s="24"/>
      <c r="BZ403" s="24"/>
      <c r="CB403" s="24"/>
      <c r="CC403" s="24"/>
      <c r="CE403" s="24">
        <v>45860.455213692127</v>
      </c>
      <c r="CF403" s="24">
        <v>45860.455213692127</v>
      </c>
      <c r="CG403">
        <v>1</v>
      </c>
      <c r="CH403" s="24"/>
      <c r="CI403" s="24"/>
      <c r="CJ403" s="24"/>
      <c r="CK403" s="24"/>
      <c r="DE403" s="24"/>
      <c r="DF403" s="24"/>
      <c r="DG403" s="24"/>
      <c r="DH403" s="24"/>
      <c r="DJ403" t="s">
        <v>149</v>
      </c>
      <c r="DK403" t="s">
        <v>149</v>
      </c>
      <c r="DM403">
        <v>1</v>
      </c>
      <c r="DN403">
        <v>1</v>
      </c>
      <c r="DQ403" t="s">
        <v>1000</v>
      </c>
      <c r="DR403" t="s">
        <v>149</v>
      </c>
      <c r="DS403" s="24">
        <v>46160.384426226854</v>
      </c>
    </row>
    <row r="404" spans="1:123" x14ac:dyDescent="0.3">
      <c r="A404" t="s">
        <v>654</v>
      </c>
      <c r="D404" t="s">
        <v>224</v>
      </c>
      <c r="E404" s="24">
        <v>45860.352627314816</v>
      </c>
      <c r="G404" t="s">
        <v>90</v>
      </c>
      <c r="H404" t="s">
        <v>155</v>
      </c>
      <c r="I404" s="24"/>
      <c r="J404" s="24"/>
      <c r="K404" s="24"/>
      <c r="L404" s="24"/>
      <c r="N404" s="24"/>
      <c r="O404" s="24"/>
      <c r="P404" s="24"/>
      <c r="Q404" s="24"/>
      <c r="V404" s="24"/>
      <c r="W404" s="24"/>
      <c r="X404" s="24"/>
      <c r="Y404" s="24"/>
      <c r="AA404" s="24">
        <v>45883.521161770834</v>
      </c>
      <c r="AB404" s="24">
        <v>45883.521161770834</v>
      </c>
      <c r="AC404" s="24">
        <v>45883.581034560186</v>
      </c>
      <c r="AD404" s="24">
        <v>45883.581034560186</v>
      </c>
      <c r="AE404">
        <v>1</v>
      </c>
      <c r="AF404" s="24">
        <v>45883.581034560186</v>
      </c>
      <c r="AG404" s="24">
        <v>45883.581034560186</v>
      </c>
      <c r="AH404" s="24">
        <v>45883.655923020837</v>
      </c>
      <c r="AI404" s="24">
        <v>45883.655923020837</v>
      </c>
      <c r="AJ404">
        <v>1</v>
      </c>
      <c r="AK404" s="24">
        <v>45883.655923020837</v>
      </c>
      <c r="AL404" s="24">
        <v>45883.655923020837</v>
      </c>
      <c r="AM404" s="24">
        <v>45884.431403402778</v>
      </c>
      <c r="AN404" s="24">
        <v>45884.431403402778</v>
      </c>
      <c r="AO404">
        <v>1</v>
      </c>
      <c r="AP404" s="24"/>
      <c r="AQ404" s="24"/>
      <c r="AR404" s="24">
        <v>45874.560234525467</v>
      </c>
      <c r="AS404" s="24">
        <v>45874.560234525467</v>
      </c>
      <c r="AX404" s="24"/>
      <c r="AY404" s="24"/>
      <c r="AZ404" s="24"/>
      <c r="BA404" s="24"/>
      <c r="BC404" s="24">
        <v>45884.431487372683</v>
      </c>
      <c r="BD404" s="24">
        <v>45884.431487372683</v>
      </c>
      <c r="BE404" s="24">
        <v>45887.685781134256</v>
      </c>
      <c r="BF404" s="24">
        <v>45887.685781134256</v>
      </c>
      <c r="BG404">
        <v>1</v>
      </c>
      <c r="BH404" s="24">
        <v>45874.560234525467</v>
      </c>
      <c r="BI404" s="24">
        <v>45874.560234525467</v>
      </c>
      <c r="BJ404" s="24">
        <v>45883.521161770834</v>
      </c>
      <c r="BK404" s="24">
        <v>45883.521161770834</v>
      </c>
      <c r="BL404">
        <v>1</v>
      </c>
      <c r="BM404" s="24"/>
      <c r="BN404" s="24"/>
      <c r="BO404" s="24"/>
      <c r="BP404" s="24"/>
      <c r="BR404" s="24">
        <v>45884.431403402778</v>
      </c>
      <c r="BS404" s="24">
        <v>45884.431403402778</v>
      </c>
      <c r="BT404" s="24">
        <v>45884.431487372683</v>
      </c>
      <c r="BU404" s="24">
        <v>45884.431487372683</v>
      </c>
      <c r="BV404">
        <v>1</v>
      </c>
      <c r="BW404" s="24"/>
      <c r="BX404" s="24"/>
      <c r="BY404" s="24"/>
      <c r="BZ404" s="24"/>
      <c r="CB404" s="24"/>
      <c r="CC404" s="24"/>
      <c r="CE404" s="24">
        <v>45887.685781134256</v>
      </c>
      <c r="CF404" s="24">
        <v>45887.685781134256</v>
      </c>
      <c r="CG404">
        <v>1</v>
      </c>
      <c r="CH404" s="24"/>
      <c r="CI404" s="24"/>
      <c r="CJ404" s="24"/>
      <c r="CK404" s="24"/>
      <c r="DE404" s="24"/>
      <c r="DF404" s="24"/>
      <c r="DG404" s="24"/>
      <c r="DH404" s="24"/>
      <c r="DJ404" t="s">
        <v>149</v>
      </c>
      <c r="DK404" t="s">
        <v>149</v>
      </c>
      <c r="DM404">
        <v>14</v>
      </c>
      <c r="DN404">
        <v>5</v>
      </c>
      <c r="DQ404" t="s">
        <v>1000</v>
      </c>
      <c r="DR404" t="s">
        <v>149</v>
      </c>
      <c r="DS404" s="24">
        <v>46160.384426226854</v>
      </c>
    </row>
    <row r="405" spans="1:123" x14ac:dyDescent="0.3">
      <c r="A405" t="s">
        <v>655</v>
      </c>
      <c r="D405" t="s">
        <v>223</v>
      </c>
      <c r="E405" s="24">
        <v>45859.53229166667</v>
      </c>
      <c r="G405" t="s">
        <v>90</v>
      </c>
      <c r="H405" t="s">
        <v>155</v>
      </c>
      <c r="I405" s="24"/>
      <c r="J405" s="24"/>
      <c r="K405" s="24"/>
      <c r="L405" s="24"/>
      <c r="N405" s="24"/>
      <c r="O405" s="24"/>
      <c r="P405" s="24"/>
      <c r="Q405" s="24"/>
      <c r="V405" s="24"/>
      <c r="W405" s="24"/>
      <c r="X405" s="24"/>
      <c r="Y405" s="24"/>
      <c r="AA405" s="24">
        <v>45880.459864548611</v>
      </c>
      <c r="AB405" s="24">
        <v>45870.380781678243</v>
      </c>
      <c r="AC405" s="24">
        <v>45876.614087037036</v>
      </c>
      <c r="AD405" s="24">
        <v>45884.404059606481</v>
      </c>
      <c r="AE405">
        <v>2</v>
      </c>
      <c r="AF405" s="24">
        <v>45884.404059606481</v>
      </c>
      <c r="AG405" s="24">
        <v>45884.404059606481</v>
      </c>
      <c r="AH405" s="24">
        <v>45888.408623356481</v>
      </c>
      <c r="AI405" s="24">
        <v>45888.408623356481</v>
      </c>
      <c r="AJ405">
        <v>1</v>
      </c>
      <c r="AK405" s="24"/>
      <c r="AL405" s="24"/>
      <c r="AM405" s="24"/>
      <c r="AN405" s="24"/>
      <c r="AP405" s="24"/>
      <c r="AQ405" s="24"/>
      <c r="AR405" s="24">
        <v>45870.380380208335</v>
      </c>
      <c r="AS405" s="24">
        <v>45870.380380208335</v>
      </c>
      <c r="AX405" s="24"/>
      <c r="AY405" s="24"/>
      <c r="AZ405" s="24"/>
      <c r="BA405" s="24"/>
      <c r="BC405" s="24"/>
      <c r="BD405" s="24"/>
      <c r="BE405" s="24"/>
      <c r="BF405" s="24"/>
      <c r="BH405" s="24">
        <v>45870.380380208335</v>
      </c>
      <c r="BI405" s="24">
        <v>45870.380380208335</v>
      </c>
      <c r="BJ405" s="24">
        <v>45870.380781678243</v>
      </c>
      <c r="BK405" s="24">
        <v>45870.380781678243</v>
      </c>
      <c r="BL405">
        <v>1</v>
      </c>
      <c r="BM405" s="24"/>
      <c r="BN405" s="24"/>
      <c r="BO405" s="24"/>
      <c r="BP405" s="24"/>
      <c r="BR405" s="24">
        <v>45888.408623356481</v>
      </c>
      <c r="BS405" s="24">
        <v>45876.614087037036</v>
      </c>
      <c r="BT405" s="24">
        <v>45880.459864548611</v>
      </c>
      <c r="BU405" s="24">
        <v>45888.408734409721</v>
      </c>
      <c r="BV405">
        <v>2</v>
      </c>
      <c r="BW405" s="24"/>
      <c r="BX405" s="24"/>
      <c r="BY405" s="24"/>
      <c r="BZ405" s="24"/>
      <c r="CB405" s="24"/>
      <c r="CC405" s="24"/>
      <c r="CE405" s="24">
        <v>45888.408734409721</v>
      </c>
      <c r="CF405" s="24">
        <v>45888.408734409721</v>
      </c>
      <c r="CG405">
        <v>1</v>
      </c>
      <c r="CH405" s="24"/>
      <c r="CI405" s="24"/>
      <c r="CJ405" s="24"/>
      <c r="CK405" s="24"/>
      <c r="DE405" s="24"/>
      <c r="DF405" s="24"/>
      <c r="DG405" s="24"/>
      <c r="DH405" s="24"/>
      <c r="DJ405" t="s">
        <v>149</v>
      </c>
      <c r="DK405" t="s">
        <v>149</v>
      </c>
      <c r="DM405">
        <v>19</v>
      </c>
      <c r="DN405">
        <v>19</v>
      </c>
      <c r="DQ405" t="s">
        <v>1000</v>
      </c>
      <c r="DR405" t="s">
        <v>149</v>
      </c>
      <c r="DS405" s="24">
        <v>46160.384426226854</v>
      </c>
    </row>
    <row r="406" spans="1:123" x14ac:dyDescent="0.3">
      <c r="A406" t="s">
        <v>656</v>
      </c>
      <c r="D406" t="s">
        <v>223</v>
      </c>
      <c r="E406" s="24">
        <v>45859.345011574071</v>
      </c>
      <c r="G406" t="s">
        <v>90</v>
      </c>
      <c r="H406" t="s">
        <v>155</v>
      </c>
      <c r="I406" s="24"/>
      <c r="J406" s="24"/>
      <c r="K406" s="24"/>
      <c r="L406" s="24"/>
      <c r="N406" s="24">
        <v>45861.615077511575</v>
      </c>
      <c r="O406" s="24">
        <v>45861.615077511575</v>
      </c>
      <c r="P406" s="24">
        <v>45863.404332893515</v>
      </c>
      <c r="Q406" s="24">
        <v>45863.404332893515</v>
      </c>
      <c r="R406">
        <v>1</v>
      </c>
      <c r="V406" s="24"/>
      <c r="W406" s="24"/>
      <c r="X406" s="24"/>
      <c r="Y406" s="24"/>
      <c r="AA406" s="24">
        <v>45863.404332893515</v>
      </c>
      <c r="AB406" s="24">
        <v>45860.481946736109</v>
      </c>
      <c r="AC406" s="24">
        <v>45861.615077511575</v>
      </c>
      <c r="AD406" s="24">
        <v>45868.396276168984</v>
      </c>
      <c r="AE406">
        <v>2</v>
      </c>
      <c r="AF406" s="24"/>
      <c r="AG406" s="24"/>
      <c r="AH406" s="24"/>
      <c r="AI406" s="24"/>
      <c r="AK406" s="24"/>
      <c r="AL406" s="24"/>
      <c r="AM406" s="24"/>
      <c r="AN406" s="24"/>
      <c r="AP406" s="24"/>
      <c r="AQ406" s="24"/>
      <c r="AR406" s="24">
        <v>45860.481858090279</v>
      </c>
      <c r="AS406" s="24">
        <v>45860.481858090279</v>
      </c>
      <c r="AX406" s="24"/>
      <c r="AY406" s="24"/>
      <c r="AZ406" s="24"/>
      <c r="BA406" s="24"/>
      <c r="BC406" s="24"/>
      <c r="BD406" s="24"/>
      <c r="BE406" s="24"/>
      <c r="BF406" s="24"/>
      <c r="BH406" s="24">
        <v>45860.481858090279</v>
      </c>
      <c r="BI406" s="24">
        <v>45860.481858090279</v>
      </c>
      <c r="BJ406" s="24">
        <v>45860.481946736109</v>
      </c>
      <c r="BK406" s="24">
        <v>45860.481946736109</v>
      </c>
      <c r="BL406">
        <v>1</v>
      </c>
      <c r="BM406" s="24"/>
      <c r="BN406" s="24"/>
      <c r="BO406" s="24"/>
      <c r="BP406" s="24"/>
      <c r="BR406" s="24">
        <v>45868.396276168984</v>
      </c>
      <c r="BS406" s="24">
        <v>45868.396276168984</v>
      </c>
      <c r="BT406" s="24">
        <v>45868.474219849537</v>
      </c>
      <c r="BU406" s="24">
        <v>45868.474219849537</v>
      </c>
      <c r="BV406">
        <v>1</v>
      </c>
      <c r="BW406" s="24"/>
      <c r="BX406" s="24"/>
      <c r="BY406" s="24"/>
      <c r="BZ406" s="24"/>
      <c r="CB406" s="24"/>
      <c r="CC406" s="24"/>
      <c r="CE406" s="24">
        <v>45868.474219849537</v>
      </c>
      <c r="CF406" s="24">
        <v>45868.474219849537</v>
      </c>
      <c r="CG406">
        <v>1</v>
      </c>
      <c r="CH406" s="24"/>
      <c r="CI406" s="24"/>
      <c r="CJ406" s="24"/>
      <c r="CK406" s="24"/>
      <c r="DE406" s="24"/>
      <c r="DF406" s="24"/>
      <c r="DG406" s="24"/>
      <c r="DH406" s="24"/>
      <c r="DJ406" t="s">
        <v>149</v>
      </c>
      <c r="DK406" t="s">
        <v>149</v>
      </c>
      <c r="DL406">
        <v>1.7892553240740741</v>
      </c>
      <c r="DM406">
        <v>8</v>
      </c>
      <c r="DN406">
        <v>8</v>
      </c>
      <c r="DQ406" t="s">
        <v>1000</v>
      </c>
      <c r="DR406" t="s">
        <v>149</v>
      </c>
      <c r="DS406" s="24">
        <v>46160.384426226854</v>
      </c>
    </row>
    <row r="407" spans="1:123" x14ac:dyDescent="0.3">
      <c r="A407" t="s">
        <v>657</v>
      </c>
      <c r="D407" t="s">
        <v>223</v>
      </c>
      <c r="E407" s="24">
        <v>45856.675775462965</v>
      </c>
      <c r="G407" t="s">
        <v>107</v>
      </c>
      <c r="H407" t="s">
        <v>154</v>
      </c>
      <c r="I407" s="24"/>
      <c r="J407" s="24"/>
      <c r="K407" s="24"/>
      <c r="L407" s="24"/>
      <c r="N407" s="24"/>
      <c r="O407" s="24"/>
      <c r="P407" s="24"/>
      <c r="Q407" s="24"/>
      <c r="V407" s="24"/>
      <c r="W407" s="24"/>
      <c r="X407" s="24"/>
      <c r="Y407" s="24"/>
      <c r="AA407" s="24"/>
      <c r="AB407" s="24"/>
      <c r="AC407" s="24"/>
      <c r="AD407" s="24"/>
      <c r="AF407" s="24"/>
      <c r="AG407" s="24"/>
      <c r="AH407" s="24"/>
      <c r="AI407" s="24"/>
      <c r="AK407" s="24"/>
      <c r="AL407" s="24"/>
      <c r="AM407" s="24"/>
      <c r="AN407" s="24"/>
      <c r="AP407" s="24"/>
      <c r="AQ407" s="24"/>
      <c r="AR407" s="24">
        <v>45860.570510949074</v>
      </c>
      <c r="AS407" s="24">
        <v>45860.570510949074</v>
      </c>
      <c r="AX407" s="24"/>
      <c r="AY407" s="24"/>
      <c r="AZ407" s="24"/>
      <c r="BA407" s="24"/>
      <c r="BC407" s="24"/>
      <c r="BD407" s="24"/>
      <c r="BE407" s="24"/>
      <c r="BF407" s="24"/>
      <c r="BH407" s="24">
        <v>45860.570510949074</v>
      </c>
      <c r="BI407" s="24">
        <v>45860.570510949074</v>
      </c>
      <c r="BJ407" s="24"/>
      <c r="BK407" s="24"/>
      <c r="BL407">
        <v>1</v>
      </c>
      <c r="BM407" s="24"/>
      <c r="BN407" s="24"/>
      <c r="BO407" s="24"/>
      <c r="BP407" s="24"/>
      <c r="BR407" s="24"/>
      <c r="BS407" s="24"/>
      <c r="BT407" s="24"/>
      <c r="BU407" s="24"/>
      <c r="BW407" s="24"/>
      <c r="BX407" s="24"/>
      <c r="BY407" s="24"/>
      <c r="BZ407" s="24"/>
      <c r="CB407" s="24"/>
      <c r="CC407" s="24"/>
      <c r="CE407" s="24"/>
      <c r="CF407" s="24"/>
      <c r="CH407" s="24"/>
      <c r="CI407" s="24"/>
      <c r="CJ407" s="24"/>
      <c r="CK407" s="24"/>
      <c r="DE407" s="24"/>
      <c r="DF407" s="24"/>
      <c r="DG407" s="24"/>
      <c r="DH407" s="24"/>
      <c r="DJ407" t="s">
        <v>149</v>
      </c>
      <c r="DK407" t="s">
        <v>149</v>
      </c>
      <c r="DP407">
        <v>300</v>
      </c>
      <c r="DQ407" t="s">
        <v>1000</v>
      </c>
      <c r="DR407" t="s">
        <v>149</v>
      </c>
      <c r="DS407" s="24">
        <v>46160.384426226854</v>
      </c>
    </row>
    <row r="408" spans="1:123" x14ac:dyDescent="0.3">
      <c r="A408" t="s">
        <v>658</v>
      </c>
      <c r="D408" t="s">
        <v>223</v>
      </c>
      <c r="E408" s="24">
        <v>45855.379976851851</v>
      </c>
      <c r="G408" t="s">
        <v>90</v>
      </c>
      <c r="H408" t="s">
        <v>155</v>
      </c>
      <c r="I408" s="24"/>
      <c r="J408" s="24"/>
      <c r="K408" s="24"/>
      <c r="L408" s="24"/>
      <c r="N408" s="24"/>
      <c r="O408" s="24"/>
      <c r="P408" s="24"/>
      <c r="Q408" s="24"/>
      <c r="V408" s="24"/>
      <c r="W408" s="24"/>
      <c r="X408" s="24"/>
      <c r="Y408" s="24"/>
      <c r="AA408" s="24">
        <v>45869.629873229169</v>
      </c>
      <c r="AB408" s="24">
        <v>45861.487116064818</v>
      </c>
      <c r="AC408" s="24">
        <v>45863.608170879626</v>
      </c>
      <c r="AD408" s="24">
        <v>45870.379912673612</v>
      </c>
      <c r="AE408">
        <v>2</v>
      </c>
      <c r="AF408" s="24">
        <v>45870.379912673612</v>
      </c>
      <c r="AG408" s="24">
        <v>45863.608170879626</v>
      </c>
      <c r="AH408" s="24">
        <v>45869.629873229169</v>
      </c>
      <c r="AI408" s="24">
        <v>45870.499934814812</v>
      </c>
      <c r="AJ408">
        <v>2</v>
      </c>
      <c r="AK408" s="24"/>
      <c r="AL408" s="24"/>
      <c r="AM408" s="24"/>
      <c r="AN408" s="24"/>
      <c r="AP408" s="24">
        <v>45856.414419224537</v>
      </c>
      <c r="AQ408" s="24">
        <v>45856.414419224537</v>
      </c>
      <c r="AR408" s="24">
        <v>45860.481085312502</v>
      </c>
      <c r="AS408" s="24">
        <v>45860.481085312502</v>
      </c>
      <c r="AT408">
        <v>1</v>
      </c>
      <c r="AX408" s="24"/>
      <c r="AY408" s="24"/>
      <c r="AZ408" s="24"/>
      <c r="BA408" s="24"/>
      <c r="BC408" s="24"/>
      <c r="BD408" s="24"/>
      <c r="BE408" s="24"/>
      <c r="BF408" s="24"/>
      <c r="BH408" s="24">
        <v>45860.481085312502</v>
      </c>
      <c r="BI408" s="24">
        <v>45860.481085312502</v>
      </c>
      <c r="BJ408" s="24">
        <v>45861.487116064818</v>
      </c>
      <c r="BK408" s="24">
        <v>45861.487116064818</v>
      </c>
      <c r="BL408">
        <v>1</v>
      </c>
      <c r="BM408" s="24"/>
      <c r="BN408" s="24"/>
      <c r="BO408" s="24"/>
      <c r="BP408" s="24"/>
      <c r="BR408" s="24"/>
      <c r="BS408" s="24"/>
      <c r="BT408" s="24"/>
      <c r="BU408" s="24"/>
      <c r="BW408" s="24"/>
      <c r="BX408" s="24"/>
      <c r="BY408" s="24"/>
      <c r="BZ408" s="24"/>
      <c r="CB408" s="24"/>
      <c r="CC408" s="24"/>
      <c r="CE408" s="24">
        <v>45870.499934814812</v>
      </c>
      <c r="CF408" s="24">
        <v>45870.499934814812</v>
      </c>
      <c r="CG408">
        <v>1</v>
      </c>
      <c r="CH408" s="24"/>
      <c r="CI408" s="24"/>
      <c r="CJ408" s="24"/>
      <c r="CK408" s="24"/>
      <c r="DE408" s="24"/>
      <c r="DF408" s="24"/>
      <c r="DG408" s="24"/>
      <c r="DH408" s="24"/>
      <c r="DJ408" t="s">
        <v>149</v>
      </c>
      <c r="DK408" t="s">
        <v>149</v>
      </c>
      <c r="DM408">
        <v>11</v>
      </c>
      <c r="DN408">
        <v>10</v>
      </c>
      <c r="DQ408" t="s">
        <v>1000</v>
      </c>
      <c r="DR408" t="s">
        <v>149</v>
      </c>
      <c r="DS408" s="24">
        <v>46160.384426226854</v>
      </c>
    </row>
    <row r="409" spans="1:123" x14ac:dyDescent="0.3">
      <c r="A409" t="s">
        <v>659</v>
      </c>
      <c r="D409" t="s">
        <v>223</v>
      </c>
      <c r="E409" s="24">
        <v>45855.37300925926</v>
      </c>
      <c r="G409" t="s">
        <v>90</v>
      </c>
      <c r="H409" t="s">
        <v>155</v>
      </c>
      <c r="I409" s="24"/>
      <c r="J409" s="24"/>
      <c r="K409" s="24"/>
      <c r="L409" s="24"/>
      <c r="N409" s="24"/>
      <c r="O409" s="24"/>
      <c r="P409" s="24"/>
      <c r="Q409" s="24"/>
      <c r="V409" s="24"/>
      <c r="W409" s="24"/>
      <c r="X409" s="24"/>
      <c r="Y409" s="24"/>
      <c r="AA409" s="24">
        <v>45860.483242141207</v>
      </c>
      <c r="AB409" s="24">
        <v>45860.483242141207</v>
      </c>
      <c r="AC409" s="24">
        <v>45873.357177523147</v>
      </c>
      <c r="AD409" s="24">
        <v>45873.357177523147</v>
      </c>
      <c r="AE409">
        <v>1</v>
      </c>
      <c r="AF409" s="24"/>
      <c r="AG409" s="24"/>
      <c r="AH409" s="24"/>
      <c r="AI409" s="24"/>
      <c r="AK409" s="24"/>
      <c r="AL409" s="24"/>
      <c r="AM409" s="24"/>
      <c r="AN409" s="24"/>
      <c r="AP409" s="24"/>
      <c r="AQ409" s="24"/>
      <c r="AR409" s="24">
        <v>45860.480795543983</v>
      </c>
      <c r="AS409" s="24">
        <v>45860.480795543983</v>
      </c>
      <c r="AX409" s="24"/>
      <c r="AY409" s="24"/>
      <c r="AZ409" s="24"/>
      <c r="BA409" s="24"/>
      <c r="BC409" s="24"/>
      <c r="BD409" s="24"/>
      <c r="BE409" s="24"/>
      <c r="BF409" s="24"/>
      <c r="BH409" s="24">
        <v>45860.480795543983</v>
      </c>
      <c r="BI409" s="24">
        <v>45860.480795543983</v>
      </c>
      <c r="BJ409" s="24">
        <v>45860.483242141207</v>
      </c>
      <c r="BK409" s="24">
        <v>45860.483242141207</v>
      </c>
      <c r="BL409">
        <v>1</v>
      </c>
      <c r="BM409" s="24"/>
      <c r="BN409" s="24"/>
      <c r="BO409" s="24"/>
      <c r="BP409" s="24"/>
      <c r="BR409" s="24">
        <v>45873.357177523147</v>
      </c>
      <c r="BS409" s="24">
        <v>45873.357177523147</v>
      </c>
      <c r="BT409" s="24">
        <v>45873.404822627315</v>
      </c>
      <c r="BU409" s="24">
        <v>45873.404822627315</v>
      </c>
      <c r="BV409">
        <v>1</v>
      </c>
      <c r="BW409" s="24"/>
      <c r="BX409" s="24"/>
      <c r="BY409" s="24"/>
      <c r="BZ409" s="24"/>
      <c r="CB409" s="24"/>
      <c r="CC409" s="24"/>
      <c r="CE409" s="24">
        <v>45873.404822627315</v>
      </c>
      <c r="CF409" s="24">
        <v>45873.404822627315</v>
      </c>
      <c r="CG409">
        <v>1</v>
      </c>
      <c r="CH409" s="24"/>
      <c r="CI409" s="24"/>
      <c r="CJ409" s="24"/>
      <c r="CK409" s="24"/>
      <c r="DE409" s="24"/>
      <c r="DF409" s="24"/>
      <c r="DG409" s="24"/>
      <c r="DH409" s="24"/>
      <c r="DJ409" t="s">
        <v>149</v>
      </c>
      <c r="DK409" t="s">
        <v>149</v>
      </c>
      <c r="DM409">
        <v>13</v>
      </c>
      <c r="DN409">
        <v>13</v>
      </c>
      <c r="DQ409" t="s">
        <v>1000</v>
      </c>
      <c r="DR409" t="s">
        <v>149</v>
      </c>
      <c r="DS409" s="24">
        <v>46160.384426226854</v>
      </c>
    </row>
    <row r="410" spans="1:123" x14ac:dyDescent="0.3">
      <c r="A410" t="s">
        <v>660</v>
      </c>
      <c r="D410" t="s">
        <v>225</v>
      </c>
      <c r="E410" s="24">
        <v>45853.591747685183</v>
      </c>
      <c r="G410" t="s">
        <v>90</v>
      </c>
      <c r="H410" t="s">
        <v>155</v>
      </c>
      <c r="I410" s="24"/>
      <c r="J410" s="24"/>
      <c r="K410" s="24"/>
      <c r="L410" s="24"/>
      <c r="N410" s="24"/>
      <c r="O410" s="24"/>
      <c r="P410" s="24"/>
      <c r="Q410" s="24"/>
      <c r="V410" s="24"/>
      <c r="W410" s="24"/>
      <c r="X410" s="24"/>
      <c r="Y410" s="24"/>
      <c r="AA410" s="24">
        <v>45854.406926678239</v>
      </c>
      <c r="AB410" s="24">
        <v>45854.406926678239</v>
      </c>
      <c r="AC410" s="24">
        <v>45854.588568634259</v>
      </c>
      <c r="AD410" s="24">
        <v>45854.588568634259</v>
      </c>
      <c r="AE410">
        <v>1</v>
      </c>
      <c r="AF410" s="24">
        <v>45854.588568634259</v>
      </c>
      <c r="AG410" s="24">
        <v>45854.588568634259</v>
      </c>
      <c r="AH410" s="24">
        <v>45855.39486291667</v>
      </c>
      <c r="AI410" s="24">
        <v>45855.39486291667</v>
      </c>
      <c r="AJ410">
        <v>1</v>
      </c>
      <c r="AK410" s="24">
        <v>45855.39486291667</v>
      </c>
      <c r="AL410" s="24">
        <v>45855.39486291667</v>
      </c>
      <c r="AM410" s="24">
        <v>45855.597119004633</v>
      </c>
      <c r="AN410" s="24">
        <v>45855.597119004633</v>
      </c>
      <c r="AO410">
        <v>1</v>
      </c>
      <c r="AP410" s="24"/>
      <c r="AQ410" s="24"/>
      <c r="AR410" s="24">
        <v>45853.59438037037</v>
      </c>
      <c r="AS410" s="24">
        <v>45853.59438037037</v>
      </c>
      <c r="AX410" s="24"/>
      <c r="AY410" s="24"/>
      <c r="AZ410" s="24"/>
      <c r="BA410" s="24"/>
      <c r="BC410" s="24">
        <v>45855.600912858798</v>
      </c>
      <c r="BD410" s="24">
        <v>45855.600912858798</v>
      </c>
      <c r="BE410" s="24">
        <v>45861.332070092591</v>
      </c>
      <c r="BF410" s="24">
        <v>45861.332070092591</v>
      </c>
      <c r="BG410">
        <v>1</v>
      </c>
      <c r="BH410" s="24">
        <v>45853.59438037037</v>
      </c>
      <c r="BI410" s="24">
        <v>45853.59438037037</v>
      </c>
      <c r="BJ410" s="24">
        <v>45854.406926678239</v>
      </c>
      <c r="BK410" s="24">
        <v>45854.406926678239</v>
      </c>
      <c r="BL410">
        <v>1</v>
      </c>
      <c r="BM410" s="24"/>
      <c r="BN410" s="24"/>
      <c r="BO410" s="24"/>
      <c r="BP410" s="24"/>
      <c r="BR410" s="24">
        <v>45855.597119004633</v>
      </c>
      <c r="BS410" s="24">
        <v>45855.597119004633</v>
      </c>
      <c r="BT410" s="24">
        <v>45855.600912858798</v>
      </c>
      <c r="BU410" s="24">
        <v>45855.600912858798</v>
      </c>
      <c r="BV410">
        <v>1</v>
      </c>
      <c r="BW410" s="24"/>
      <c r="BX410" s="24"/>
      <c r="BY410" s="24"/>
      <c r="BZ410" s="24"/>
      <c r="CB410" s="24"/>
      <c r="CC410" s="24"/>
      <c r="CE410" s="24">
        <v>45861.332070092591</v>
      </c>
      <c r="CF410" s="24">
        <v>45861.332070092591</v>
      </c>
      <c r="CG410">
        <v>1</v>
      </c>
      <c r="CH410" s="24"/>
      <c r="CI410" s="24"/>
      <c r="CJ410" s="24"/>
      <c r="CK410" s="24"/>
      <c r="DE410" s="24"/>
      <c r="DF410" s="24"/>
      <c r="DG410" s="24"/>
      <c r="DH410" s="24"/>
      <c r="DJ410" t="s">
        <v>149</v>
      </c>
      <c r="DK410" t="s">
        <v>149</v>
      </c>
      <c r="DM410">
        <v>8</v>
      </c>
      <c r="DN410">
        <v>7</v>
      </c>
      <c r="DQ410" t="s">
        <v>1000</v>
      </c>
      <c r="DR410" t="s">
        <v>149</v>
      </c>
      <c r="DS410" s="24">
        <v>46160.384426226854</v>
      </c>
    </row>
    <row r="411" spans="1:123" x14ac:dyDescent="0.3">
      <c r="A411" t="s">
        <v>661</v>
      </c>
      <c r="D411" t="s">
        <v>225</v>
      </c>
      <c r="E411" s="24">
        <v>45853.358842592592</v>
      </c>
      <c r="G411" t="s">
        <v>90</v>
      </c>
      <c r="H411" t="s">
        <v>155</v>
      </c>
      <c r="I411" s="24"/>
      <c r="J411" s="24"/>
      <c r="K411" s="24"/>
      <c r="L411" s="24"/>
      <c r="N411" s="24"/>
      <c r="O411" s="24"/>
      <c r="P411" s="24"/>
      <c r="Q411" s="24"/>
      <c r="V411" s="24"/>
      <c r="W411" s="24"/>
      <c r="X411" s="24"/>
      <c r="Y411" s="24"/>
      <c r="AA411" s="24">
        <v>45853.537426863426</v>
      </c>
      <c r="AB411" s="24">
        <v>45853.537426863426</v>
      </c>
      <c r="AC411" s="24">
        <v>45856.343385613429</v>
      </c>
      <c r="AD411" s="24">
        <v>45856.343385613429</v>
      </c>
      <c r="AE411">
        <v>1</v>
      </c>
      <c r="AF411" s="24">
        <v>45856.343385613429</v>
      </c>
      <c r="AG411" s="24">
        <v>45856.343385613429</v>
      </c>
      <c r="AH411" s="24">
        <v>45858.71708047454</v>
      </c>
      <c r="AI411" s="24">
        <v>45858.71708047454</v>
      </c>
      <c r="AJ411">
        <v>1</v>
      </c>
      <c r="AK411" s="24">
        <v>45858.71708047454</v>
      </c>
      <c r="AL411" s="24">
        <v>45858.71708047454</v>
      </c>
      <c r="AM411" s="24">
        <v>45858.717129155091</v>
      </c>
      <c r="AN411" s="24">
        <v>45858.717129155091</v>
      </c>
      <c r="AO411">
        <v>1</v>
      </c>
      <c r="AP411" s="24"/>
      <c r="AQ411" s="24"/>
      <c r="AR411" s="24">
        <v>45853.536144537036</v>
      </c>
      <c r="AS411" s="24">
        <v>45853.536144537036</v>
      </c>
      <c r="AX411" s="24"/>
      <c r="AY411" s="24"/>
      <c r="AZ411" s="24"/>
      <c r="BA411" s="24"/>
      <c r="BC411" s="24">
        <v>45859.404023796298</v>
      </c>
      <c r="BD411" s="24">
        <v>45859.404023796298</v>
      </c>
      <c r="BE411" s="24">
        <v>45861.332070081022</v>
      </c>
      <c r="BF411" s="24">
        <v>45861.332070081022</v>
      </c>
      <c r="BG411">
        <v>1</v>
      </c>
      <c r="BH411" s="24">
        <v>45853.536144537036</v>
      </c>
      <c r="BI411" s="24">
        <v>45853.536144537036</v>
      </c>
      <c r="BJ411" s="24">
        <v>45853.537426863426</v>
      </c>
      <c r="BK411" s="24">
        <v>45853.537426863426</v>
      </c>
      <c r="BL411">
        <v>1</v>
      </c>
      <c r="BM411" s="24"/>
      <c r="BN411" s="24"/>
      <c r="BO411" s="24"/>
      <c r="BP411" s="24"/>
      <c r="BR411" s="24">
        <v>45858.717129155091</v>
      </c>
      <c r="BS411" s="24">
        <v>45858.717129155091</v>
      </c>
      <c r="BT411" s="24">
        <v>45859.404023796298</v>
      </c>
      <c r="BU411" s="24">
        <v>45859.404023796298</v>
      </c>
      <c r="BV411">
        <v>1</v>
      </c>
      <c r="BW411" s="24"/>
      <c r="BX411" s="24"/>
      <c r="BY411" s="24"/>
      <c r="BZ411" s="24"/>
      <c r="CB411" s="24"/>
      <c r="CC411" s="24"/>
      <c r="CE411" s="24">
        <v>45861.332070081022</v>
      </c>
      <c r="CF411" s="24">
        <v>45861.332070081022</v>
      </c>
      <c r="CG411">
        <v>1</v>
      </c>
      <c r="CH411" s="24"/>
      <c r="CI411" s="24"/>
      <c r="CJ411" s="24"/>
      <c r="CK411" s="24"/>
      <c r="DE411" s="24"/>
      <c r="DF411" s="24"/>
      <c r="DG411" s="24"/>
      <c r="DH411" s="24"/>
      <c r="DJ411" t="s">
        <v>149</v>
      </c>
      <c r="DK411" t="s">
        <v>149</v>
      </c>
      <c r="DM411">
        <v>8</v>
      </c>
      <c r="DN411">
        <v>8</v>
      </c>
      <c r="DQ411" t="s">
        <v>1000</v>
      </c>
      <c r="DR411" t="s">
        <v>149</v>
      </c>
      <c r="DS411" s="24">
        <v>46160.384426226854</v>
      </c>
    </row>
    <row r="412" spans="1:123" x14ac:dyDescent="0.3">
      <c r="A412" t="s">
        <v>662</v>
      </c>
      <c r="D412" t="s">
        <v>223</v>
      </c>
      <c r="E412" s="24">
        <v>45852.497141203705</v>
      </c>
      <c r="G412" t="s">
        <v>150</v>
      </c>
      <c r="H412" t="s">
        <v>155</v>
      </c>
      <c r="I412" s="24"/>
      <c r="J412" s="24"/>
      <c r="K412" s="24"/>
      <c r="L412" s="24"/>
      <c r="N412" s="24"/>
      <c r="O412" s="24"/>
      <c r="P412" s="24"/>
      <c r="Q412" s="24"/>
      <c r="V412" s="24"/>
      <c r="W412" s="24"/>
      <c r="X412" s="24"/>
      <c r="Y412" s="24"/>
      <c r="AA412" s="24"/>
      <c r="AB412" s="24"/>
      <c r="AC412" s="24"/>
      <c r="AD412" s="24"/>
      <c r="AF412" s="24"/>
      <c r="AG412" s="24"/>
      <c r="AH412" s="24"/>
      <c r="AI412" s="24"/>
      <c r="AK412" s="24"/>
      <c r="AL412" s="24"/>
      <c r="AM412" s="24"/>
      <c r="AN412" s="24"/>
      <c r="AP412" s="24"/>
      <c r="AQ412" s="24"/>
      <c r="AR412" s="24">
        <v>45939.617154687498</v>
      </c>
      <c r="AS412" s="24">
        <v>45939.617154687498</v>
      </c>
      <c r="AX412" s="24"/>
      <c r="AY412" s="24"/>
      <c r="AZ412" s="24"/>
      <c r="BA412" s="24"/>
      <c r="BC412" s="24"/>
      <c r="BD412" s="24"/>
      <c r="BE412" s="24"/>
      <c r="BF412" s="24"/>
      <c r="BH412" s="24"/>
      <c r="BI412" s="24"/>
      <c r="BJ412" s="24"/>
      <c r="BK412" s="24"/>
      <c r="BM412" s="24"/>
      <c r="BN412" s="24"/>
      <c r="BO412" s="24"/>
      <c r="BP412" s="24"/>
      <c r="BR412" s="24"/>
      <c r="BS412" s="24"/>
      <c r="BT412" s="24"/>
      <c r="BU412" s="24"/>
      <c r="BW412" s="24"/>
      <c r="BX412" s="24"/>
      <c r="BY412" s="24"/>
      <c r="BZ412" s="24"/>
      <c r="CB412" s="24">
        <v>45939.617154687498</v>
      </c>
      <c r="CC412" s="24">
        <v>45939.617154687498</v>
      </c>
      <c r="CD412">
        <v>1</v>
      </c>
      <c r="CE412" s="24"/>
      <c r="CF412" s="24"/>
      <c r="CH412" s="24"/>
      <c r="CI412" s="24"/>
      <c r="CJ412" s="24"/>
      <c r="CK412" s="24"/>
      <c r="DE412" s="24"/>
      <c r="DF412" s="24"/>
      <c r="DG412" s="24"/>
      <c r="DH412" s="24"/>
      <c r="DJ412" t="s">
        <v>149</v>
      </c>
      <c r="DK412" t="s">
        <v>149</v>
      </c>
      <c r="DQ412" t="s">
        <v>1000</v>
      </c>
      <c r="DR412" t="s">
        <v>149</v>
      </c>
      <c r="DS412" s="24">
        <v>46160.384426226854</v>
      </c>
    </row>
    <row r="413" spans="1:123" x14ac:dyDescent="0.3">
      <c r="A413" t="s">
        <v>663</v>
      </c>
      <c r="D413" t="s">
        <v>225</v>
      </c>
      <c r="E413" s="24">
        <v>45849.355856481481</v>
      </c>
      <c r="G413" t="s">
        <v>150</v>
      </c>
      <c r="H413" t="s">
        <v>155</v>
      </c>
      <c r="I413" s="24"/>
      <c r="J413" s="24"/>
      <c r="K413" s="24"/>
      <c r="L413" s="24"/>
      <c r="N413" s="24"/>
      <c r="O413" s="24"/>
      <c r="P413" s="24"/>
      <c r="Q413" s="24"/>
      <c r="V413" s="24"/>
      <c r="W413" s="24"/>
      <c r="X413" s="24"/>
      <c r="Y413" s="24"/>
      <c r="AA413" s="24"/>
      <c r="AB413" s="24"/>
      <c r="AC413" s="24"/>
      <c r="AD413" s="24"/>
      <c r="AF413" s="24"/>
      <c r="AG413" s="24"/>
      <c r="AH413" s="24"/>
      <c r="AI413" s="24"/>
      <c r="AK413" s="24"/>
      <c r="AL413" s="24"/>
      <c r="AM413" s="24"/>
      <c r="AN413" s="24"/>
      <c r="AP413" s="24"/>
      <c r="AQ413" s="24"/>
      <c r="AR413" s="24">
        <v>46003.576547615739</v>
      </c>
      <c r="AS413" s="24">
        <v>46003.576547615739</v>
      </c>
      <c r="AX413" s="24"/>
      <c r="AY413" s="24"/>
      <c r="AZ413" s="24"/>
      <c r="BA413" s="24"/>
      <c r="BC413" s="24"/>
      <c r="BD413" s="24"/>
      <c r="BE413" s="24"/>
      <c r="BF413" s="24"/>
      <c r="BH413" s="24"/>
      <c r="BI413" s="24"/>
      <c r="BJ413" s="24"/>
      <c r="BK413" s="24"/>
      <c r="BM413" s="24"/>
      <c r="BN413" s="24"/>
      <c r="BO413" s="24"/>
      <c r="BP413" s="24"/>
      <c r="BR413" s="24"/>
      <c r="BS413" s="24"/>
      <c r="BT413" s="24"/>
      <c r="BU413" s="24"/>
      <c r="BW413" s="24"/>
      <c r="BX413" s="24"/>
      <c r="BY413" s="24"/>
      <c r="BZ413" s="24"/>
      <c r="CB413" s="24">
        <v>46003.576547615739</v>
      </c>
      <c r="CC413" s="24">
        <v>46003.576547615739</v>
      </c>
      <c r="CD413">
        <v>1</v>
      </c>
      <c r="CE413" s="24"/>
      <c r="CF413" s="24"/>
      <c r="CH413" s="24"/>
      <c r="CI413" s="24"/>
      <c r="CJ413" s="24"/>
      <c r="CK413" s="24"/>
      <c r="DE413" s="24"/>
      <c r="DF413" s="24"/>
      <c r="DG413" s="24"/>
      <c r="DH413" s="24"/>
      <c r="DJ413" t="s">
        <v>149</v>
      </c>
      <c r="DK413" t="s">
        <v>149</v>
      </c>
      <c r="DQ413" t="s">
        <v>1000</v>
      </c>
      <c r="DR413" t="s">
        <v>149</v>
      </c>
      <c r="DS413" s="24">
        <v>46160.384426226854</v>
      </c>
    </row>
    <row r="414" spans="1:123" x14ac:dyDescent="0.3">
      <c r="A414" t="s">
        <v>664</v>
      </c>
      <c r="D414" t="s">
        <v>223</v>
      </c>
      <c r="E414" s="24">
        <v>45848.516006944446</v>
      </c>
      <c r="G414" t="s">
        <v>103</v>
      </c>
      <c r="H414" t="s">
        <v>154</v>
      </c>
      <c r="I414" s="24">
        <v>45960.44279818287</v>
      </c>
      <c r="J414" s="24">
        <v>45960.44279818287</v>
      </c>
      <c r="K414" s="24"/>
      <c r="L414" s="24"/>
      <c r="M414">
        <v>1</v>
      </c>
      <c r="N414" s="24">
        <v>45859.40434627315</v>
      </c>
      <c r="O414" s="24">
        <v>45859.40434627315</v>
      </c>
      <c r="P414" s="24">
        <v>45960.44279818287</v>
      </c>
      <c r="Q414" s="24">
        <v>45960.44279818287</v>
      </c>
      <c r="R414">
        <v>1</v>
      </c>
      <c r="V414" s="24"/>
      <c r="W414" s="24"/>
      <c r="X414" s="24"/>
      <c r="Y414" s="24"/>
      <c r="AA414" s="24">
        <v>45848.517084189814</v>
      </c>
      <c r="AB414" s="24">
        <v>45848.517084189814</v>
      </c>
      <c r="AC414" s="24">
        <v>45859.40434627315</v>
      </c>
      <c r="AD414" s="24">
        <v>45859.40434627315</v>
      </c>
      <c r="AE414">
        <v>1</v>
      </c>
      <c r="AF414" s="24"/>
      <c r="AG414" s="24"/>
      <c r="AH414" s="24"/>
      <c r="AI414" s="24"/>
      <c r="AK414" s="24"/>
      <c r="AL414" s="24"/>
      <c r="AM414" s="24"/>
      <c r="AN414" s="24"/>
      <c r="AP414" s="24"/>
      <c r="AQ414" s="24"/>
      <c r="AR414" s="24">
        <v>45848.517052013885</v>
      </c>
      <c r="AS414" s="24">
        <v>45848.517052013885</v>
      </c>
      <c r="AX414" s="24"/>
      <c r="AY414" s="24"/>
      <c r="AZ414" s="24"/>
      <c r="BA414" s="24"/>
      <c r="BC414" s="24"/>
      <c r="BD414" s="24"/>
      <c r="BE414" s="24"/>
      <c r="BF414" s="24"/>
      <c r="BH414" s="24">
        <v>45848.517052013885</v>
      </c>
      <c r="BI414" s="24">
        <v>45848.517052013885</v>
      </c>
      <c r="BJ414" s="24">
        <v>45848.517084189814</v>
      </c>
      <c r="BK414" s="24">
        <v>45848.517084189814</v>
      </c>
      <c r="BL414">
        <v>1</v>
      </c>
      <c r="BM414" s="24"/>
      <c r="BN414" s="24"/>
      <c r="BO414" s="24"/>
      <c r="BP414" s="24"/>
      <c r="BR414" s="24"/>
      <c r="BS414" s="24"/>
      <c r="BT414" s="24"/>
      <c r="BU414" s="24"/>
      <c r="BW414" s="24"/>
      <c r="BX414" s="24"/>
      <c r="BY414" s="24"/>
      <c r="BZ414" s="24"/>
      <c r="CB414" s="24"/>
      <c r="CC414" s="24"/>
      <c r="CE414" s="24"/>
      <c r="CF414" s="24"/>
      <c r="CH414" s="24"/>
      <c r="CI414" s="24"/>
      <c r="CJ414" s="24"/>
      <c r="CK414" s="24"/>
      <c r="DE414" s="24"/>
      <c r="DF414" s="24"/>
      <c r="DG414" s="24"/>
      <c r="DH414" s="24"/>
      <c r="DJ414" t="s">
        <v>149</v>
      </c>
      <c r="DK414" t="s">
        <v>149</v>
      </c>
      <c r="DO414">
        <v>312</v>
      </c>
      <c r="DP414">
        <v>200</v>
      </c>
      <c r="DQ414" t="s">
        <v>1000</v>
      </c>
      <c r="DR414" t="s">
        <v>149</v>
      </c>
      <c r="DS414" s="24">
        <v>46160.384426226854</v>
      </c>
    </row>
    <row r="415" spans="1:123" x14ac:dyDescent="0.3">
      <c r="A415" t="s">
        <v>665</v>
      </c>
      <c r="D415" t="s">
        <v>224</v>
      </c>
      <c r="E415" s="24">
        <v>45847.363587962966</v>
      </c>
      <c r="G415" t="s">
        <v>90</v>
      </c>
      <c r="H415" t="s">
        <v>155</v>
      </c>
      <c r="I415" s="24"/>
      <c r="J415" s="24"/>
      <c r="K415" s="24"/>
      <c r="L415" s="24"/>
      <c r="N415" s="24"/>
      <c r="O415" s="24"/>
      <c r="P415" s="24"/>
      <c r="Q415" s="24"/>
      <c r="V415" s="24"/>
      <c r="W415" s="24"/>
      <c r="X415" s="24"/>
      <c r="Y415" s="24"/>
      <c r="AA415" s="24">
        <v>45848.645025972219</v>
      </c>
      <c r="AB415" s="24">
        <v>45848.645025972219</v>
      </c>
      <c r="AC415" s="24">
        <v>45853.671371435186</v>
      </c>
      <c r="AD415" s="24">
        <v>45853.671371435186</v>
      </c>
      <c r="AE415">
        <v>1</v>
      </c>
      <c r="AF415" s="24">
        <v>45853.671371435186</v>
      </c>
      <c r="AG415" s="24">
        <v>45853.671371435186</v>
      </c>
      <c r="AH415" s="24">
        <v>45859.62619195602</v>
      </c>
      <c r="AI415" s="24">
        <v>45859.62619195602</v>
      </c>
      <c r="AJ415">
        <v>1</v>
      </c>
      <c r="AK415" s="24">
        <v>45859.62619195602</v>
      </c>
      <c r="AL415" s="24">
        <v>45859.62619195602</v>
      </c>
      <c r="AM415" s="24">
        <v>45859.626492881944</v>
      </c>
      <c r="AN415" s="24">
        <v>45859.626492881944</v>
      </c>
      <c r="AO415">
        <v>1</v>
      </c>
      <c r="AP415" s="24"/>
      <c r="AQ415" s="24"/>
      <c r="AR415" s="24">
        <v>45848.644977835647</v>
      </c>
      <c r="AS415" s="24">
        <v>45848.644977835647</v>
      </c>
      <c r="AX415" s="24"/>
      <c r="AY415" s="24"/>
      <c r="AZ415" s="24"/>
      <c r="BA415" s="24"/>
      <c r="BC415" s="24">
        <v>45859.626539212964</v>
      </c>
      <c r="BD415" s="24">
        <v>45859.626539212964</v>
      </c>
      <c r="BE415" s="24">
        <v>45861.332069849537</v>
      </c>
      <c r="BF415" s="24">
        <v>45861.332069849537</v>
      </c>
      <c r="BG415">
        <v>1</v>
      </c>
      <c r="BH415" s="24">
        <v>45848.644977835647</v>
      </c>
      <c r="BI415" s="24">
        <v>45848.644977835647</v>
      </c>
      <c r="BJ415" s="24">
        <v>45848.645025972219</v>
      </c>
      <c r="BK415" s="24">
        <v>45848.645025972219</v>
      </c>
      <c r="BL415">
        <v>1</v>
      </c>
      <c r="BM415" s="24"/>
      <c r="BN415" s="24"/>
      <c r="BO415" s="24"/>
      <c r="BP415" s="24"/>
      <c r="BR415" s="24">
        <v>45859.626492881944</v>
      </c>
      <c r="BS415" s="24">
        <v>45859.626492881944</v>
      </c>
      <c r="BT415" s="24">
        <v>45859.626539212964</v>
      </c>
      <c r="BU415" s="24">
        <v>45859.626539212964</v>
      </c>
      <c r="BV415">
        <v>1</v>
      </c>
      <c r="BW415" s="24"/>
      <c r="BX415" s="24"/>
      <c r="BY415" s="24"/>
      <c r="BZ415" s="24"/>
      <c r="CB415" s="24"/>
      <c r="CC415" s="24"/>
      <c r="CE415" s="24">
        <v>45861.332069849537</v>
      </c>
      <c r="CF415" s="24">
        <v>45861.332069849537</v>
      </c>
      <c r="CG415">
        <v>1</v>
      </c>
      <c r="CH415" s="24"/>
      <c r="CI415" s="24"/>
      <c r="CJ415" s="24"/>
      <c r="CK415" s="24"/>
      <c r="DE415" s="24"/>
      <c r="DF415" s="24"/>
      <c r="DG415" s="24"/>
      <c r="DH415" s="24"/>
      <c r="DJ415" t="s">
        <v>149</v>
      </c>
      <c r="DK415" t="s">
        <v>149</v>
      </c>
      <c r="DM415">
        <v>13</v>
      </c>
      <c r="DN415">
        <v>13</v>
      </c>
      <c r="DQ415" t="s">
        <v>1000</v>
      </c>
      <c r="DR415" t="s">
        <v>149</v>
      </c>
      <c r="DS415" s="24">
        <v>46160.384426226854</v>
      </c>
    </row>
    <row r="416" spans="1:123" x14ac:dyDescent="0.3">
      <c r="A416" t="s">
        <v>666</v>
      </c>
      <c r="D416" t="s">
        <v>225</v>
      </c>
      <c r="E416" s="24">
        <v>45846.65384259259</v>
      </c>
      <c r="G416" t="s">
        <v>90</v>
      </c>
      <c r="H416" t="s">
        <v>155</v>
      </c>
      <c r="I416" s="24"/>
      <c r="J416" s="24"/>
      <c r="K416" s="24"/>
      <c r="L416" s="24"/>
      <c r="N416" s="24"/>
      <c r="O416" s="24"/>
      <c r="P416" s="24"/>
      <c r="Q416" s="24"/>
      <c r="V416" s="24"/>
      <c r="W416" s="24"/>
      <c r="X416" s="24"/>
      <c r="Y416" s="24"/>
      <c r="AA416" s="24">
        <v>45846.674906886576</v>
      </c>
      <c r="AB416" s="24">
        <v>45846.674906886576</v>
      </c>
      <c r="AC416" s="24">
        <v>45846.700406319447</v>
      </c>
      <c r="AD416" s="24">
        <v>45846.700406319447</v>
      </c>
      <c r="AE416">
        <v>1</v>
      </c>
      <c r="AF416" s="24">
        <v>45846.700406319447</v>
      </c>
      <c r="AG416" s="24">
        <v>45846.700406319447</v>
      </c>
      <c r="AH416" s="24">
        <v>45847.566920046294</v>
      </c>
      <c r="AI416" s="24">
        <v>45847.566920046294</v>
      </c>
      <c r="AJ416">
        <v>1</v>
      </c>
      <c r="AK416" s="24">
        <v>45847.566920046294</v>
      </c>
      <c r="AL416" s="24">
        <v>45847.566920046294</v>
      </c>
      <c r="AM416" s="24">
        <v>45847.732243425926</v>
      </c>
      <c r="AN416" s="24">
        <v>45847.732243425926</v>
      </c>
      <c r="AO416">
        <v>1</v>
      </c>
      <c r="AP416" s="24"/>
      <c r="AQ416" s="24"/>
      <c r="AR416" s="24">
        <v>45846.674585451387</v>
      </c>
      <c r="AS416" s="24">
        <v>45846.674585451387</v>
      </c>
      <c r="AX416" s="24"/>
      <c r="AY416" s="24"/>
      <c r="AZ416" s="24"/>
      <c r="BA416" s="24"/>
      <c r="BC416" s="24">
        <v>45848.411006041664</v>
      </c>
      <c r="BD416" s="24">
        <v>45848.411006041664</v>
      </c>
      <c r="BE416" s="24">
        <v>45861.332069895834</v>
      </c>
      <c r="BF416" s="24">
        <v>45861.332069895834</v>
      </c>
      <c r="BG416">
        <v>1</v>
      </c>
      <c r="BH416" s="24">
        <v>45846.674585451387</v>
      </c>
      <c r="BI416" s="24">
        <v>45846.674585451387</v>
      </c>
      <c r="BJ416" s="24">
        <v>45846.674906886576</v>
      </c>
      <c r="BK416" s="24">
        <v>45846.674906886576</v>
      </c>
      <c r="BL416">
        <v>1</v>
      </c>
      <c r="BM416" s="24"/>
      <c r="BN416" s="24"/>
      <c r="BO416" s="24"/>
      <c r="BP416" s="24"/>
      <c r="BR416" s="24">
        <v>45847.732243425926</v>
      </c>
      <c r="BS416" s="24">
        <v>45847.732243425926</v>
      </c>
      <c r="BT416" s="24">
        <v>45848.411006041664</v>
      </c>
      <c r="BU416" s="24">
        <v>45848.411006041664</v>
      </c>
      <c r="BV416">
        <v>1</v>
      </c>
      <c r="BW416" s="24"/>
      <c r="BX416" s="24"/>
      <c r="BY416" s="24"/>
      <c r="BZ416" s="24"/>
      <c r="CB416" s="24"/>
      <c r="CC416" s="24"/>
      <c r="CE416" s="24">
        <v>45861.332069895834</v>
      </c>
      <c r="CF416" s="24">
        <v>45861.332069895834</v>
      </c>
      <c r="CG416">
        <v>1</v>
      </c>
      <c r="CH416" s="24"/>
      <c r="CI416" s="24"/>
      <c r="CJ416" s="24"/>
      <c r="CK416" s="24"/>
      <c r="DE416" s="24"/>
      <c r="DF416" s="24"/>
      <c r="DG416" s="24"/>
      <c r="DH416" s="24"/>
      <c r="DJ416" t="s">
        <v>149</v>
      </c>
      <c r="DK416" t="s">
        <v>149</v>
      </c>
      <c r="DM416">
        <v>15</v>
      </c>
      <c r="DN416">
        <v>15</v>
      </c>
      <c r="DQ416" t="s">
        <v>1000</v>
      </c>
      <c r="DR416" t="s">
        <v>149</v>
      </c>
      <c r="DS416" s="24">
        <v>46160.384426226854</v>
      </c>
    </row>
    <row r="417" spans="1:123" x14ac:dyDescent="0.3">
      <c r="A417" t="s">
        <v>667</v>
      </c>
      <c r="D417" t="s">
        <v>223</v>
      </c>
      <c r="E417" s="24">
        <v>45846.36818287037</v>
      </c>
      <c r="G417" t="s">
        <v>90</v>
      </c>
      <c r="H417" t="s">
        <v>155</v>
      </c>
      <c r="I417" s="24"/>
      <c r="J417" s="24"/>
      <c r="K417" s="24"/>
      <c r="L417" s="24"/>
      <c r="N417" s="24">
        <v>45860.609436412036</v>
      </c>
      <c r="O417" s="24">
        <v>45860.609436412036</v>
      </c>
      <c r="P417" s="24">
        <v>45877.33857010417</v>
      </c>
      <c r="Q417" s="24">
        <v>45877.33857010417</v>
      </c>
      <c r="R417">
        <v>1</v>
      </c>
      <c r="V417" s="24"/>
      <c r="W417" s="24"/>
      <c r="X417" s="24"/>
      <c r="Y417" s="24"/>
      <c r="AA417" s="24">
        <v>45877.33857010417</v>
      </c>
      <c r="AB417" s="24">
        <v>45855.410273032408</v>
      </c>
      <c r="AC417" s="24">
        <v>45860.609436412036</v>
      </c>
      <c r="AD417" s="24">
        <v>45880.404794942129</v>
      </c>
      <c r="AE417">
        <v>2</v>
      </c>
      <c r="AF417" s="24"/>
      <c r="AG417" s="24"/>
      <c r="AH417" s="24"/>
      <c r="AI417" s="24"/>
      <c r="AK417" s="24"/>
      <c r="AL417" s="24"/>
      <c r="AM417" s="24"/>
      <c r="AN417" s="24"/>
      <c r="AP417" s="24"/>
      <c r="AQ417" s="24"/>
      <c r="AR417" s="24">
        <v>45849.435334930553</v>
      </c>
      <c r="AS417" s="24">
        <v>45849.435334930553</v>
      </c>
      <c r="AX417" s="24"/>
      <c r="AY417" s="24"/>
      <c r="AZ417" s="24"/>
      <c r="BA417" s="24"/>
      <c r="BC417" s="24"/>
      <c r="BD417" s="24"/>
      <c r="BE417" s="24"/>
      <c r="BF417" s="24"/>
      <c r="BH417" s="24">
        <v>45849.435334930553</v>
      </c>
      <c r="BI417" s="24">
        <v>45849.435334930553</v>
      </c>
      <c r="BJ417" s="24">
        <v>45855.410273032408</v>
      </c>
      <c r="BK417" s="24">
        <v>45855.410273032408</v>
      </c>
      <c r="BL417">
        <v>1</v>
      </c>
      <c r="BM417" s="24"/>
      <c r="BN417" s="24"/>
      <c r="BO417" s="24"/>
      <c r="BP417" s="24"/>
      <c r="BR417" s="24">
        <v>45880.404794942129</v>
      </c>
      <c r="BS417" s="24">
        <v>45880.404794942129</v>
      </c>
      <c r="BT417" s="24">
        <v>45881.457330173609</v>
      </c>
      <c r="BU417" s="24">
        <v>45881.457330173609</v>
      </c>
      <c r="BV417">
        <v>1</v>
      </c>
      <c r="BW417" s="24"/>
      <c r="BX417" s="24"/>
      <c r="BY417" s="24"/>
      <c r="BZ417" s="24"/>
      <c r="CB417" s="24"/>
      <c r="CC417" s="24"/>
      <c r="CE417" s="24">
        <v>45881.457330173609</v>
      </c>
      <c r="CF417" s="24">
        <v>45881.457330173609</v>
      </c>
      <c r="CG417">
        <v>1</v>
      </c>
      <c r="CH417" s="24"/>
      <c r="CI417" s="24"/>
      <c r="CJ417" s="24"/>
      <c r="CK417" s="24"/>
      <c r="DE417" s="24"/>
      <c r="DF417" s="24"/>
      <c r="DG417" s="24"/>
      <c r="DH417" s="24"/>
      <c r="DJ417" t="s">
        <v>149</v>
      </c>
      <c r="DK417" t="s">
        <v>149</v>
      </c>
      <c r="DL417">
        <v>16.729133680555556</v>
      </c>
      <c r="DM417">
        <v>33</v>
      </c>
      <c r="DN417">
        <v>27</v>
      </c>
      <c r="DQ417" t="s">
        <v>1000</v>
      </c>
      <c r="DR417" t="s">
        <v>149</v>
      </c>
      <c r="DS417" s="24">
        <v>46160.384426226854</v>
      </c>
    </row>
    <row r="418" spans="1:123" x14ac:dyDescent="0.3">
      <c r="A418" t="s">
        <v>668</v>
      </c>
      <c r="D418" t="s">
        <v>223</v>
      </c>
      <c r="E418" s="24">
        <v>45846.366018518522</v>
      </c>
      <c r="G418" t="s">
        <v>90</v>
      </c>
      <c r="H418" t="s">
        <v>155</v>
      </c>
      <c r="I418" s="24"/>
      <c r="J418" s="24"/>
      <c r="K418" s="24"/>
      <c r="L418" s="24"/>
      <c r="N418" s="24"/>
      <c r="O418" s="24"/>
      <c r="P418" s="24"/>
      <c r="Q418" s="24"/>
      <c r="V418" s="24"/>
      <c r="W418" s="24"/>
      <c r="X418" s="24"/>
      <c r="Y418" s="24"/>
      <c r="AA418" s="24">
        <v>45848.477245821756</v>
      </c>
      <c r="AB418" s="24">
        <v>45848.477245821756</v>
      </c>
      <c r="AC418" s="24">
        <v>45848.480381250003</v>
      </c>
      <c r="AD418" s="24">
        <v>45848.480381250003</v>
      </c>
      <c r="AE418">
        <v>1</v>
      </c>
      <c r="AF418" s="24">
        <v>45848.480381250003</v>
      </c>
      <c r="AG418" s="24">
        <v>45848.480381250003</v>
      </c>
      <c r="AH418" s="24">
        <v>45852.338019074072</v>
      </c>
      <c r="AI418" s="24">
        <v>45852.338019074072</v>
      </c>
      <c r="AJ418">
        <v>1</v>
      </c>
      <c r="AK418" s="24"/>
      <c r="AL418" s="24"/>
      <c r="AM418" s="24"/>
      <c r="AN418" s="24"/>
      <c r="AP418" s="24"/>
      <c r="AQ418" s="24"/>
      <c r="AR418" s="24">
        <v>45848.477157199071</v>
      </c>
      <c r="AS418" s="24">
        <v>45848.477157199071</v>
      </c>
      <c r="AX418" s="24"/>
      <c r="AY418" s="24"/>
      <c r="AZ418" s="24"/>
      <c r="BA418" s="24"/>
      <c r="BC418" s="24"/>
      <c r="BD418" s="24"/>
      <c r="BE418" s="24"/>
      <c r="BF418" s="24"/>
      <c r="BH418" s="24">
        <v>45848.477157199071</v>
      </c>
      <c r="BI418" s="24">
        <v>45848.477157199071</v>
      </c>
      <c r="BJ418" s="24">
        <v>45848.477245821756</v>
      </c>
      <c r="BK418" s="24">
        <v>45848.477245821756</v>
      </c>
      <c r="BL418">
        <v>1</v>
      </c>
      <c r="BM418" s="24"/>
      <c r="BN418" s="24"/>
      <c r="BO418" s="24"/>
      <c r="BP418" s="24"/>
      <c r="BR418" s="24">
        <v>45852.338019074072</v>
      </c>
      <c r="BS418" s="24">
        <v>45852.338019074072</v>
      </c>
      <c r="BT418" s="24">
        <v>45852.409212743056</v>
      </c>
      <c r="BU418" s="24">
        <v>45852.409212743056</v>
      </c>
      <c r="BV418">
        <v>1</v>
      </c>
      <c r="BW418" s="24"/>
      <c r="BX418" s="24"/>
      <c r="BY418" s="24"/>
      <c r="BZ418" s="24"/>
      <c r="CB418" s="24"/>
      <c r="CC418" s="24"/>
      <c r="CE418" s="24">
        <v>45852.409212743056</v>
      </c>
      <c r="CF418" s="24">
        <v>45852.409212743056</v>
      </c>
      <c r="CG418">
        <v>1</v>
      </c>
      <c r="CH418" s="24"/>
      <c r="CI418" s="24"/>
      <c r="CJ418" s="24"/>
      <c r="CK418" s="24"/>
      <c r="DE418" s="24"/>
      <c r="DF418" s="24"/>
      <c r="DG418" s="24"/>
      <c r="DH418" s="24"/>
      <c r="DJ418" t="s">
        <v>149</v>
      </c>
      <c r="DK418" t="s">
        <v>149</v>
      </c>
      <c r="DM418">
        <v>4</v>
      </c>
      <c r="DN418">
        <v>4</v>
      </c>
      <c r="DQ418" t="s">
        <v>1000</v>
      </c>
      <c r="DR418" t="s">
        <v>149</v>
      </c>
      <c r="DS418" s="24">
        <v>46160.384426226854</v>
      </c>
    </row>
    <row r="419" spans="1:123" x14ac:dyDescent="0.3">
      <c r="A419" t="s">
        <v>669</v>
      </c>
      <c r="D419" t="s">
        <v>223</v>
      </c>
      <c r="E419" s="24">
        <v>45845.714571759258</v>
      </c>
      <c r="G419" t="s">
        <v>90</v>
      </c>
      <c r="H419" t="s">
        <v>155</v>
      </c>
      <c r="I419" s="24"/>
      <c r="J419" s="24"/>
      <c r="K419" s="24"/>
      <c r="L419" s="24"/>
      <c r="N419" s="24">
        <v>45852.652686898145</v>
      </c>
      <c r="O419" s="24">
        <v>45852.652686898145</v>
      </c>
      <c r="P419" s="24">
        <v>45873.341276261577</v>
      </c>
      <c r="Q419" s="24">
        <v>45873.341276261577</v>
      </c>
      <c r="R419">
        <v>1</v>
      </c>
      <c r="V419" s="24"/>
      <c r="W419" s="24"/>
      <c r="X419" s="24"/>
      <c r="Y419" s="24"/>
      <c r="AA419" s="24">
        <v>45873.341276261577</v>
      </c>
      <c r="AB419" s="24">
        <v>45852.374041631942</v>
      </c>
      <c r="AC419" s="24">
        <v>45852.652686898145</v>
      </c>
      <c r="AD419" s="24">
        <v>45873.542219988427</v>
      </c>
      <c r="AE419">
        <v>2</v>
      </c>
      <c r="AF419" s="24"/>
      <c r="AG419" s="24"/>
      <c r="AH419" s="24"/>
      <c r="AI419" s="24"/>
      <c r="AK419" s="24"/>
      <c r="AL419" s="24"/>
      <c r="AM419" s="24"/>
      <c r="AN419" s="24"/>
      <c r="AP419" s="24"/>
      <c r="AQ419" s="24"/>
      <c r="AR419" s="24">
        <v>45847.301495312502</v>
      </c>
      <c r="AS419" s="24">
        <v>45847.301495312502</v>
      </c>
      <c r="AX419" s="24"/>
      <c r="AY419" s="24"/>
      <c r="AZ419" s="24"/>
      <c r="BA419" s="24"/>
      <c r="BC419" s="24"/>
      <c r="BD419" s="24"/>
      <c r="BE419" s="24"/>
      <c r="BF419" s="24"/>
      <c r="BH419" s="24">
        <v>45847.301495312502</v>
      </c>
      <c r="BI419" s="24">
        <v>45847.301495312502</v>
      </c>
      <c r="BJ419" s="24">
        <v>45852.374041631942</v>
      </c>
      <c r="BK419" s="24">
        <v>45852.374041631942</v>
      </c>
      <c r="BL419">
        <v>1</v>
      </c>
      <c r="BM419" s="24"/>
      <c r="BN419" s="24"/>
      <c r="BO419" s="24"/>
      <c r="BP419" s="24"/>
      <c r="BR419" s="24">
        <v>45873.542219988427</v>
      </c>
      <c r="BS419" s="24">
        <v>45873.542219988427</v>
      </c>
      <c r="BT419" s="24">
        <v>45873.54230616898</v>
      </c>
      <c r="BU419" s="24">
        <v>45873.54230616898</v>
      </c>
      <c r="BV419">
        <v>1</v>
      </c>
      <c r="BW419" s="24"/>
      <c r="BX419" s="24"/>
      <c r="BY419" s="24"/>
      <c r="BZ419" s="24"/>
      <c r="CB419" s="24"/>
      <c r="CC419" s="24"/>
      <c r="CE419" s="24">
        <v>45873.54230616898</v>
      </c>
      <c r="CF419" s="24">
        <v>45873.54230616898</v>
      </c>
      <c r="CG419">
        <v>1</v>
      </c>
      <c r="CH419" s="24"/>
      <c r="CI419" s="24"/>
      <c r="CJ419" s="24"/>
      <c r="CK419" s="24"/>
      <c r="DE419" s="24"/>
      <c r="DF419" s="24"/>
      <c r="DG419" s="24"/>
      <c r="DH419" s="24"/>
      <c r="DJ419" t="s">
        <v>149</v>
      </c>
      <c r="DK419" t="s">
        <v>149</v>
      </c>
      <c r="DL419">
        <v>20.688589351851853</v>
      </c>
      <c r="DM419">
        <v>27</v>
      </c>
      <c r="DN419">
        <v>22</v>
      </c>
      <c r="DQ419" t="s">
        <v>1000</v>
      </c>
      <c r="DR419" t="s">
        <v>149</v>
      </c>
      <c r="DS419" s="24">
        <v>46160.384426226854</v>
      </c>
    </row>
    <row r="420" spans="1:123" x14ac:dyDescent="0.3">
      <c r="A420" t="s">
        <v>670</v>
      </c>
      <c r="D420" t="s">
        <v>225</v>
      </c>
      <c r="E420" s="24">
        <v>45845.685300925928</v>
      </c>
      <c r="G420" t="s">
        <v>90</v>
      </c>
      <c r="H420" t="s">
        <v>155</v>
      </c>
      <c r="I420" s="24"/>
      <c r="J420" s="24"/>
      <c r="K420" s="24"/>
      <c r="L420" s="24"/>
      <c r="N420" s="24"/>
      <c r="O420" s="24"/>
      <c r="P420" s="24"/>
      <c r="Q420" s="24"/>
      <c r="V420" s="24"/>
      <c r="W420" s="24"/>
      <c r="X420" s="24"/>
      <c r="Y420" s="24"/>
      <c r="AA420" s="24">
        <v>45854.35471097222</v>
      </c>
      <c r="AB420" s="24">
        <v>45854.35471097222</v>
      </c>
      <c r="AC420" s="24">
        <v>45856.5735203125</v>
      </c>
      <c r="AD420" s="24">
        <v>45856.5735203125</v>
      </c>
      <c r="AE420">
        <v>1</v>
      </c>
      <c r="AF420" s="24">
        <v>45856.5735203125</v>
      </c>
      <c r="AG420" s="24">
        <v>45856.5735203125</v>
      </c>
      <c r="AH420" s="24">
        <v>45859.373068356479</v>
      </c>
      <c r="AI420" s="24">
        <v>45859.373068356479</v>
      </c>
      <c r="AJ420">
        <v>1</v>
      </c>
      <c r="AK420" s="24">
        <v>45859.373068356479</v>
      </c>
      <c r="AL420" s="24">
        <v>45859.373068356479</v>
      </c>
      <c r="AM420" s="24">
        <v>45859.525439421297</v>
      </c>
      <c r="AN420" s="24">
        <v>45859.525439421297</v>
      </c>
      <c r="AO420">
        <v>1</v>
      </c>
      <c r="AP420" s="24"/>
      <c r="AQ420" s="24"/>
      <c r="AR420" s="24">
        <v>45849.434816331021</v>
      </c>
      <c r="AS420" s="24">
        <v>45849.434816331021</v>
      </c>
      <c r="AX420" s="24"/>
      <c r="AY420" s="24"/>
      <c r="AZ420" s="24"/>
      <c r="BA420" s="24"/>
      <c r="BC420" s="24">
        <v>45859.525526018515</v>
      </c>
      <c r="BD420" s="24">
        <v>45859.525526018515</v>
      </c>
      <c r="BE420" s="24">
        <v>45861.332070821758</v>
      </c>
      <c r="BF420" s="24">
        <v>45861.332070821758</v>
      </c>
      <c r="BG420">
        <v>1</v>
      </c>
      <c r="BH420" s="24">
        <v>45849.434816331021</v>
      </c>
      <c r="BI420" s="24">
        <v>45849.434816331021</v>
      </c>
      <c r="BJ420" s="24">
        <v>45854.35471097222</v>
      </c>
      <c r="BK420" s="24">
        <v>45854.35471097222</v>
      </c>
      <c r="BL420">
        <v>1</v>
      </c>
      <c r="BM420" s="24"/>
      <c r="BN420" s="24"/>
      <c r="BO420" s="24"/>
      <c r="BP420" s="24"/>
      <c r="BR420" s="24">
        <v>45859.525439421297</v>
      </c>
      <c r="BS420" s="24">
        <v>45859.525439421297</v>
      </c>
      <c r="BT420" s="24">
        <v>45859.525526018515</v>
      </c>
      <c r="BU420" s="24">
        <v>45859.525526018515</v>
      </c>
      <c r="BV420">
        <v>1</v>
      </c>
      <c r="BW420" s="24"/>
      <c r="BX420" s="24"/>
      <c r="BY420" s="24"/>
      <c r="BZ420" s="24"/>
      <c r="CB420" s="24"/>
      <c r="CC420" s="24"/>
      <c r="CE420" s="24">
        <v>45861.332070821758</v>
      </c>
      <c r="CF420" s="24">
        <v>45861.332070821758</v>
      </c>
      <c r="CG420">
        <v>1</v>
      </c>
      <c r="CH420" s="24"/>
      <c r="CI420" s="24"/>
      <c r="CJ420" s="24"/>
      <c r="CK420" s="24"/>
      <c r="DE420" s="24"/>
      <c r="DF420" s="24"/>
      <c r="DG420" s="24"/>
      <c r="DH420" s="24"/>
      <c r="DJ420" t="s">
        <v>149</v>
      </c>
      <c r="DK420" t="s">
        <v>149</v>
      </c>
      <c r="DM420">
        <v>12</v>
      </c>
      <c r="DN420">
        <v>7</v>
      </c>
      <c r="DQ420" t="s">
        <v>1000</v>
      </c>
      <c r="DR420" t="s">
        <v>149</v>
      </c>
      <c r="DS420" s="24">
        <v>46160.384426226854</v>
      </c>
    </row>
    <row r="421" spans="1:123" x14ac:dyDescent="0.3">
      <c r="A421" t="s">
        <v>671</v>
      </c>
      <c r="D421" t="s">
        <v>223</v>
      </c>
      <c r="E421" s="24">
        <v>45845.648356481484</v>
      </c>
      <c r="G421" t="s">
        <v>150</v>
      </c>
      <c r="H421" t="s">
        <v>155</v>
      </c>
      <c r="I421" s="24"/>
      <c r="J421" s="24"/>
      <c r="K421" s="24"/>
      <c r="L421" s="24"/>
      <c r="N421" s="24"/>
      <c r="O421" s="24"/>
      <c r="P421" s="24"/>
      <c r="Q421" s="24"/>
      <c r="V421" s="24"/>
      <c r="W421" s="24"/>
      <c r="X421" s="24"/>
      <c r="Y421" s="24"/>
      <c r="AA421" s="24"/>
      <c r="AB421" s="24"/>
      <c r="AC421" s="24"/>
      <c r="AD421" s="24"/>
      <c r="AF421" s="24"/>
      <c r="AG421" s="24"/>
      <c r="AH421" s="24"/>
      <c r="AI421" s="24"/>
      <c r="AK421" s="24"/>
      <c r="AL421" s="24"/>
      <c r="AM421" s="24"/>
      <c r="AN421" s="24"/>
      <c r="AP421" s="24"/>
      <c r="AQ421" s="24"/>
      <c r="AR421" s="24">
        <v>46009.603906261575</v>
      </c>
      <c r="AS421" s="24">
        <v>46009.603906261575</v>
      </c>
      <c r="AX421" s="24"/>
      <c r="AY421" s="24"/>
      <c r="AZ421" s="24"/>
      <c r="BA421" s="24"/>
      <c r="BC421" s="24"/>
      <c r="BD421" s="24"/>
      <c r="BE421" s="24"/>
      <c r="BF421" s="24"/>
      <c r="BH421" s="24"/>
      <c r="BI421" s="24"/>
      <c r="BJ421" s="24"/>
      <c r="BK421" s="24"/>
      <c r="BM421" s="24"/>
      <c r="BN421" s="24"/>
      <c r="BO421" s="24"/>
      <c r="BP421" s="24"/>
      <c r="BR421" s="24"/>
      <c r="BS421" s="24"/>
      <c r="BT421" s="24"/>
      <c r="BU421" s="24"/>
      <c r="BW421" s="24"/>
      <c r="BX421" s="24"/>
      <c r="BY421" s="24"/>
      <c r="BZ421" s="24"/>
      <c r="CB421" s="24">
        <v>46009.603906261575</v>
      </c>
      <c r="CC421" s="24">
        <v>46009.603906261575</v>
      </c>
      <c r="CD421">
        <v>1</v>
      </c>
      <c r="CE421" s="24"/>
      <c r="CF421" s="24"/>
      <c r="CH421" s="24"/>
      <c r="CI421" s="24"/>
      <c r="CJ421" s="24"/>
      <c r="CK421" s="24"/>
      <c r="DE421" s="24"/>
      <c r="DF421" s="24"/>
      <c r="DG421" s="24"/>
      <c r="DH421" s="24"/>
      <c r="DJ421" t="s">
        <v>149</v>
      </c>
      <c r="DK421" t="s">
        <v>149</v>
      </c>
      <c r="DQ421" t="s">
        <v>1000</v>
      </c>
      <c r="DR421" t="s">
        <v>149</v>
      </c>
      <c r="DS421" s="24">
        <v>46160.384426226854</v>
      </c>
    </row>
    <row r="422" spans="1:123" x14ac:dyDescent="0.3">
      <c r="A422" t="s">
        <v>672</v>
      </c>
      <c r="D422" t="s">
        <v>223</v>
      </c>
      <c r="E422" s="24">
        <v>45845.543275462966</v>
      </c>
      <c r="G422" t="s">
        <v>90</v>
      </c>
      <c r="H422" t="s">
        <v>155</v>
      </c>
      <c r="I422" s="24"/>
      <c r="J422" s="24"/>
      <c r="K422" s="24"/>
      <c r="L422" s="24"/>
      <c r="N422" s="24"/>
      <c r="O422" s="24"/>
      <c r="P422" s="24"/>
      <c r="Q422" s="24"/>
      <c r="V422" s="24"/>
      <c r="W422" s="24"/>
      <c r="X422" s="24"/>
      <c r="Y422" s="24"/>
      <c r="AA422" s="24">
        <v>45848.442307453704</v>
      </c>
      <c r="AB422" s="24">
        <v>45848.442307453704</v>
      </c>
      <c r="AC422" s="24">
        <v>45856.674035856478</v>
      </c>
      <c r="AD422" s="24">
        <v>45856.674035856478</v>
      </c>
      <c r="AE422">
        <v>1</v>
      </c>
      <c r="AF422" s="24">
        <v>45856.674035856478</v>
      </c>
      <c r="AG422" s="24">
        <v>45856.674035856478</v>
      </c>
      <c r="AH422" s="24">
        <v>45859.404494918985</v>
      </c>
      <c r="AI422" s="24">
        <v>45859.404494918985</v>
      </c>
      <c r="AJ422">
        <v>1</v>
      </c>
      <c r="AK422" s="24"/>
      <c r="AL422" s="24"/>
      <c r="AM422" s="24"/>
      <c r="AN422" s="24"/>
      <c r="AP422" s="24"/>
      <c r="AQ422" s="24"/>
      <c r="AR422" s="24">
        <v>45848.442251087959</v>
      </c>
      <c r="AS422" s="24">
        <v>45848.442251087959</v>
      </c>
      <c r="AX422" s="24"/>
      <c r="AY422" s="24"/>
      <c r="AZ422" s="24"/>
      <c r="BA422" s="24"/>
      <c r="BC422" s="24"/>
      <c r="BD422" s="24"/>
      <c r="BE422" s="24"/>
      <c r="BF422" s="24"/>
      <c r="BH422" s="24">
        <v>45848.442251087959</v>
      </c>
      <c r="BI422" s="24">
        <v>45848.442251087959</v>
      </c>
      <c r="BJ422" s="24">
        <v>45848.442307453704</v>
      </c>
      <c r="BK422" s="24">
        <v>45848.442307453704</v>
      </c>
      <c r="BL422">
        <v>1</v>
      </c>
      <c r="BM422" s="24"/>
      <c r="BN422" s="24"/>
      <c r="BO422" s="24"/>
      <c r="BP422" s="24"/>
      <c r="BR422" s="24"/>
      <c r="BS422" s="24"/>
      <c r="BT422" s="24"/>
      <c r="BU422" s="24"/>
      <c r="BW422" s="24"/>
      <c r="BX422" s="24"/>
      <c r="BY422" s="24"/>
      <c r="BZ422" s="24"/>
      <c r="CB422" s="24"/>
      <c r="CC422" s="24"/>
      <c r="CE422" s="24">
        <v>45859.404494918985</v>
      </c>
      <c r="CF422" s="24">
        <v>45859.404494918985</v>
      </c>
      <c r="CG422">
        <v>1</v>
      </c>
      <c r="CH422" s="24"/>
      <c r="CI422" s="24"/>
      <c r="CJ422" s="24"/>
      <c r="CK422" s="24"/>
      <c r="DE422" s="24"/>
      <c r="DF422" s="24"/>
      <c r="DG422" s="24"/>
      <c r="DH422" s="24"/>
      <c r="DJ422" t="s">
        <v>149</v>
      </c>
      <c r="DK422" t="s">
        <v>149</v>
      </c>
      <c r="DM422">
        <v>11</v>
      </c>
      <c r="DN422">
        <v>11</v>
      </c>
      <c r="DQ422" t="s">
        <v>1000</v>
      </c>
      <c r="DR422" t="s">
        <v>149</v>
      </c>
      <c r="DS422" s="24">
        <v>46160.384426226854</v>
      </c>
    </row>
    <row r="423" spans="1:123" x14ac:dyDescent="0.3">
      <c r="A423" t="s">
        <v>673</v>
      </c>
      <c r="D423" t="s">
        <v>223</v>
      </c>
      <c r="E423" s="24">
        <v>45845.489884259259</v>
      </c>
      <c r="G423" t="s">
        <v>103</v>
      </c>
      <c r="H423" t="s">
        <v>154</v>
      </c>
      <c r="I423" s="24">
        <v>45960.442827685183</v>
      </c>
      <c r="J423" s="24">
        <v>45960.442827685183</v>
      </c>
      <c r="K423" s="24"/>
      <c r="L423" s="24"/>
      <c r="M423">
        <v>1</v>
      </c>
      <c r="N423" s="24">
        <v>45861.637594675929</v>
      </c>
      <c r="O423" s="24">
        <v>45855.342597905095</v>
      </c>
      <c r="P423" s="24">
        <v>45861.42328166667</v>
      </c>
      <c r="Q423" s="24">
        <v>45960.442827685183</v>
      </c>
      <c r="R423">
        <v>2</v>
      </c>
      <c r="V423" s="24"/>
      <c r="W423" s="24"/>
      <c r="X423" s="24"/>
      <c r="Y423" s="24"/>
      <c r="AA423" s="24">
        <v>45861.42328166667</v>
      </c>
      <c r="AB423" s="24">
        <v>45847.368304039352</v>
      </c>
      <c r="AC423" s="24">
        <v>45855.342597905095</v>
      </c>
      <c r="AD423" s="24">
        <v>45861.637594675929</v>
      </c>
      <c r="AE423">
        <v>2</v>
      </c>
      <c r="AF423" s="24"/>
      <c r="AG423" s="24"/>
      <c r="AH423" s="24"/>
      <c r="AI423" s="24"/>
      <c r="AK423" s="24"/>
      <c r="AL423" s="24"/>
      <c r="AM423" s="24"/>
      <c r="AN423" s="24"/>
      <c r="AP423" s="24"/>
      <c r="AQ423" s="24"/>
      <c r="AR423" s="24">
        <v>45847.301685578706</v>
      </c>
      <c r="AS423" s="24">
        <v>45847.301685578706</v>
      </c>
      <c r="AX423" s="24"/>
      <c r="AY423" s="24"/>
      <c r="AZ423" s="24"/>
      <c r="BA423" s="24"/>
      <c r="BC423" s="24"/>
      <c r="BD423" s="24"/>
      <c r="BE423" s="24"/>
      <c r="BF423" s="24"/>
      <c r="BH423" s="24">
        <v>45847.301685578706</v>
      </c>
      <c r="BI423" s="24">
        <v>45847.301685578706</v>
      </c>
      <c r="BJ423" s="24">
        <v>45847.368304039352</v>
      </c>
      <c r="BK423" s="24">
        <v>45847.368304039352</v>
      </c>
      <c r="BL423">
        <v>1</v>
      </c>
      <c r="BM423" s="24"/>
      <c r="BN423" s="24"/>
      <c r="BO423" s="24"/>
      <c r="BP423" s="24"/>
      <c r="BR423" s="24"/>
      <c r="BS423" s="24"/>
      <c r="BT423" s="24"/>
      <c r="BU423" s="24"/>
      <c r="BW423" s="24"/>
      <c r="BX423" s="24"/>
      <c r="BY423" s="24"/>
      <c r="BZ423" s="24"/>
      <c r="CB423" s="24"/>
      <c r="CC423" s="24"/>
      <c r="CE423" s="24"/>
      <c r="CF423" s="24"/>
      <c r="CH423" s="24"/>
      <c r="CI423" s="24"/>
      <c r="CJ423" s="24"/>
      <c r="CK423" s="24"/>
      <c r="DE423" s="24"/>
      <c r="DF423" s="24"/>
      <c r="DG423" s="24"/>
      <c r="DH423" s="24"/>
      <c r="DJ423" t="s">
        <v>149</v>
      </c>
      <c r="DK423" t="s">
        <v>149</v>
      </c>
      <c r="DO423">
        <v>314</v>
      </c>
      <c r="DP423">
        <v>200</v>
      </c>
      <c r="DQ423" t="s">
        <v>1000</v>
      </c>
      <c r="DR423" t="s">
        <v>149</v>
      </c>
      <c r="DS423" s="24">
        <v>46160.384426226854</v>
      </c>
    </row>
    <row r="424" spans="1:123" x14ac:dyDescent="0.3">
      <c r="A424" t="s">
        <v>674</v>
      </c>
      <c r="D424" t="s">
        <v>223</v>
      </c>
      <c r="E424" s="24">
        <v>45845.453668981485</v>
      </c>
      <c r="G424" t="s">
        <v>90</v>
      </c>
      <c r="H424" t="s">
        <v>155</v>
      </c>
      <c r="I424" s="24"/>
      <c r="J424" s="24"/>
      <c r="K424" s="24"/>
      <c r="L424" s="24"/>
      <c r="N424" s="24"/>
      <c r="O424" s="24"/>
      <c r="P424" s="24"/>
      <c r="Q424" s="24"/>
      <c r="V424" s="24"/>
      <c r="W424" s="24"/>
      <c r="X424" s="24"/>
      <c r="Y424" s="24"/>
      <c r="AA424" s="24">
        <v>45846.562793715275</v>
      </c>
      <c r="AB424" s="24">
        <v>45846.562793715275</v>
      </c>
      <c r="AC424" s="24">
        <v>45849.39766934028</v>
      </c>
      <c r="AD424" s="24">
        <v>45849.39766934028</v>
      </c>
      <c r="AE424">
        <v>1</v>
      </c>
      <c r="AF424" s="24">
        <v>45849.39766934028</v>
      </c>
      <c r="AG424" s="24">
        <v>45849.39766934028</v>
      </c>
      <c r="AH424" s="24">
        <v>45852.471497789353</v>
      </c>
      <c r="AI424" s="24">
        <v>45852.471497789353</v>
      </c>
      <c r="AJ424">
        <v>1</v>
      </c>
      <c r="AK424" s="24"/>
      <c r="AL424" s="24"/>
      <c r="AM424" s="24"/>
      <c r="AN424" s="24"/>
      <c r="AP424" s="24"/>
      <c r="AQ424" s="24"/>
      <c r="AR424" s="24">
        <v>45846.562624189814</v>
      </c>
      <c r="AS424" s="24">
        <v>45846.562624189814</v>
      </c>
      <c r="AX424" s="24"/>
      <c r="AY424" s="24"/>
      <c r="AZ424" s="24"/>
      <c r="BA424" s="24"/>
      <c r="BC424" s="24"/>
      <c r="BD424" s="24"/>
      <c r="BE424" s="24"/>
      <c r="BF424" s="24"/>
      <c r="BH424" s="24">
        <v>45846.562624189814</v>
      </c>
      <c r="BI424" s="24">
        <v>45846.562624189814</v>
      </c>
      <c r="BJ424" s="24">
        <v>45846.562793715275</v>
      </c>
      <c r="BK424" s="24">
        <v>45846.562793715275</v>
      </c>
      <c r="BL424">
        <v>1</v>
      </c>
      <c r="BM424" s="24"/>
      <c r="BN424" s="24"/>
      <c r="BO424" s="24"/>
      <c r="BP424" s="24"/>
      <c r="BR424" s="24"/>
      <c r="BS424" s="24"/>
      <c r="BT424" s="24"/>
      <c r="BU424" s="24"/>
      <c r="BW424" s="24"/>
      <c r="BX424" s="24"/>
      <c r="BY424" s="24"/>
      <c r="BZ424" s="24"/>
      <c r="CB424" s="24"/>
      <c r="CC424" s="24"/>
      <c r="CE424" s="24">
        <v>45852.471497789353</v>
      </c>
      <c r="CF424" s="24">
        <v>45852.471497789353</v>
      </c>
      <c r="CG424">
        <v>1</v>
      </c>
      <c r="CH424" s="24"/>
      <c r="CI424" s="24"/>
      <c r="CJ424" s="24"/>
      <c r="CK424" s="24"/>
      <c r="DE424" s="24"/>
      <c r="DF424" s="24"/>
      <c r="DG424" s="24"/>
      <c r="DH424" s="24"/>
      <c r="DJ424" t="s">
        <v>149</v>
      </c>
      <c r="DK424" t="s">
        <v>149</v>
      </c>
      <c r="DM424">
        <v>6</v>
      </c>
      <c r="DN424">
        <v>6</v>
      </c>
      <c r="DQ424" t="s">
        <v>1000</v>
      </c>
      <c r="DR424" t="s">
        <v>149</v>
      </c>
      <c r="DS424" s="24">
        <v>46160.384426226854</v>
      </c>
    </row>
    <row r="425" spans="1:123" x14ac:dyDescent="0.3">
      <c r="A425" t="s">
        <v>675</v>
      </c>
      <c r="D425" t="s">
        <v>223</v>
      </c>
      <c r="E425" s="24">
        <v>45845.422453703701</v>
      </c>
      <c r="G425" t="s">
        <v>90</v>
      </c>
      <c r="H425" t="s">
        <v>155</v>
      </c>
      <c r="I425" s="24">
        <v>45852.405728148151</v>
      </c>
      <c r="J425" s="24">
        <v>45852.405728148151</v>
      </c>
      <c r="K425" s="24">
        <v>45852.405777291664</v>
      </c>
      <c r="L425" s="24">
        <v>45852.405777291664</v>
      </c>
      <c r="M425">
        <v>1</v>
      </c>
      <c r="N425" s="24">
        <v>45852.405640879631</v>
      </c>
      <c r="O425" s="24">
        <v>45852.405640879631</v>
      </c>
      <c r="P425" s="24">
        <v>45852.405728148151</v>
      </c>
      <c r="Q425" s="24">
        <v>45852.405728148151</v>
      </c>
      <c r="R425">
        <v>1</v>
      </c>
      <c r="V425" s="24"/>
      <c r="W425" s="24"/>
      <c r="X425" s="24"/>
      <c r="Y425" s="24"/>
      <c r="AA425" s="24">
        <v>45854.338817488424</v>
      </c>
      <c r="AB425" s="24">
        <v>45849.493998622682</v>
      </c>
      <c r="AC425" s="24">
        <v>45852.405640879631</v>
      </c>
      <c r="AD425" s="24">
        <v>45859.403387071761</v>
      </c>
      <c r="AE425">
        <v>2</v>
      </c>
      <c r="AF425" s="24">
        <v>45859.403387071761</v>
      </c>
      <c r="AG425" s="24">
        <v>45859.403387071761</v>
      </c>
      <c r="AH425" s="24">
        <v>45859.455177256947</v>
      </c>
      <c r="AI425" s="24">
        <v>45859.455177256947</v>
      </c>
      <c r="AJ425">
        <v>1</v>
      </c>
      <c r="AK425" s="24"/>
      <c r="AL425" s="24"/>
      <c r="AM425" s="24"/>
      <c r="AN425" s="24"/>
      <c r="AP425" s="24"/>
      <c r="AQ425" s="24"/>
      <c r="AR425" s="24">
        <v>45849.493815949078</v>
      </c>
      <c r="AS425" s="24">
        <v>45849.493815949078</v>
      </c>
      <c r="AX425" s="24"/>
      <c r="AY425" s="24"/>
      <c r="AZ425" s="24"/>
      <c r="BA425" s="24"/>
      <c r="BC425" s="24"/>
      <c r="BD425" s="24"/>
      <c r="BE425" s="24"/>
      <c r="BF425" s="24"/>
      <c r="BH425" s="24">
        <v>45852.405777291664</v>
      </c>
      <c r="BI425" s="24">
        <v>45849.493815949078</v>
      </c>
      <c r="BJ425" s="24">
        <v>45849.493998622682</v>
      </c>
      <c r="BK425" s="24">
        <v>45854.338817488424</v>
      </c>
      <c r="BL425">
        <v>2</v>
      </c>
      <c r="BM425" s="24"/>
      <c r="BN425" s="24"/>
      <c r="BO425" s="24"/>
      <c r="BP425" s="24"/>
      <c r="BR425" s="24"/>
      <c r="BS425" s="24"/>
      <c r="BT425" s="24"/>
      <c r="BU425" s="24"/>
      <c r="BW425" s="24"/>
      <c r="BX425" s="24"/>
      <c r="BY425" s="24"/>
      <c r="BZ425" s="24"/>
      <c r="CB425" s="24"/>
      <c r="CC425" s="24"/>
      <c r="CE425" s="24">
        <v>45859.455177256947</v>
      </c>
      <c r="CF425" s="24">
        <v>45859.455177256947</v>
      </c>
      <c r="CG425">
        <v>1</v>
      </c>
      <c r="CH425" s="24"/>
      <c r="CI425" s="24"/>
      <c r="CJ425" s="24"/>
      <c r="CK425" s="24"/>
      <c r="DE425" s="24"/>
      <c r="DF425" s="24"/>
      <c r="DG425" s="24"/>
      <c r="DH425" s="24"/>
      <c r="DJ425" t="s">
        <v>149</v>
      </c>
      <c r="DK425" t="s">
        <v>149</v>
      </c>
      <c r="DL425">
        <v>8.7268518518518519E-5</v>
      </c>
      <c r="DM425">
        <v>10</v>
      </c>
      <c r="DN425">
        <v>10</v>
      </c>
      <c r="DQ425" t="s">
        <v>1000</v>
      </c>
      <c r="DR425" t="s">
        <v>149</v>
      </c>
      <c r="DS425" s="24">
        <v>46160.384426226854</v>
      </c>
    </row>
    <row r="426" spans="1:123" x14ac:dyDescent="0.3">
      <c r="A426" t="s">
        <v>676</v>
      </c>
      <c r="D426" t="s">
        <v>225</v>
      </c>
      <c r="E426" s="24">
        <v>45845.403599537036</v>
      </c>
      <c r="G426" t="s">
        <v>90</v>
      </c>
      <c r="H426" t="s">
        <v>155</v>
      </c>
      <c r="I426" s="24"/>
      <c r="J426" s="24"/>
      <c r="K426" s="24"/>
      <c r="L426" s="24"/>
      <c r="N426" s="24"/>
      <c r="O426" s="24"/>
      <c r="P426" s="24"/>
      <c r="Q426" s="24"/>
      <c r="V426" s="24"/>
      <c r="W426" s="24"/>
      <c r="X426" s="24"/>
      <c r="Y426" s="24"/>
      <c r="AA426" s="24">
        <v>45845.404794502312</v>
      </c>
      <c r="AB426" s="24">
        <v>45845.404794502312</v>
      </c>
      <c r="AC426" s="24">
        <v>45845.458044537037</v>
      </c>
      <c r="AD426" s="24">
        <v>45845.458044537037</v>
      </c>
      <c r="AE426">
        <v>1</v>
      </c>
      <c r="AF426" s="24">
        <v>45845.458044537037</v>
      </c>
      <c r="AG426" s="24">
        <v>45845.458044537037</v>
      </c>
      <c r="AH426" s="24">
        <v>45845.458080289354</v>
      </c>
      <c r="AI426" s="24">
        <v>45845.458080289354</v>
      </c>
      <c r="AJ426">
        <v>1</v>
      </c>
      <c r="AK426" s="24">
        <v>45845.458080289354</v>
      </c>
      <c r="AL426" s="24">
        <v>45845.458080289354</v>
      </c>
      <c r="AM426" s="24">
        <v>45845.495318865738</v>
      </c>
      <c r="AN426" s="24">
        <v>45845.495318865738</v>
      </c>
      <c r="AO426">
        <v>1</v>
      </c>
      <c r="AP426" s="24"/>
      <c r="AQ426" s="24"/>
      <c r="AR426" s="24">
        <v>45845.40451403935</v>
      </c>
      <c r="AS426" s="24">
        <v>45845.40451403935</v>
      </c>
      <c r="AX426" s="24"/>
      <c r="AY426" s="24"/>
      <c r="AZ426" s="24"/>
      <c r="BA426" s="24"/>
      <c r="BC426" s="24">
        <v>45845.495551689812</v>
      </c>
      <c r="BD426" s="24">
        <v>45845.495551689812</v>
      </c>
      <c r="BE426" s="24">
        <v>45846.411192384257</v>
      </c>
      <c r="BF426" s="24">
        <v>45846.411192384257</v>
      </c>
      <c r="BG426">
        <v>1</v>
      </c>
      <c r="BH426" s="24">
        <v>45845.40451403935</v>
      </c>
      <c r="BI426" s="24">
        <v>45845.40451403935</v>
      </c>
      <c r="BJ426" s="24">
        <v>45845.404794502312</v>
      </c>
      <c r="BK426" s="24">
        <v>45845.404794502312</v>
      </c>
      <c r="BL426">
        <v>1</v>
      </c>
      <c r="BM426" s="24"/>
      <c r="BN426" s="24"/>
      <c r="BO426" s="24"/>
      <c r="BP426" s="24"/>
      <c r="BR426" s="24">
        <v>45845.495318865738</v>
      </c>
      <c r="BS426" s="24">
        <v>45845.495318865738</v>
      </c>
      <c r="BT426" s="24">
        <v>45845.495551689812</v>
      </c>
      <c r="BU426" s="24">
        <v>45845.495551689812</v>
      </c>
      <c r="BV426">
        <v>1</v>
      </c>
      <c r="BW426" s="24"/>
      <c r="BX426" s="24"/>
      <c r="BY426" s="24"/>
      <c r="BZ426" s="24"/>
      <c r="CB426" s="24"/>
      <c r="CC426" s="24"/>
      <c r="CE426" s="24">
        <v>45846.411192384257</v>
      </c>
      <c r="CF426" s="24">
        <v>45846.411192384257</v>
      </c>
      <c r="CG426">
        <v>1</v>
      </c>
      <c r="CH426" s="24"/>
      <c r="CI426" s="24"/>
      <c r="CJ426" s="24"/>
      <c r="CK426" s="24"/>
      <c r="DE426" s="24"/>
      <c r="DF426" s="24"/>
      <c r="DG426" s="24"/>
      <c r="DH426" s="24"/>
      <c r="DJ426" t="s">
        <v>149</v>
      </c>
      <c r="DK426" t="s">
        <v>149</v>
      </c>
      <c r="DM426">
        <v>2</v>
      </c>
      <c r="DN426">
        <v>2</v>
      </c>
      <c r="DQ426" t="s">
        <v>1000</v>
      </c>
      <c r="DR426" t="s">
        <v>149</v>
      </c>
      <c r="DS426" s="24">
        <v>46160.384426226854</v>
      </c>
    </row>
    <row r="427" spans="1:123" x14ac:dyDescent="0.3">
      <c r="A427" t="s">
        <v>677</v>
      </c>
      <c r="D427" t="s">
        <v>223</v>
      </c>
      <c r="E427" s="24">
        <v>45845.388356481482</v>
      </c>
      <c r="G427" t="s">
        <v>90</v>
      </c>
      <c r="H427" t="s">
        <v>155</v>
      </c>
      <c r="I427" s="24"/>
      <c r="J427" s="24"/>
      <c r="K427" s="24"/>
      <c r="L427" s="24"/>
      <c r="N427" s="24">
        <v>45845.42324679398</v>
      </c>
      <c r="O427" s="24">
        <v>45845.42324679398</v>
      </c>
      <c r="P427" s="24">
        <v>45883.505749618053</v>
      </c>
      <c r="Q427" s="24">
        <v>45883.505749618053</v>
      </c>
      <c r="R427">
        <v>1</v>
      </c>
      <c r="V427" s="24"/>
      <c r="W427" s="24"/>
      <c r="X427" s="24"/>
      <c r="Y427" s="24"/>
      <c r="AA427" s="24">
        <v>45883.505749618053</v>
      </c>
      <c r="AB427" s="24">
        <v>45845.422818078703</v>
      </c>
      <c r="AC427" s="24">
        <v>45845.42324679398</v>
      </c>
      <c r="AD427" s="24">
        <v>45898.309455648145</v>
      </c>
      <c r="AE427">
        <v>2</v>
      </c>
      <c r="AF427" s="24">
        <v>45898.309455648145</v>
      </c>
      <c r="AG427" s="24">
        <v>45898.309455648145</v>
      </c>
      <c r="AH427" s="24">
        <v>45898.309525983794</v>
      </c>
      <c r="AI427" s="24">
        <v>45898.309525983794</v>
      </c>
      <c r="AJ427">
        <v>1</v>
      </c>
      <c r="AK427" s="24"/>
      <c r="AL427" s="24"/>
      <c r="AM427" s="24"/>
      <c r="AN427" s="24"/>
      <c r="AP427" s="24"/>
      <c r="AQ427" s="24"/>
      <c r="AR427" s="24"/>
      <c r="AS427" s="24"/>
      <c r="AX427" s="24"/>
      <c r="AY427" s="24"/>
      <c r="AZ427" s="24"/>
      <c r="BA427" s="24"/>
      <c r="BC427" s="24"/>
      <c r="BD427" s="24"/>
      <c r="BE427" s="24"/>
      <c r="BF427" s="24"/>
      <c r="BH427" s="24"/>
      <c r="BI427" s="24"/>
      <c r="BJ427" s="24"/>
      <c r="BK427" s="24"/>
      <c r="BM427" s="24"/>
      <c r="BN427" s="24"/>
      <c r="BO427" s="24"/>
      <c r="BP427" s="24"/>
      <c r="BR427" s="24">
        <v>45898.309525983794</v>
      </c>
      <c r="BS427" s="24">
        <v>45898.309525983794</v>
      </c>
      <c r="BT427" s="24">
        <v>45898.407210335645</v>
      </c>
      <c r="BU427" s="24">
        <v>45898.407210335645</v>
      </c>
      <c r="BV427">
        <v>1</v>
      </c>
      <c r="BW427" s="24"/>
      <c r="BX427" s="24"/>
      <c r="BY427" s="24"/>
      <c r="BZ427" s="24"/>
      <c r="CB427" s="24"/>
      <c r="CC427" s="24"/>
      <c r="CE427" s="24">
        <v>45898.407210335645</v>
      </c>
      <c r="CF427" s="24">
        <v>45898.407210335645</v>
      </c>
      <c r="CG427">
        <v>1</v>
      </c>
      <c r="CH427" s="24"/>
      <c r="CI427" s="24"/>
      <c r="CJ427" s="24"/>
      <c r="CK427" s="24"/>
      <c r="DE427" s="24"/>
      <c r="DF427" s="24"/>
      <c r="DG427" s="24"/>
      <c r="DH427" s="24"/>
      <c r="DJ427" t="s">
        <v>149</v>
      </c>
      <c r="DK427" t="s">
        <v>149</v>
      </c>
      <c r="DL427">
        <v>38.082502777777776</v>
      </c>
      <c r="DN427">
        <v>53</v>
      </c>
      <c r="DQ427" t="s">
        <v>1000</v>
      </c>
      <c r="DR427" t="s">
        <v>149</v>
      </c>
      <c r="DS427" s="24">
        <v>46160.384426226854</v>
      </c>
    </row>
    <row r="428" spans="1:123" x14ac:dyDescent="0.3">
      <c r="A428" t="s">
        <v>678</v>
      </c>
      <c r="D428" t="s">
        <v>225</v>
      </c>
      <c r="E428" s="24">
        <v>45845.38108796296</v>
      </c>
      <c r="G428" t="s">
        <v>90</v>
      </c>
      <c r="H428" t="s">
        <v>155</v>
      </c>
      <c r="I428" s="24">
        <v>45898.309752743058</v>
      </c>
      <c r="J428" s="24">
        <v>45874.540859733796</v>
      </c>
      <c r="K428" s="24">
        <v>45874.540929467592</v>
      </c>
      <c r="L428" s="24">
        <v>45898.309823101852</v>
      </c>
      <c r="M428">
        <v>2</v>
      </c>
      <c r="N428" s="24">
        <v>45946.686407604167</v>
      </c>
      <c r="O428" s="24">
        <v>45946.686407604167</v>
      </c>
      <c r="P428" s="24">
        <v>45954.427492905095</v>
      </c>
      <c r="Q428" s="24">
        <v>45954.427492905095</v>
      </c>
      <c r="R428">
        <v>1</v>
      </c>
      <c r="V428" s="24"/>
      <c r="W428" s="24"/>
      <c r="X428" s="24"/>
      <c r="Y428" s="24"/>
      <c r="AA428" s="24">
        <v>45954.427492905095</v>
      </c>
      <c r="AB428" s="24">
        <v>45845.422815138889</v>
      </c>
      <c r="AC428" s="24">
        <v>45874.540859733796</v>
      </c>
      <c r="AD428" s="24">
        <v>45954.699203900462</v>
      </c>
      <c r="AE428">
        <v>4</v>
      </c>
      <c r="AF428" s="24">
        <v>45954.699203900462</v>
      </c>
      <c r="AG428" s="24">
        <v>45954.699203900462</v>
      </c>
      <c r="AH428" s="24">
        <v>45959.353132800927</v>
      </c>
      <c r="AI428" s="24">
        <v>45959.353132800927</v>
      </c>
      <c r="AJ428">
        <v>1</v>
      </c>
      <c r="AK428" s="24">
        <v>45959.353132800927</v>
      </c>
      <c r="AL428" s="24">
        <v>45959.353132800927</v>
      </c>
      <c r="AM428" s="24">
        <v>45959.541595185183</v>
      </c>
      <c r="AN428" s="24">
        <v>45959.541595185183</v>
      </c>
      <c r="AO428">
        <v>1</v>
      </c>
      <c r="AP428" s="24"/>
      <c r="AQ428" s="24"/>
      <c r="AR428" s="24">
        <v>45845.422686516205</v>
      </c>
      <c r="AS428" s="24">
        <v>45845.422686516205</v>
      </c>
      <c r="AX428" s="24"/>
      <c r="AY428" s="24"/>
      <c r="AZ428" s="24"/>
      <c r="BA428" s="24"/>
      <c r="BC428" s="24">
        <v>45959.541754502316</v>
      </c>
      <c r="BD428" s="24">
        <v>45959.541754502316</v>
      </c>
      <c r="BE428" s="24">
        <v>45960.560768368057</v>
      </c>
      <c r="BF428" s="24">
        <v>45960.560768368057</v>
      </c>
      <c r="BG428">
        <v>1</v>
      </c>
      <c r="BH428" s="24">
        <v>45898.309823101852</v>
      </c>
      <c r="BI428" s="24">
        <v>45845.422686516205</v>
      </c>
      <c r="BJ428" s="24">
        <v>45845.422815138889</v>
      </c>
      <c r="BK428" s="24">
        <v>45940.655468726851</v>
      </c>
      <c r="BL428">
        <v>3</v>
      </c>
      <c r="BM428" s="24"/>
      <c r="BN428" s="24"/>
      <c r="BO428" s="24"/>
      <c r="BP428" s="24"/>
      <c r="BR428" s="24">
        <v>45959.541595185183</v>
      </c>
      <c r="BS428" s="24">
        <v>45959.541595185183</v>
      </c>
      <c r="BT428" s="24">
        <v>45959.541754502316</v>
      </c>
      <c r="BU428" s="24">
        <v>45959.541754502316</v>
      </c>
      <c r="BV428">
        <v>1</v>
      </c>
      <c r="BW428" s="24"/>
      <c r="BX428" s="24"/>
      <c r="BY428" s="24"/>
      <c r="BZ428" s="24"/>
      <c r="CB428" s="24"/>
      <c r="CC428" s="24"/>
      <c r="CE428" s="24">
        <v>45960.560768368057</v>
      </c>
      <c r="CF428" s="24">
        <v>45960.560768368057</v>
      </c>
      <c r="CG428">
        <v>1</v>
      </c>
      <c r="CH428" s="24"/>
      <c r="CI428" s="24"/>
      <c r="CJ428" s="24"/>
      <c r="CK428" s="24"/>
      <c r="DE428" s="24"/>
      <c r="DF428" s="24"/>
      <c r="DG428" s="24"/>
      <c r="DH428" s="24"/>
      <c r="DJ428" t="s">
        <v>149</v>
      </c>
      <c r="DK428" t="s">
        <v>149</v>
      </c>
      <c r="DL428">
        <v>7.7410853009259259</v>
      </c>
      <c r="DM428">
        <v>116</v>
      </c>
      <c r="DN428">
        <v>116</v>
      </c>
      <c r="DQ428" t="s">
        <v>1000</v>
      </c>
      <c r="DR428" t="s">
        <v>149</v>
      </c>
      <c r="DS428" s="24">
        <v>46160.384426226854</v>
      </c>
    </row>
    <row r="429" spans="1:123" x14ac:dyDescent="0.3">
      <c r="A429" t="s">
        <v>679</v>
      </c>
      <c r="D429" t="s">
        <v>223</v>
      </c>
      <c r="E429" s="24">
        <v>45842.672766203701</v>
      </c>
      <c r="G429" t="s">
        <v>90</v>
      </c>
      <c r="H429" t="s">
        <v>155</v>
      </c>
      <c r="I429" s="24"/>
      <c r="J429" s="24"/>
      <c r="K429" s="24"/>
      <c r="L429" s="24"/>
      <c r="N429" s="24"/>
      <c r="O429" s="24"/>
      <c r="P429" s="24"/>
      <c r="Q429" s="24"/>
      <c r="V429" s="24"/>
      <c r="W429" s="24"/>
      <c r="X429" s="24"/>
      <c r="Y429" s="24"/>
      <c r="AA429" s="24">
        <v>45847.285666180556</v>
      </c>
      <c r="AB429" s="24">
        <v>45847.285666180556</v>
      </c>
      <c r="AC429" s="24">
        <v>45855.40288854167</v>
      </c>
      <c r="AD429" s="24">
        <v>45855.40288854167</v>
      </c>
      <c r="AE429">
        <v>1</v>
      </c>
      <c r="AF429" s="24">
        <v>45855.40288854167</v>
      </c>
      <c r="AG429" s="24">
        <v>45855.40288854167</v>
      </c>
      <c r="AH429" s="24">
        <v>45855.402954201389</v>
      </c>
      <c r="AI429" s="24">
        <v>45855.402954201389</v>
      </c>
      <c r="AJ429">
        <v>1</v>
      </c>
      <c r="AK429" s="24"/>
      <c r="AL429" s="24"/>
      <c r="AM429" s="24"/>
      <c r="AN429" s="24"/>
      <c r="AP429" s="24"/>
      <c r="AQ429" s="24"/>
      <c r="AR429" s="24">
        <v>45846.525365520836</v>
      </c>
      <c r="AS429" s="24">
        <v>45846.525365520836</v>
      </c>
      <c r="AX429" s="24"/>
      <c r="AY429" s="24"/>
      <c r="AZ429" s="24"/>
      <c r="BA429" s="24"/>
      <c r="BC429" s="24"/>
      <c r="BD429" s="24"/>
      <c r="BE429" s="24"/>
      <c r="BF429" s="24"/>
      <c r="BH429" s="24">
        <v>45846.525365520836</v>
      </c>
      <c r="BI429" s="24">
        <v>45846.525365520836</v>
      </c>
      <c r="BJ429" s="24">
        <v>45847.285666180556</v>
      </c>
      <c r="BK429" s="24">
        <v>45847.285666180556</v>
      </c>
      <c r="BL429">
        <v>1</v>
      </c>
      <c r="BM429" s="24"/>
      <c r="BN429" s="24"/>
      <c r="BO429" s="24"/>
      <c r="BP429" s="24"/>
      <c r="BR429" s="24">
        <v>45855.402954201389</v>
      </c>
      <c r="BS429" s="24">
        <v>45855.402954201389</v>
      </c>
      <c r="BT429" s="24">
        <v>45855.447933715281</v>
      </c>
      <c r="BU429" s="24">
        <v>45855.447933715281</v>
      </c>
      <c r="BV429">
        <v>1</v>
      </c>
      <c r="BW429" s="24"/>
      <c r="BX429" s="24"/>
      <c r="BY429" s="24"/>
      <c r="BZ429" s="24"/>
      <c r="CB429" s="24"/>
      <c r="CC429" s="24"/>
      <c r="CE429" s="24">
        <v>45855.447933715281</v>
      </c>
      <c r="CF429" s="24">
        <v>45855.447933715281</v>
      </c>
      <c r="CG429">
        <v>1</v>
      </c>
      <c r="CH429" s="24"/>
      <c r="CI429" s="24"/>
      <c r="CJ429" s="24"/>
      <c r="CK429" s="24"/>
      <c r="DE429" s="24"/>
      <c r="DF429" s="24"/>
      <c r="DG429" s="24"/>
      <c r="DH429" s="24"/>
      <c r="DJ429" t="s">
        <v>149</v>
      </c>
      <c r="DK429" t="s">
        <v>149</v>
      </c>
      <c r="DM429">
        <v>9</v>
      </c>
      <c r="DN429">
        <v>9</v>
      </c>
      <c r="DQ429" t="s">
        <v>1000</v>
      </c>
      <c r="DR429" t="s">
        <v>149</v>
      </c>
      <c r="DS429" s="24">
        <v>46160.384426226854</v>
      </c>
    </row>
    <row r="430" spans="1:123" x14ac:dyDescent="0.3">
      <c r="A430" t="s">
        <v>680</v>
      </c>
      <c r="D430" t="s">
        <v>223</v>
      </c>
      <c r="E430" s="24">
        <v>45842.607858796298</v>
      </c>
      <c r="G430" t="s">
        <v>90</v>
      </c>
      <c r="H430" t="s">
        <v>155</v>
      </c>
      <c r="I430" s="24"/>
      <c r="J430" s="24"/>
      <c r="K430" s="24"/>
      <c r="L430" s="24"/>
      <c r="N430" s="24"/>
      <c r="O430" s="24"/>
      <c r="P430" s="24"/>
      <c r="Q430" s="24"/>
      <c r="V430" s="24"/>
      <c r="W430" s="24"/>
      <c r="X430" s="24"/>
      <c r="Y430" s="24"/>
      <c r="AA430" s="24">
        <v>45856.410610393519</v>
      </c>
      <c r="AB430" s="24">
        <v>45856.410610393519</v>
      </c>
      <c r="AC430" s="24">
        <v>45860.467124583331</v>
      </c>
      <c r="AD430" s="24">
        <v>45860.467124583331</v>
      </c>
      <c r="AE430">
        <v>1</v>
      </c>
      <c r="AF430" s="24">
        <v>45860.467124583331</v>
      </c>
      <c r="AG430" s="24">
        <v>45860.467124583331</v>
      </c>
      <c r="AH430" s="24">
        <v>45860.46717773148</v>
      </c>
      <c r="AI430" s="24">
        <v>45860.46717773148</v>
      </c>
      <c r="AJ430">
        <v>1</v>
      </c>
      <c r="AK430" s="24"/>
      <c r="AL430" s="24"/>
      <c r="AM430" s="24"/>
      <c r="AN430" s="24"/>
      <c r="AP430" s="24"/>
      <c r="AQ430" s="24"/>
      <c r="AR430" s="24">
        <v>45847.302248831016</v>
      </c>
      <c r="AS430" s="24">
        <v>45847.302248831016</v>
      </c>
      <c r="AX430" s="24"/>
      <c r="AY430" s="24"/>
      <c r="AZ430" s="24"/>
      <c r="BA430" s="24"/>
      <c r="BC430" s="24"/>
      <c r="BD430" s="24"/>
      <c r="BE430" s="24"/>
      <c r="BF430" s="24"/>
      <c r="BH430" s="24">
        <v>45847.302248831016</v>
      </c>
      <c r="BI430" s="24">
        <v>45847.302248831016</v>
      </c>
      <c r="BJ430" s="24">
        <v>45856.410610393519</v>
      </c>
      <c r="BK430" s="24">
        <v>45856.410610393519</v>
      </c>
      <c r="BL430">
        <v>1</v>
      </c>
      <c r="BM430" s="24"/>
      <c r="BN430" s="24"/>
      <c r="BO430" s="24"/>
      <c r="BP430" s="24"/>
      <c r="BR430" s="24">
        <v>45860.46717773148</v>
      </c>
      <c r="BS430" s="24">
        <v>45860.46717773148</v>
      </c>
      <c r="BT430" s="24">
        <v>45860.470874212966</v>
      </c>
      <c r="BU430" s="24">
        <v>45860.470874212966</v>
      </c>
      <c r="BV430">
        <v>1</v>
      </c>
      <c r="BW430" s="24"/>
      <c r="BX430" s="24"/>
      <c r="BY430" s="24"/>
      <c r="BZ430" s="24"/>
      <c r="CB430" s="24"/>
      <c r="CC430" s="24"/>
      <c r="CE430" s="24">
        <v>45860.470874212966</v>
      </c>
      <c r="CF430" s="24">
        <v>45860.470874212966</v>
      </c>
      <c r="CG430">
        <v>1</v>
      </c>
      <c r="CH430" s="24"/>
      <c r="CI430" s="24"/>
      <c r="CJ430" s="24"/>
      <c r="CK430" s="24"/>
      <c r="DE430" s="24"/>
      <c r="DF430" s="24"/>
      <c r="DG430" s="24"/>
      <c r="DH430" s="24"/>
      <c r="DJ430" t="s">
        <v>149</v>
      </c>
      <c r="DK430" t="s">
        <v>149</v>
      </c>
      <c r="DM430">
        <v>14</v>
      </c>
      <c r="DN430">
        <v>5</v>
      </c>
      <c r="DQ430" t="s">
        <v>1000</v>
      </c>
      <c r="DR430" t="s">
        <v>149</v>
      </c>
      <c r="DS430" s="24">
        <v>46160.384426226854</v>
      </c>
    </row>
    <row r="431" spans="1:123" x14ac:dyDescent="0.3">
      <c r="A431" t="s">
        <v>681</v>
      </c>
      <c r="D431" t="s">
        <v>225</v>
      </c>
      <c r="E431" s="24">
        <v>45842.44494212963</v>
      </c>
      <c r="G431" t="s">
        <v>90</v>
      </c>
      <c r="H431" t="s">
        <v>155</v>
      </c>
      <c r="I431" s="24"/>
      <c r="J431" s="24"/>
      <c r="K431" s="24"/>
      <c r="L431" s="24"/>
      <c r="N431" s="24"/>
      <c r="O431" s="24"/>
      <c r="P431" s="24"/>
      <c r="Q431" s="24"/>
      <c r="V431" s="24"/>
      <c r="W431" s="24"/>
      <c r="X431" s="24"/>
      <c r="Y431" s="24"/>
      <c r="AA431" s="24">
        <v>45842.458111377317</v>
      </c>
      <c r="AB431" s="24">
        <v>45842.458111377317</v>
      </c>
      <c r="AC431" s="24">
        <v>45845.706895023148</v>
      </c>
      <c r="AD431" s="24">
        <v>45845.706895023148</v>
      </c>
      <c r="AE431">
        <v>1</v>
      </c>
      <c r="AF431" s="24">
        <v>45846.630555648146</v>
      </c>
      <c r="AG431" s="24">
        <v>45846.630555648146</v>
      </c>
      <c r="AH431" s="24">
        <v>45846.630657476853</v>
      </c>
      <c r="AI431" s="24">
        <v>45846.630657476853</v>
      </c>
      <c r="AJ431">
        <v>1</v>
      </c>
      <c r="AK431" s="24">
        <v>45846.630657476853</v>
      </c>
      <c r="AL431" s="24">
        <v>45846.630657476853</v>
      </c>
      <c r="AM431" s="24">
        <v>45846.773388773145</v>
      </c>
      <c r="AN431" s="24">
        <v>45846.773388773145</v>
      </c>
      <c r="AO431">
        <v>1</v>
      </c>
      <c r="AP431" s="24"/>
      <c r="AQ431" s="24"/>
      <c r="AR431" s="24">
        <v>45842.458067939813</v>
      </c>
      <c r="AS431" s="24">
        <v>45842.458067939813</v>
      </c>
      <c r="AX431" s="24"/>
      <c r="AY431" s="24"/>
      <c r="AZ431" s="24"/>
      <c r="BA431" s="24"/>
      <c r="BC431" s="24">
        <v>45847.409829479169</v>
      </c>
      <c r="BD431" s="24">
        <v>45847.409829479169</v>
      </c>
      <c r="BE431" s="24">
        <v>45861.332072754631</v>
      </c>
      <c r="BF431" s="24">
        <v>45861.332072754631</v>
      </c>
      <c r="BG431">
        <v>1</v>
      </c>
      <c r="BH431" s="24">
        <v>45842.458067939813</v>
      </c>
      <c r="BI431" s="24">
        <v>45842.458067939813</v>
      </c>
      <c r="BJ431" s="24">
        <v>45842.458111377317</v>
      </c>
      <c r="BK431" s="24">
        <v>45842.458111377317</v>
      </c>
      <c r="BL431">
        <v>1</v>
      </c>
      <c r="BM431" s="24">
        <v>45845.706895023148</v>
      </c>
      <c r="BN431" s="24">
        <v>45845.706895023148</v>
      </c>
      <c r="BO431" s="24">
        <v>45846.630555648146</v>
      </c>
      <c r="BP431" s="24">
        <v>45846.630555648146</v>
      </c>
      <c r="BQ431">
        <v>1</v>
      </c>
      <c r="BR431" s="24">
        <v>45846.773388773145</v>
      </c>
      <c r="BS431" s="24">
        <v>45846.773388773145</v>
      </c>
      <c r="BT431" s="24">
        <v>45847.409829479169</v>
      </c>
      <c r="BU431" s="24">
        <v>45847.409829479169</v>
      </c>
      <c r="BV431">
        <v>1</v>
      </c>
      <c r="BW431" s="24"/>
      <c r="BX431" s="24"/>
      <c r="BY431" s="24"/>
      <c r="BZ431" s="24"/>
      <c r="CB431" s="24"/>
      <c r="CC431" s="24"/>
      <c r="CE431" s="24">
        <v>45861.332072754631</v>
      </c>
      <c r="CF431" s="24">
        <v>45861.332072754631</v>
      </c>
      <c r="CG431">
        <v>1</v>
      </c>
      <c r="CH431" s="24"/>
      <c r="CI431" s="24"/>
      <c r="CJ431" s="24"/>
      <c r="CK431" s="24"/>
      <c r="DE431" s="24"/>
      <c r="DF431" s="24"/>
      <c r="DG431" s="24"/>
      <c r="DH431" s="24"/>
      <c r="DJ431" t="s">
        <v>149</v>
      </c>
      <c r="DK431" t="s">
        <v>149</v>
      </c>
      <c r="DM431">
        <v>19</v>
      </c>
      <c r="DN431">
        <v>19</v>
      </c>
      <c r="DQ431" t="s">
        <v>1000</v>
      </c>
      <c r="DR431" t="s">
        <v>149</v>
      </c>
      <c r="DS431" s="24">
        <v>46160.384426226854</v>
      </c>
    </row>
    <row r="432" spans="1:123" x14ac:dyDescent="0.3">
      <c r="A432" t="s">
        <v>682</v>
      </c>
      <c r="D432" t="s">
        <v>225</v>
      </c>
      <c r="E432" s="24">
        <v>45842.420798611114</v>
      </c>
      <c r="G432" t="s">
        <v>90</v>
      </c>
      <c r="H432" t="s">
        <v>155</v>
      </c>
      <c r="I432" s="24"/>
      <c r="J432" s="24"/>
      <c r="K432" s="24"/>
      <c r="L432" s="24"/>
      <c r="N432" s="24"/>
      <c r="O432" s="24"/>
      <c r="P432" s="24"/>
      <c r="Q432" s="24"/>
      <c r="V432" s="24"/>
      <c r="W432" s="24"/>
      <c r="X432" s="24"/>
      <c r="Y432" s="24"/>
      <c r="AA432" s="24">
        <v>45848.313165868058</v>
      </c>
      <c r="AB432" s="24">
        <v>45848.313165868058</v>
      </c>
      <c r="AC432" s="24">
        <v>45853.395978298613</v>
      </c>
      <c r="AD432" s="24">
        <v>45853.395978298613</v>
      </c>
      <c r="AE432">
        <v>1</v>
      </c>
      <c r="AF432" s="24">
        <v>45853.395978298613</v>
      </c>
      <c r="AG432" s="24">
        <v>45853.395978298613</v>
      </c>
      <c r="AH432" s="24">
        <v>45854.349480914352</v>
      </c>
      <c r="AI432" s="24">
        <v>45854.349480914352</v>
      </c>
      <c r="AJ432">
        <v>1</v>
      </c>
      <c r="AK432" s="24">
        <v>45854.349480914352</v>
      </c>
      <c r="AL432" s="24">
        <v>45854.349480914352</v>
      </c>
      <c r="AM432" s="24">
        <v>45854.419382210646</v>
      </c>
      <c r="AN432" s="24">
        <v>45854.419382210646</v>
      </c>
      <c r="AO432">
        <v>1</v>
      </c>
      <c r="AP432" s="24"/>
      <c r="AQ432" s="24"/>
      <c r="AR432" s="24">
        <v>45848.312912766203</v>
      </c>
      <c r="AS432" s="24">
        <v>45848.312912766203</v>
      </c>
      <c r="AX432" s="24"/>
      <c r="AY432" s="24"/>
      <c r="AZ432" s="24"/>
      <c r="BA432" s="24"/>
      <c r="BC432" s="24">
        <v>45854.531742881947</v>
      </c>
      <c r="BD432" s="24">
        <v>45854.531742881947</v>
      </c>
      <c r="BE432" s="24">
        <v>45861.332076064813</v>
      </c>
      <c r="BF432" s="24">
        <v>45861.332076064813</v>
      </c>
      <c r="BG432">
        <v>1</v>
      </c>
      <c r="BH432" s="24">
        <v>45848.312912766203</v>
      </c>
      <c r="BI432" s="24">
        <v>45848.312912766203</v>
      </c>
      <c r="BJ432" s="24">
        <v>45848.313165868058</v>
      </c>
      <c r="BK432" s="24">
        <v>45848.313165868058</v>
      </c>
      <c r="BL432">
        <v>1</v>
      </c>
      <c r="BM432" s="24"/>
      <c r="BN432" s="24"/>
      <c r="BO432" s="24"/>
      <c r="BP432" s="24"/>
      <c r="BR432" s="24">
        <v>45854.419382210646</v>
      </c>
      <c r="BS432" s="24">
        <v>45854.419382210646</v>
      </c>
      <c r="BT432" s="24">
        <v>45854.531742881947</v>
      </c>
      <c r="BU432" s="24">
        <v>45854.531742881947</v>
      </c>
      <c r="BV432">
        <v>1</v>
      </c>
      <c r="BW432" s="24"/>
      <c r="BX432" s="24"/>
      <c r="BY432" s="24"/>
      <c r="BZ432" s="24"/>
      <c r="CB432" s="24"/>
      <c r="CC432" s="24"/>
      <c r="CE432" s="24">
        <v>45861.332076064813</v>
      </c>
      <c r="CF432" s="24">
        <v>45861.332076064813</v>
      </c>
      <c r="CG432">
        <v>1</v>
      </c>
      <c r="CH432" s="24"/>
      <c r="CI432" s="24"/>
      <c r="CJ432" s="24"/>
      <c r="CK432" s="24"/>
      <c r="DE432" s="24"/>
      <c r="DF432" s="24"/>
      <c r="DG432" s="24"/>
      <c r="DH432" s="24"/>
      <c r="DJ432" t="s">
        <v>149</v>
      </c>
      <c r="DK432" t="s">
        <v>149</v>
      </c>
      <c r="DM432">
        <v>14</v>
      </c>
      <c r="DN432">
        <v>14</v>
      </c>
      <c r="DQ432" t="s">
        <v>1000</v>
      </c>
      <c r="DR432" t="s">
        <v>149</v>
      </c>
      <c r="DS432" s="24">
        <v>46160.384426226854</v>
      </c>
    </row>
    <row r="433" spans="1:123" x14ac:dyDescent="0.3">
      <c r="A433" t="s">
        <v>683</v>
      </c>
      <c r="D433" t="s">
        <v>225</v>
      </c>
      <c r="E433" s="24">
        <v>45842.368726851855</v>
      </c>
      <c r="G433" t="s">
        <v>90</v>
      </c>
      <c r="H433" t="s">
        <v>155</v>
      </c>
      <c r="I433" s="24"/>
      <c r="J433" s="24"/>
      <c r="K433" s="24"/>
      <c r="L433" s="24"/>
      <c r="N433" s="24"/>
      <c r="O433" s="24"/>
      <c r="P433" s="24"/>
      <c r="Q433" s="24"/>
      <c r="V433" s="24"/>
      <c r="W433" s="24"/>
      <c r="X433" s="24"/>
      <c r="Y433" s="24"/>
      <c r="AA433" s="24">
        <v>45846.562065983795</v>
      </c>
      <c r="AB433" s="24">
        <v>45846.562065983795</v>
      </c>
      <c r="AC433" s="24">
        <v>45854.403364999998</v>
      </c>
      <c r="AD433" s="24">
        <v>45854.403364999998</v>
      </c>
      <c r="AE433">
        <v>1</v>
      </c>
      <c r="AF433" s="24">
        <v>45854.403364999998</v>
      </c>
      <c r="AG433" s="24">
        <v>45854.403364999998</v>
      </c>
      <c r="AH433" s="24">
        <v>45854.403401944444</v>
      </c>
      <c r="AI433" s="24">
        <v>45854.403401944444</v>
      </c>
      <c r="AJ433">
        <v>1</v>
      </c>
      <c r="AK433" s="24">
        <v>45854.403401944444</v>
      </c>
      <c r="AL433" s="24">
        <v>45854.403401944444</v>
      </c>
      <c r="AM433" s="24">
        <v>45854.403446643519</v>
      </c>
      <c r="AN433" s="24">
        <v>45854.403446643519</v>
      </c>
      <c r="AO433">
        <v>1</v>
      </c>
      <c r="AP433" s="24"/>
      <c r="AQ433" s="24"/>
      <c r="AR433" s="24">
        <v>45846.561766736108</v>
      </c>
      <c r="AS433" s="24">
        <v>45846.561766736108</v>
      </c>
      <c r="AX433" s="24"/>
      <c r="AY433" s="24"/>
      <c r="AZ433" s="24"/>
      <c r="BA433" s="24"/>
      <c r="BC433" s="24">
        <v>45854.403638807868</v>
      </c>
      <c r="BD433" s="24">
        <v>45854.403638807868</v>
      </c>
      <c r="BE433" s="24">
        <v>45861.332076076389</v>
      </c>
      <c r="BF433" s="24">
        <v>45861.332076076389</v>
      </c>
      <c r="BG433">
        <v>1</v>
      </c>
      <c r="BH433" s="24">
        <v>45846.561766736108</v>
      </c>
      <c r="BI433" s="24">
        <v>45846.561766736108</v>
      </c>
      <c r="BJ433" s="24">
        <v>45846.562065983795</v>
      </c>
      <c r="BK433" s="24">
        <v>45846.562065983795</v>
      </c>
      <c r="BL433">
        <v>1</v>
      </c>
      <c r="BM433" s="24"/>
      <c r="BN433" s="24"/>
      <c r="BO433" s="24"/>
      <c r="BP433" s="24"/>
      <c r="BR433" s="24">
        <v>45854.403446643519</v>
      </c>
      <c r="BS433" s="24">
        <v>45854.403446643519</v>
      </c>
      <c r="BT433" s="24">
        <v>45854.403638807868</v>
      </c>
      <c r="BU433" s="24">
        <v>45854.403638807868</v>
      </c>
      <c r="BV433">
        <v>1</v>
      </c>
      <c r="BW433" s="24"/>
      <c r="BX433" s="24"/>
      <c r="BY433" s="24"/>
      <c r="BZ433" s="24"/>
      <c r="CB433" s="24"/>
      <c r="CC433" s="24"/>
      <c r="CE433" s="24">
        <v>45861.332076076389</v>
      </c>
      <c r="CF433" s="24">
        <v>45861.332076076389</v>
      </c>
      <c r="CG433">
        <v>1</v>
      </c>
      <c r="CH433" s="24"/>
      <c r="CI433" s="24"/>
      <c r="CJ433" s="24"/>
      <c r="CK433" s="24"/>
      <c r="DE433" s="24"/>
      <c r="DF433" s="24"/>
      <c r="DG433" s="24"/>
      <c r="DH433" s="24"/>
      <c r="DJ433" t="s">
        <v>149</v>
      </c>
      <c r="DK433" t="s">
        <v>149</v>
      </c>
      <c r="DM433">
        <v>15</v>
      </c>
      <c r="DN433">
        <v>15</v>
      </c>
      <c r="DQ433" t="s">
        <v>1000</v>
      </c>
      <c r="DR433" t="s">
        <v>149</v>
      </c>
      <c r="DS433" s="24">
        <v>46160.384426226854</v>
      </c>
    </row>
    <row r="434" spans="1:123" x14ac:dyDescent="0.3">
      <c r="A434" t="s">
        <v>684</v>
      </c>
      <c r="D434" t="s">
        <v>225</v>
      </c>
      <c r="E434" s="24">
        <v>45841.603449074071</v>
      </c>
      <c r="G434" t="s">
        <v>90</v>
      </c>
      <c r="H434" t="s">
        <v>155</v>
      </c>
      <c r="I434" s="24"/>
      <c r="J434" s="24"/>
      <c r="K434" s="24"/>
      <c r="L434" s="24"/>
      <c r="N434" s="24">
        <v>45862.663521585651</v>
      </c>
      <c r="O434" s="24">
        <v>45862.663521585651</v>
      </c>
      <c r="P434" s="24">
        <v>45870.46529197917</v>
      </c>
      <c r="Q434" s="24">
        <v>45870.46529197917</v>
      </c>
      <c r="R434">
        <v>1</v>
      </c>
      <c r="V434" s="24"/>
      <c r="W434" s="24"/>
      <c r="X434" s="24"/>
      <c r="Y434" s="24"/>
      <c r="AA434" s="24">
        <v>45870.46529197917</v>
      </c>
      <c r="AB434" s="24">
        <v>45860.522064837962</v>
      </c>
      <c r="AC434" s="24">
        <v>45862.663521585651</v>
      </c>
      <c r="AD434" s="24">
        <v>45870.467874756941</v>
      </c>
      <c r="AE434">
        <v>2</v>
      </c>
      <c r="AF434" s="24">
        <v>45870.467874756941</v>
      </c>
      <c r="AG434" s="24">
        <v>45870.467874756941</v>
      </c>
      <c r="AH434" s="24">
        <v>45870.583388645835</v>
      </c>
      <c r="AI434" s="24">
        <v>45870.583388645835</v>
      </c>
      <c r="AJ434">
        <v>1</v>
      </c>
      <c r="AK434" s="24">
        <v>45870.583388645835</v>
      </c>
      <c r="AL434" s="24">
        <v>45870.583388645835</v>
      </c>
      <c r="AM434" s="24">
        <v>45870.583426006946</v>
      </c>
      <c r="AN434" s="24">
        <v>45870.583426006946</v>
      </c>
      <c r="AO434">
        <v>1</v>
      </c>
      <c r="AP434" s="24"/>
      <c r="AQ434" s="24"/>
      <c r="AR434" s="24">
        <v>45849.493934652775</v>
      </c>
      <c r="AS434" s="24">
        <v>45849.493934652775</v>
      </c>
      <c r="AX434" s="24"/>
      <c r="AY434" s="24"/>
      <c r="AZ434" s="24"/>
      <c r="BA434" s="24"/>
      <c r="BC434" s="24">
        <v>45870.676750983796</v>
      </c>
      <c r="BD434" s="24">
        <v>45870.676750983796</v>
      </c>
      <c r="BE434" s="24">
        <v>45874.669521736112</v>
      </c>
      <c r="BF434" s="24">
        <v>45874.669521736112</v>
      </c>
      <c r="BG434">
        <v>1</v>
      </c>
      <c r="BH434" s="24">
        <v>45849.493934652775</v>
      </c>
      <c r="BI434" s="24">
        <v>45849.493934652775</v>
      </c>
      <c r="BJ434" s="24">
        <v>45860.522064837962</v>
      </c>
      <c r="BK434" s="24">
        <v>45860.522064837962</v>
      </c>
      <c r="BL434">
        <v>1</v>
      </c>
      <c r="BM434" s="24"/>
      <c r="BN434" s="24"/>
      <c r="BO434" s="24"/>
      <c r="BP434" s="24"/>
      <c r="BR434" s="24">
        <v>45870.583426006946</v>
      </c>
      <c r="BS434" s="24">
        <v>45870.583426006946</v>
      </c>
      <c r="BT434" s="24">
        <v>45870.676750983796</v>
      </c>
      <c r="BU434" s="24">
        <v>45870.676750983796</v>
      </c>
      <c r="BV434">
        <v>1</v>
      </c>
      <c r="BW434" s="24"/>
      <c r="BX434" s="24"/>
      <c r="BY434" s="24"/>
      <c r="BZ434" s="24"/>
      <c r="CB434" s="24"/>
      <c r="CC434" s="24"/>
      <c r="CE434" s="24">
        <v>45874.669521736112</v>
      </c>
      <c r="CF434" s="24">
        <v>45874.669521736112</v>
      </c>
      <c r="CG434">
        <v>1</v>
      </c>
      <c r="CH434" s="24"/>
      <c r="CI434" s="24"/>
      <c r="CJ434" s="24"/>
      <c r="CK434" s="24"/>
      <c r="DE434" s="24"/>
      <c r="DF434" s="24"/>
      <c r="DG434" s="24"/>
      <c r="DH434" s="24"/>
      <c r="DJ434" t="s">
        <v>149</v>
      </c>
      <c r="DK434" t="s">
        <v>149</v>
      </c>
      <c r="DL434">
        <v>7.8017703703703702</v>
      </c>
      <c r="DM434">
        <v>26</v>
      </c>
      <c r="DN434">
        <v>15</v>
      </c>
      <c r="DQ434" t="s">
        <v>1000</v>
      </c>
      <c r="DR434" t="s">
        <v>149</v>
      </c>
      <c r="DS434" s="24">
        <v>46160.384426226854</v>
      </c>
    </row>
    <row r="435" spans="1:123" x14ac:dyDescent="0.3">
      <c r="A435" t="s">
        <v>685</v>
      </c>
      <c r="D435" t="s">
        <v>225</v>
      </c>
      <c r="E435" s="24">
        <v>45841.603171296294</v>
      </c>
      <c r="G435" t="s">
        <v>90</v>
      </c>
      <c r="H435" t="s">
        <v>155</v>
      </c>
      <c r="I435" s="24"/>
      <c r="J435" s="24"/>
      <c r="K435" s="24"/>
      <c r="L435" s="24"/>
      <c r="N435" s="24"/>
      <c r="O435" s="24"/>
      <c r="P435" s="24"/>
      <c r="Q435" s="24"/>
      <c r="V435" s="24"/>
      <c r="W435" s="24"/>
      <c r="X435" s="24"/>
      <c r="Y435" s="24"/>
      <c r="AA435" s="24">
        <v>45954.561247627316</v>
      </c>
      <c r="AB435" s="24">
        <v>45945.40359490741</v>
      </c>
      <c r="AC435" s="24">
        <v>45947.411101018515</v>
      </c>
      <c r="AD435" s="24">
        <v>45954.572684189814</v>
      </c>
      <c r="AE435">
        <v>3</v>
      </c>
      <c r="AF435" s="24">
        <v>45954.572684189814</v>
      </c>
      <c r="AG435" s="24">
        <v>45947.411101018515</v>
      </c>
      <c r="AH435" s="24">
        <v>45950.556540833335</v>
      </c>
      <c r="AI435" s="24">
        <v>45954.690874351851</v>
      </c>
      <c r="AJ435">
        <v>3</v>
      </c>
      <c r="AK435" s="24">
        <v>45954.690874351851</v>
      </c>
      <c r="AL435" s="24">
        <v>45950.556540833335</v>
      </c>
      <c r="AM435" s="24">
        <v>45951.409264027781</v>
      </c>
      <c r="AN435" s="24">
        <v>45957.328999027777</v>
      </c>
      <c r="AO435">
        <v>3</v>
      </c>
      <c r="AP435" s="24"/>
      <c r="AQ435" s="24"/>
      <c r="AR435" s="24">
        <v>45945.402997638892</v>
      </c>
      <c r="AS435" s="24">
        <v>45945.402997638892</v>
      </c>
      <c r="AX435" s="24"/>
      <c r="AY435" s="24"/>
      <c r="AZ435" s="24"/>
      <c r="BA435" s="24"/>
      <c r="BC435" s="24">
        <v>45957.412107905089</v>
      </c>
      <c r="BD435" s="24">
        <v>45957.412107905089</v>
      </c>
      <c r="BE435" s="24">
        <v>45960.560771909724</v>
      </c>
      <c r="BF435" s="24">
        <v>45960.560771909724</v>
      </c>
      <c r="BG435">
        <v>1</v>
      </c>
      <c r="BH435" s="24">
        <v>45945.402997638892</v>
      </c>
      <c r="BI435" s="24">
        <v>45945.402997638892</v>
      </c>
      <c r="BJ435" s="24">
        <v>45945.40359490741</v>
      </c>
      <c r="BK435" s="24">
        <v>45945.40359490741</v>
      </c>
      <c r="BL435">
        <v>1</v>
      </c>
      <c r="BM435" s="24"/>
      <c r="BN435" s="24"/>
      <c r="BO435" s="24"/>
      <c r="BP435" s="24"/>
      <c r="BR435" s="24">
        <v>45957.328999027777</v>
      </c>
      <c r="BS435" s="24">
        <v>45953.692326284719</v>
      </c>
      <c r="BT435" s="24">
        <v>45954.561247627316</v>
      </c>
      <c r="BU435" s="24">
        <v>45957.412107905089</v>
      </c>
      <c r="BV435">
        <v>2</v>
      </c>
      <c r="BW435" s="24"/>
      <c r="BX435" s="24"/>
      <c r="BY435" s="24"/>
      <c r="BZ435" s="24"/>
      <c r="CB435" s="24"/>
      <c r="CC435" s="24"/>
      <c r="CE435" s="24">
        <v>45960.560771909724</v>
      </c>
      <c r="CF435" s="24">
        <v>45960.560771909724</v>
      </c>
      <c r="CG435">
        <v>1</v>
      </c>
      <c r="CH435" s="24"/>
      <c r="CI435" s="24"/>
      <c r="CJ435" s="24"/>
      <c r="CK435" s="24"/>
      <c r="DE435" s="24"/>
      <c r="DF435" s="24"/>
      <c r="DG435" s="24"/>
      <c r="DH435" s="24"/>
      <c r="DJ435" t="s">
        <v>149</v>
      </c>
      <c r="DK435" t="s">
        <v>149</v>
      </c>
      <c r="DM435">
        <v>16</v>
      </c>
      <c r="DN435">
        <v>16</v>
      </c>
      <c r="DQ435" t="s">
        <v>1000</v>
      </c>
      <c r="DR435" t="s">
        <v>149</v>
      </c>
      <c r="DS435" s="24">
        <v>46160.384426226854</v>
      </c>
    </row>
    <row r="436" spans="1:123" x14ac:dyDescent="0.3">
      <c r="A436" t="s">
        <v>686</v>
      </c>
      <c r="D436" t="s">
        <v>225</v>
      </c>
      <c r="E436" s="24">
        <v>45841.600659722222</v>
      </c>
      <c r="G436" t="s">
        <v>90</v>
      </c>
      <c r="H436" t="s">
        <v>155</v>
      </c>
      <c r="I436" s="24"/>
      <c r="J436" s="24"/>
      <c r="K436" s="24"/>
      <c r="L436" s="24"/>
      <c r="N436" s="24"/>
      <c r="O436" s="24"/>
      <c r="P436" s="24"/>
      <c r="Q436" s="24"/>
      <c r="V436" s="24"/>
      <c r="W436" s="24"/>
      <c r="X436" s="24"/>
      <c r="Y436" s="24"/>
      <c r="AA436" s="24">
        <v>45897.544535740744</v>
      </c>
      <c r="AB436" s="24">
        <v>45897.544535740744</v>
      </c>
      <c r="AC436" s="24">
        <v>45898.379155937502</v>
      </c>
      <c r="AD436" s="24">
        <v>45898.379155937502</v>
      </c>
      <c r="AE436">
        <v>1</v>
      </c>
      <c r="AF436" s="24">
        <v>45898.379155937502</v>
      </c>
      <c r="AG436" s="24">
        <v>45898.379155937502</v>
      </c>
      <c r="AH436" s="24">
        <v>45898.48543591435</v>
      </c>
      <c r="AI436" s="24">
        <v>45898.48543591435</v>
      </c>
      <c r="AJ436">
        <v>1</v>
      </c>
      <c r="AK436" s="24">
        <v>45898.48543591435</v>
      </c>
      <c r="AL436" s="24">
        <v>45898.48543591435</v>
      </c>
      <c r="AM436" s="24">
        <v>45898.556012719906</v>
      </c>
      <c r="AN436" s="24">
        <v>45898.556012719906</v>
      </c>
      <c r="AO436">
        <v>1</v>
      </c>
      <c r="AP436" s="24"/>
      <c r="AQ436" s="24"/>
      <c r="AR436" s="24">
        <v>45897.544430601854</v>
      </c>
      <c r="AS436" s="24">
        <v>45897.544430601854</v>
      </c>
      <c r="AX436" s="24"/>
      <c r="AY436" s="24"/>
      <c r="AZ436" s="24"/>
      <c r="BA436" s="24"/>
      <c r="BC436" s="24">
        <v>45898.556193136574</v>
      </c>
      <c r="BD436" s="24">
        <v>45898.556193136574</v>
      </c>
      <c r="BE436" s="24">
        <v>45901.615533506942</v>
      </c>
      <c r="BF436" s="24">
        <v>45901.615533506942</v>
      </c>
      <c r="BG436">
        <v>1</v>
      </c>
      <c r="BH436" s="24">
        <v>45897.544430601854</v>
      </c>
      <c r="BI436" s="24">
        <v>45897.544430601854</v>
      </c>
      <c r="BJ436" s="24">
        <v>45897.544535740744</v>
      </c>
      <c r="BK436" s="24">
        <v>45897.544535740744</v>
      </c>
      <c r="BL436">
        <v>1</v>
      </c>
      <c r="BM436" s="24"/>
      <c r="BN436" s="24"/>
      <c r="BO436" s="24"/>
      <c r="BP436" s="24"/>
      <c r="BR436" s="24">
        <v>45898.556012719906</v>
      </c>
      <c r="BS436" s="24">
        <v>45898.556012719906</v>
      </c>
      <c r="BT436" s="24">
        <v>45898.556193136574</v>
      </c>
      <c r="BU436" s="24">
        <v>45898.556193136574</v>
      </c>
      <c r="BV436">
        <v>1</v>
      </c>
      <c r="BW436" s="24"/>
      <c r="BX436" s="24"/>
      <c r="BY436" s="24"/>
      <c r="BZ436" s="24"/>
      <c r="CB436" s="24"/>
      <c r="CC436" s="24"/>
      <c r="CE436" s="24">
        <v>45901.615533506942</v>
      </c>
      <c r="CF436" s="24">
        <v>45901.615533506942</v>
      </c>
      <c r="CG436">
        <v>1</v>
      </c>
      <c r="CH436" s="24"/>
      <c r="CI436" s="24"/>
      <c r="CJ436" s="24"/>
      <c r="CK436" s="24"/>
      <c r="DE436" s="24"/>
      <c r="DF436" s="24"/>
      <c r="DG436" s="24"/>
      <c r="DH436" s="24"/>
      <c r="DJ436" t="s">
        <v>149</v>
      </c>
      <c r="DK436" t="s">
        <v>149</v>
      </c>
      <c r="DM436">
        <v>5</v>
      </c>
      <c r="DN436">
        <v>5</v>
      </c>
      <c r="DQ436" t="s">
        <v>1000</v>
      </c>
      <c r="DR436" t="s">
        <v>149</v>
      </c>
      <c r="DS436" s="24">
        <v>46160.384426226854</v>
      </c>
    </row>
    <row r="437" spans="1:123" x14ac:dyDescent="0.3">
      <c r="A437" t="s">
        <v>687</v>
      </c>
      <c r="D437" t="s">
        <v>225</v>
      </c>
      <c r="E437" s="24">
        <v>45841.600381944445</v>
      </c>
      <c r="G437" t="s">
        <v>150</v>
      </c>
      <c r="H437" t="s">
        <v>155</v>
      </c>
      <c r="I437" s="24"/>
      <c r="J437" s="24"/>
      <c r="K437" s="24"/>
      <c r="L437" s="24"/>
      <c r="N437" s="24"/>
      <c r="O437" s="24"/>
      <c r="P437" s="24"/>
      <c r="Q437" s="24"/>
      <c r="V437" s="24"/>
      <c r="W437" s="24"/>
      <c r="X437" s="24"/>
      <c r="Y437" s="24"/>
      <c r="AA437" s="24"/>
      <c r="AB437" s="24"/>
      <c r="AC437" s="24"/>
      <c r="AD437" s="24"/>
      <c r="AF437" s="24"/>
      <c r="AG437" s="24"/>
      <c r="AH437" s="24"/>
      <c r="AI437" s="24"/>
      <c r="AK437" s="24"/>
      <c r="AL437" s="24"/>
      <c r="AM437" s="24"/>
      <c r="AN437" s="24"/>
      <c r="AP437" s="24"/>
      <c r="AQ437" s="24"/>
      <c r="AR437" s="24">
        <v>45841.601366770832</v>
      </c>
      <c r="AS437" s="24">
        <v>45841.601366770832</v>
      </c>
      <c r="AX437" s="24"/>
      <c r="AY437" s="24"/>
      <c r="AZ437" s="24"/>
      <c r="BA437" s="24"/>
      <c r="BC437" s="24"/>
      <c r="BD437" s="24"/>
      <c r="BE437" s="24"/>
      <c r="BF437" s="24"/>
      <c r="BH437" s="24"/>
      <c r="BI437" s="24"/>
      <c r="BJ437" s="24"/>
      <c r="BK437" s="24"/>
      <c r="BM437" s="24"/>
      <c r="BN437" s="24"/>
      <c r="BO437" s="24"/>
      <c r="BP437" s="24"/>
      <c r="BR437" s="24"/>
      <c r="BS437" s="24"/>
      <c r="BT437" s="24"/>
      <c r="BU437" s="24"/>
      <c r="BW437" s="24">
        <v>45841.601366770832</v>
      </c>
      <c r="BX437" s="24">
        <v>45841.601366770832</v>
      </c>
      <c r="BY437" s="24">
        <v>45845.562145081021</v>
      </c>
      <c r="BZ437" s="24">
        <v>45845.562145081021</v>
      </c>
      <c r="CA437">
        <v>1</v>
      </c>
      <c r="CB437" s="24">
        <v>45845.562145081021</v>
      </c>
      <c r="CC437" s="24">
        <v>45845.562145081021</v>
      </c>
      <c r="CD437">
        <v>1</v>
      </c>
      <c r="CE437" s="24"/>
      <c r="CF437" s="24"/>
      <c r="CH437" s="24"/>
      <c r="CI437" s="24"/>
      <c r="CJ437" s="24"/>
      <c r="CK437" s="24"/>
      <c r="DE437" s="24"/>
      <c r="DF437" s="24"/>
      <c r="DG437" s="24"/>
      <c r="DH437" s="24"/>
      <c r="DJ437" t="s">
        <v>149</v>
      </c>
      <c r="DK437" t="s">
        <v>149</v>
      </c>
      <c r="DQ437" t="s">
        <v>1000</v>
      </c>
      <c r="DR437" t="s">
        <v>149</v>
      </c>
      <c r="DS437" s="24">
        <v>46160.384426226854</v>
      </c>
    </row>
    <row r="438" spans="1:123" x14ac:dyDescent="0.3">
      <c r="A438" t="s">
        <v>688</v>
      </c>
      <c r="D438" t="s">
        <v>223</v>
      </c>
      <c r="E438" s="24">
        <v>45840.579305555555</v>
      </c>
      <c r="G438" t="s">
        <v>90</v>
      </c>
      <c r="H438" t="s">
        <v>155</v>
      </c>
      <c r="I438" s="24"/>
      <c r="J438" s="24"/>
      <c r="K438" s="24"/>
      <c r="L438" s="24"/>
      <c r="N438" s="24"/>
      <c r="O438" s="24"/>
      <c r="P438" s="24"/>
      <c r="Q438" s="24"/>
      <c r="V438" s="24"/>
      <c r="W438" s="24"/>
      <c r="X438" s="24"/>
      <c r="Y438" s="24"/>
      <c r="AA438" s="24">
        <v>45848.308141296293</v>
      </c>
      <c r="AB438" s="24">
        <v>45848.308141296293</v>
      </c>
      <c r="AC438" s="24">
        <v>45859.403666944447</v>
      </c>
      <c r="AD438" s="24">
        <v>45859.403666944447</v>
      </c>
      <c r="AE438">
        <v>1</v>
      </c>
      <c r="AF438" s="24">
        <v>45859.403666944447</v>
      </c>
      <c r="AG438" s="24">
        <v>45859.403666944447</v>
      </c>
      <c r="AH438" s="24">
        <v>45859.44294291667</v>
      </c>
      <c r="AI438" s="24">
        <v>45859.44294291667</v>
      </c>
      <c r="AJ438">
        <v>1</v>
      </c>
      <c r="AK438" s="24"/>
      <c r="AL438" s="24"/>
      <c r="AM438" s="24"/>
      <c r="AN438" s="24"/>
      <c r="AP438" s="24"/>
      <c r="AQ438" s="24"/>
      <c r="AR438" s="24">
        <v>45846.525191863424</v>
      </c>
      <c r="AS438" s="24">
        <v>45846.525191863424</v>
      </c>
      <c r="AX438" s="24"/>
      <c r="AY438" s="24"/>
      <c r="AZ438" s="24"/>
      <c r="BA438" s="24"/>
      <c r="BC438" s="24"/>
      <c r="BD438" s="24"/>
      <c r="BE438" s="24"/>
      <c r="BF438" s="24"/>
      <c r="BH438" s="24">
        <v>45846.525191863424</v>
      </c>
      <c r="BI438" s="24">
        <v>45846.525191863424</v>
      </c>
      <c r="BJ438" s="24">
        <v>45848.308141296293</v>
      </c>
      <c r="BK438" s="24">
        <v>45848.308141296293</v>
      </c>
      <c r="BL438">
        <v>1</v>
      </c>
      <c r="BM438" s="24"/>
      <c r="BN438" s="24"/>
      <c r="BO438" s="24"/>
      <c r="BP438" s="24"/>
      <c r="BR438" s="24">
        <v>45859.44294291667</v>
      </c>
      <c r="BS438" s="24">
        <v>45859.44294291667</v>
      </c>
      <c r="BT438" s="24">
        <v>45859.443023715277</v>
      </c>
      <c r="BU438" s="24">
        <v>45859.443023715277</v>
      </c>
      <c r="BV438">
        <v>1</v>
      </c>
      <c r="BW438" s="24"/>
      <c r="BX438" s="24"/>
      <c r="BY438" s="24"/>
      <c r="BZ438" s="24"/>
      <c r="CB438" s="24"/>
      <c r="CC438" s="24"/>
      <c r="CE438" s="24">
        <v>45859.443023715277</v>
      </c>
      <c r="CF438" s="24">
        <v>45859.443023715277</v>
      </c>
      <c r="CG438">
        <v>1</v>
      </c>
      <c r="CH438" s="24"/>
      <c r="CI438" s="24"/>
      <c r="CJ438" s="24"/>
      <c r="CK438" s="24"/>
      <c r="DE438" s="24"/>
      <c r="DF438" s="24"/>
      <c r="DG438" s="24"/>
      <c r="DH438" s="24"/>
      <c r="DJ438" t="s">
        <v>149</v>
      </c>
      <c r="DK438" t="s">
        <v>149</v>
      </c>
      <c r="DM438">
        <v>13</v>
      </c>
      <c r="DN438">
        <v>12</v>
      </c>
      <c r="DQ438" t="s">
        <v>1000</v>
      </c>
      <c r="DR438" t="s">
        <v>149</v>
      </c>
      <c r="DS438" s="24">
        <v>46160.384426226854</v>
      </c>
    </row>
    <row r="439" spans="1:123" x14ac:dyDescent="0.3">
      <c r="A439" t="s">
        <v>689</v>
      </c>
      <c r="D439" t="s">
        <v>225</v>
      </c>
      <c r="E439" s="24">
        <v>45840.458738425928</v>
      </c>
      <c r="G439" t="s">
        <v>90</v>
      </c>
      <c r="H439" t="s">
        <v>155</v>
      </c>
      <c r="I439" s="24"/>
      <c r="J439" s="24"/>
      <c r="K439" s="24"/>
      <c r="L439" s="24"/>
      <c r="N439" s="24"/>
      <c r="O439" s="24"/>
      <c r="P439" s="24"/>
      <c r="Q439" s="24"/>
      <c r="V439" s="24"/>
      <c r="W439" s="24"/>
      <c r="X439" s="24"/>
      <c r="Y439" s="24"/>
      <c r="AA439" s="24">
        <v>45840.476351076388</v>
      </c>
      <c r="AB439" s="24">
        <v>45840.476351076388</v>
      </c>
      <c r="AC439" s="24">
        <v>45840.731597951388</v>
      </c>
      <c r="AD439" s="24">
        <v>45840.731597951388</v>
      </c>
      <c r="AE439">
        <v>1</v>
      </c>
      <c r="AF439" s="24">
        <v>45840.731597951388</v>
      </c>
      <c r="AG439" s="24">
        <v>45840.731597951388</v>
      </c>
      <c r="AH439" s="24">
        <v>45841.721795439815</v>
      </c>
      <c r="AI439" s="24">
        <v>45841.721795439815</v>
      </c>
      <c r="AJ439">
        <v>1</v>
      </c>
      <c r="AK439" s="24">
        <v>45841.721795439815</v>
      </c>
      <c r="AL439" s="24">
        <v>45841.721795439815</v>
      </c>
      <c r="AM439" s="24">
        <v>45842.349358333333</v>
      </c>
      <c r="AN439" s="24">
        <v>45842.349358333333</v>
      </c>
      <c r="AO439">
        <v>1</v>
      </c>
      <c r="AP439" s="24"/>
      <c r="AQ439" s="24"/>
      <c r="AR439" s="24">
        <v>45840.47601539352</v>
      </c>
      <c r="AS439" s="24">
        <v>45840.47601539352</v>
      </c>
      <c r="AX439" s="24"/>
      <c r="AY439" s="24"/>
      <c r="AZ439" s="24"/>
      <c r="BA439" s="24"/>
      <c r="BC439" s="24">
        <v>45842.408316030094</v>
      </c>
      <c r="BD439" s="24">
        <v>45842.408316030094</v>
      </c>
      <c r="BE439" s="24">
        <v>45846.411192627318</v>
      </c>
      <c r="BF439" s="24">
        <v>45846.411192627318</v>
      </c>
      <c r="BG439">
        <v>1</v>
      </c>
      <c r="BH439" s="24">
        <v>45840.47601539352</v>
      </c>
      <c r="BI439" s="24">
        <v>45840.47601539352</v>
      </c>
      <c r="BJ439" s="24">
        <v>45840.476351076388</v>
      </c>
      <c r="BK439" s="24">
        <v>45840.476351076388</v>
      </c>
      <c r="BL439">
        <v>1</v>
      </c>
      <c r="BM439" s="24"/>
      <c r="BN439" s="24"/>
      <c r="BO439" s="24"/>
      <c r="BP439" s="24"/>
      <c r="BR439" s="24">
        <v>45842.349358333333</v>
      </c>
      <c r="BS439" s="24">
        <v>45842.349358333333</v>
      </c>
      <c r="BT439" s="24">
        <v>45842.408316030094</v>
      </c>
      <c r="BU439" s="24">
        <v>45842.408316030094</v>
      </c>
      <c r="BV439">
        <v>1</v>
      </c>
      <c r="BW439" s="24"/>
      <c r="BX439" s="24"/>
      <c r="BY439" s="24"/>
      <c r="BZ439" s="24"/>
      <c r="CB439" s="24"/>
      <c r="CC439" s="24"/>
      <c r="CE439" s="24">
        <v>45846.411192627318</v>
      </c>
      <c r="CF439" s="24">
        <v>45846.411192627318</v>
      </c>
      <c r="CG439">
        <v>1</v>
      </c>
      <c r="CH439" s="24"/>
      <c r="CI439" s="24"/>
      <c r="CJ439" s="24"/>
      <c r="CK439" s="24"/>
      <c r="DE439" s="24"/>
      <c r="DF439" s="24"/>
      <c r="DG439" s="24"/>
      <c r="DH439" s="24"/>
      <c r="DJ439" t="s">
        <v>149</v>
      </c>
      <c r="DK439" t="s">
        <v>149</v>
      </c>
      <c r="DM439">
        <v>6</v>
      </c>
      <c r="DN439">
        <v>6</v>
      </c>
      <c r="DQ439" t="s">
        <v>1000</v>
      </c>
      <c r="DR439" t="s">
        <v>149</v>
      </c>
      <c r="DS439" s="24">
        <v>46160.384426226854</v>
      </c>
    </row>
    <row r="440" spans="1:123" x14ac:dyDescent="0.3">
      <c r="A440" t="s">
        <v>690</v>
      </c>
      <c r="D440" t="s">
        <v>225</v>
      </c>
      <c r="E440" s="24">
        <v>45840.441076388888</v>
      </c>
      <c r="G440" t="s">
        <v>90</v>
      </c>
      <c r="H440" t="s">
        <v>155</v>
      </c>
      <c r="I440" s="24"/>
      <c r="J440" s="24"/>
      <c r="K440" s="24"/>
      <c r="L440" s="24"/>
      <c r="N440" s="24"/>
      <c r="O440" s="24"/>
      <c r="P440" s="24"/>
      <c r="Q440" s="24"/>
      <c r="V440" s="24"/>
      <c r="W440" s="24"/>
      <c r="X440" s="24"/>
      <c r="Y440" s="24"/>
      <c r="AA440" s="24">
        <v>45846.646808680554</v>
      </c>
      <c r="AB440" s="24">
        <v>45846.646808680554</v>
      </c>
      <c r="AC440" s="24">
        <v>45847.444669803241</v>
      </c>
      <c r="AD440" s="24">
        <v>45847.444669803241</v>
      </c>
      <c r="AE440">
        <v>1</v>
      </c>
      <c r="AF440" s="24">
        <v>45847.444669803241</v>
      </c>
      <c r="AG440" s="24">
        <v>45847.444669803241</v>
      </c>
      <c r="AH440" s="24">
        <v>45853.349739861114</v>
      </c>
      <c r="AI440" s="24">
        <v>45853.349739861114</v>
      </c>
      <c r="AJ440">
        <v>1</v>
      </c>
      <c r="AK440" s="24">
        <v>45853.349739861114</v>
      </c>
      <c r="AL440" s="24">
        <v>45853.349739861114</v>
      </c>
      <c r="AM440" s="24">
        <v>45853.349791192129</v>
      </c>
      <c r="AN440" s="24">
        <v>45853.349791192129</v>
      </c>
      <c r="AO440">
        <v>1</v>
      </c>
      <c r="AP440" s="24"/>
      <c r="AQ440" s="24"/>
      <c r="AR440" s="24">
        <v>45846.646703993058</v>
      </c>
      <c r="AS440" s="24">
        <v>45846.646703993058</v>
      </c>
      <c r="AX440" s="24"/>
      <c r="AY440" s="24"/>
      <c r="AZ440" s="24"/>
      <c r="BA440" s="24"/>
      <c r="BC440" s="24">
        <v>45853.408121828703</v>
      </c>
      <c r="BD440" s="24">
        <v>45853.408121828703</v>
      </c>
      <c r="BE440" s="24">
        <v>45861.332076192128</v>
      </c>
      <c r="BF440" s="24">
        <v>45861.332076192128</v>
      </c>
      <c r="BG440">
        <v>1</v>
      </c>
      <c r="BH440" s="24">
        <v>45846.646703993058</v>
      </c>
      <c r="BI440" s="24">
        <v>45846.646703993058</v>
      </c>
      <c r="BJ440" s="24">
        <v>45846.646808680554</v>
      </c>
      <c r="BK440" s="24">
        <v>45846.646808680554</v>
      </c>
      <c r="BL440">
        <v>1</v>
      </c>
      <c r="BM440" s="24"/>
      <c r="BN440" s="24"/>
      <c r="BO440" s="24"/>
      <c r="BP440" s="24"/>
      <c r="BR440" s="24">
        <v>45853.349791192129</v>
      </c>
      <c r="BS440" s="24">
        <v>45853.349791192129</v>
      </c>
      <c r="BT440" s="24">
        <v>45853.408121828703</v>
      </c>
      <c r="BU440" s="24">
        <v>45853.408121828703</v>
      </c>
      <c r="BV440">
        <v>1</v>
      </c>
      <c r="BW440" s="24"/>
      <c r="BX440" s="24"/>
      <c r="BY440" s="24"/>
      <c r="BZ440" s="24"/>
      <c r="CB440" s="24"/>
      <c r="CC440" s="24"/>
      <c r="CE440" s="24">
        <v>45861.332076192128</v>
      </c>
      <c r="CF440" s="24">
        <v>45861.332076192128</v>
      </c>
      <c r="CG440">
        <v>1</v>
      </c>
      <c r="CH440" s="24"/>
      <c r="CI440" s="24"/>
      <c r="CJ440" s="24"/>
      <c r="CK440" s="24"/>
      <c r="DE440" s="24"/>
      <c r="DF440" s="24"/>
      <c r="DG440" s="24"/>
      <c r="DH440" s="24"/>
      <c r="DJ440" t="s">
        <v>149</v>
      </c>
      <c r="DK440" t="s">
        <v>149</v>
      </c>
      <c r="DM440">
        <v>15</v>
      </c>
      <c r="DN440">
        <v>15</v>
      </c>
      <c r="DQ440" t="s">
        <v>1000</v>
      </c>
      <c r="DR440" t="s">
        <v>149</v>
      </c>
      <c r="DS440" s="24">
        <v>46160.384426226854</v>
      </c>
    </row>
    <row r="441" spans="1:123" x14ac:dyDescent="0.3">
      <c r="A441" t="s">
        <v>691</v>
      </c>
      <c r="D441" t="s">
        <v>225</v>
      </c>
      <c r="E441" s="24">
        <v>45839.710821759261</v>
      </c>
      <c r="G441" t="s">
        <v>90</v>
      </c>
      <c r="H441" t="s">
        <v>155</v>
      </c>
      <c r="I441" s="24"/>
      <c r="J441" s="24"/>
      <c r="K441" s="24"/>
      <c r="L441" s="24"/>
      <c r="N441" s="24"/>
      <c r="O441" s="24"/>
      <c r="P441" s="24"/>
      <c r="Q441" s="24"/>
      <c r="V441" s="24"/>
      <c r="W441" s="24"/>
      <c r="X441" s="24"/>
      <c r="Y441" s="24"/>
      <c r="AA441" s="24">
        <v>45839.723029155095</v>
      </c>
      <c r="AB441" s="24">
        <v>45839.723029155095</v>
      </c>
      <c r="AC441" s="24">
        <v>45839.723265138891</v>
      </c>
      <c r="AD441" s="24">
        <v>45839.723265138891</v>
      </c>
      <c r="AE441">
        <v>1</v>
      </c>
      <c r="AF441" s="24">
        <v>45839.723265138891</v>
      </c>
      <c r="AG441" s="24">
        <v>45839.723265138891</v>
      </c>
      <c r="AH441" s="24">
        <v>45841.69037621528</v>
      </c>
      <c r="AI441" s="24">
        <v>45841.69037621528</v>
      </c>
      <c r="AJ441">
        <v>1</v>
      </c>
      <c r="AK441" s="24">
        <v>45841.69037621528</v>
      </c>
      <c r="AL441" s="24">
        <v>45841.69037621528</v>
      </c>
      <c r="AM441" s="24">
        <v>45842.349310300924</v>
      </c>
      <c r="AN441" s="24">
        <v>45842.349310300924</v>
      </c>
      <c r="AO441">
        <v>1</v>
      </c>
      <c r="AP441" s="24"/>
      <c r="AQ441" s="24"/>
      <c r="AR441" s="24">
        <v>45839.722988888891</v>
      </c>
      <c r="AS441" s="24">
        <v>45839.722988888891</v>
      </c>
      <c r="AX441" s="24"/>
      <c r="AY441" s="24"/>
      <c r="AZ441" s="24"/>
      <c r="BA441" s="24"/>
      <c r="BC441" s="24">
        <v>45842.408231944442</v>
      </c>
      <c r="BD441" s="24">
        <v>45842.408231944442</v>
      </c>
      <c r="BE441" s="24">
        <v>45846.41119244213</v>
      </c>
      <c r="BF441" s="24">
        <v>45846.41119244213</v>
      </c>
      <c r="BG441">
        <v>1</v>
      </c>
      <c r="BH441" s="24">
        <v>45839.722988888891</v>
      </c>
      <c r="BI441" s="24">
        <v>45839.722988888891</v>
      </c>
      <c r="BJ441" s="24">
        <v>45839.723029155095</v>
      </c>
      <c r="BK441" s="24">
        <v>45839.723029155095</v>
      </c>
      <c r="BL441">
        <v>1</v>
      </c>
      <c r="BM441" s="24"/>
      <c r="BN441" s="24"/>
      <c r="BO441" s="24"/>
      <c r="BP441" s="24"/>
      <c r="BR441" s="24">
        <v>45842.349310300924</v>
      </c>
      <c r="BS441" s="24">
        <v>45842.349310300924</v>
      </c>
      <c r="BT441" s="24">
        <v>45842.408231944442</v>
      </c>
      <c r="BU441" s="24">
        <v>45842.408231944442</v>
      </c>
      <c r="BV441">
        <v>1</v>
      </c>
      <c r="BW441" s="24"/>
      <c r="BX441" s="24"/>
      <c r="BY441" s="24"/>
      <c r="BZ441" s="24"/>
      <c r="CB441" s="24"/>
      <c r="CC441" s="24"/>
      <c r="CE441" s="24">
        <v>45846.41119244213</v>
      </c>
      <c r="CF441" s="24">
        <v>45846.41119244213</v>
      </c>
      <c r="CG441">
        <v>1</v>
      </c>
      <c r="CH441" s="24"/>
      <c r="CI441" s="24"/>
      <c r="CJ441" s="24"/>
      <c r="CK441" s="24"/>
      <c r="DE441" s="24"/>
      <c r="DF441" s="24"/>
      <c r="DG441" s="24"/>
      <c r="DH441" s="24"/>
      <c r="DJ441" t="s">
        <v>149</v>
      </c>
      <c r="DK441" t="s">
        <v>149</v>
      </c>
      <c r="DM441">
        <v>7</v>
      </c>
      <c r="DN441">
        <v>7</v>
      </c>
      <c r="DQ441" t="s">
        <v>1000</v>
      </c>
      <c r="DR441" t="s">
        <v>149</v>
      </c>
      <c r="DS441" s="24">
        <v>46160.384426226854</v>
      </c>
    </row>
    <row r="442" spans="1:123" x14ac:dyDescent="0.3">
      <c r="A442" t="s">
        <v>692</v>
      </c>
      <c r="D442" t="s">
        <v>225</v>
      </c>
      <c r="E442" s="24">
        <v>45839.341678240744</v>
      </c>
      <c r="G442" t="s">
        <v>90</v>
      </c>
      <c r="H442" t="s">
        <v>155</v>
      </c>
      <c r="I442" s="24"/>
      <c r="J442" s="24"/>
      <c r="K442" s="24"/>
      <c r="L442" s="24"/>
      <c r="N442" s="24"/>
      <c r="O442" s="24"/>
      <c r="P442" s="24"/>
      <c r="Q442" s="24"/>
      <c r="V442" s="24"/>
      <c r="W442" s="24"/>
      <c r="X442" s="24"/>
      <c r="Y442" s="24"/>
      <c r="AA442" s="24">
        <v>45846.388574155091</v>
      </c>
      <c r="AB442" s="24">
        <v>45846.388574155091</v>
      </c>
      <c r="AC442" s="24">
        <v>45855.395427060183</v>
      </c>
      <c r="AD442" s="24">
        <v>45855.395427060183</v>
      </c>
      <c r="AE442">
        <v>1</v>
      </c>
      <c r="AF442" s="24"/>
      <c r="AG442" s="24"/>
      <c r="AH442" s="24"/>
      <c r="AI442" s="24"/>
      <c r="AK442" s="24">
        <v>45855.395427060183</v>
      </c>
      <c r="AL442" s="24">
        <v>45855.395427060183</v>
      </c>
      <c r="AM442" s="24">
        <v>45855.407063668979</v>
      </c>
      <c r="AN442" s="24">
        <v>45855.407063668979</v>
      </c>
      <c r="AO442">
        <v>1</v>
      </c>
      <c r="AP442" s="24"/>
      <c r="AQ442" s="24"/>
      <c r="AR442" s="24">
        <v>45846.387087581017</v>
      </c>
      <c r="AS442" s="24">
        <v>45846.387087581017</v>
      </c>
      <c r="AX442" s="24"/>
      <c r="AY442" s="24"/>
      <c r="AZ442" s="24"/>
      <c r="BA442" s="24"/>
      <c r="BC442" s="24">
        <v>45855.40712358796</v>
      </c>
      <c r="BD442" s="24">
        <v>45855.40712358796</v>
      </c>
      <c r="BE442" s="24">
        <v>45861.332076550927</v>
      </c>
      <c r="BF442" s="24">
        <v>45861.332076550927</v>
      </c>
      <c r="BG442">
        <v>1</v>
      </c>
      <c r="BH442" s="24">
        <v>45846.387087581017</v>
      </c>
      <c r="BI442" s="24">
        <v>45846.387087581017</v>
      </c>
      <c r="BJ442" s="24">
        <v>45846.388574155091</v>
      </c>
      <c r="BK442" s="24">
        <v>45846.388574155091</v>
      </c>
      <c r="BL442">
        <v>1</v>
      </c>
      <c r="BM442" s="24"/>
      <c r="BN442" s="24"/>
      <c r="BO442" s="24"/>
      <c r="BP442" s="24"/>
      <c r="BR442" s="24">
        <v>45855.407063668979</v>
      </c>
      <c r="BS442" s="24">
        <v>45855.407063668979</v>
      </c>
      <c r="BT442" s="24">
        <v>45855.40712358796</v>
      </c>
      <c r="BU442" s="24">
        <v>45855.40712358796</v>
      </c>
      <c r="BV442">
        <v>1</v>
      </c>
      <c r="BW442" s="24"/>
      <c r="BX442" s="24"/>
      <c r="BY442" s="24"/>
      <c r="BZ442" s="24"/>
      <c r="CB442" s="24"/>
      <c r="CC442" s="24"/>
      <c r="CE442" s="24">
        <v>45861.332076550927</v>
      </c>
      <c r="CF442" s="24">
        <v>45861.332076550927</v>
      </c>
      <c r="CG442">
        <v>1</v>
      </c>
      <c r="CH442" s="24"/>
      <c r="CI442" s="24"/>
      <c r="CJ442" s="24"/>
      <c r="CK442" s="24"/>
      <c r="DE442" s="24"/>
      <c r="DF442" s="24"/>
      <c r="DG442" s="24"/>
      <c r="DH442" s="24"/>
      <c r="DJ442" t="s">
        <v>149</v>
      </c>
      <c r="DK442" t="s">
        <v>149</v>
      </c>
      <c r="DM442">
        <v>15</v>
      </c>
      <c r="DN442">
        <v>15</v>
      </c>
      <c r="DQ442" t="s">
        <v>1000</v>
      </c>
      <c r="DR442" t="s">
        <v>149</v>
      </c>
      <c r="DS442" s="24">
        <v>46160.384426226854</v>
      </c>
    </row>
    <row r="443" spans="1:123" x14ac:dyDescent="0.3">
      <c r="A443" t="s">
        <v>693</v>
      </c>
      <c r="D443" t="s">
        <v>223</v>
      </c>
      <c r="E443" s="24">
        <v>45838.36178240741</v>
      </c>
      <c r="G443" t="s">
        <v>90</v>
      </c>
      <c r="H443" t="s">
        <v>155</v>
      </c>
      <c r="I443" s="24"/>
      <c r="J443" s="24"/>
      <c r="K443" s="24"/>
      <c r="L443" s="24"/>
      <c r="N443" s="24"/>
      <c r="O443" s="24"/>
      <c r="P443" s="24"/>
      <c r="Q443" s="24"/>
      <c r="V443" s="24"/>
      <c r="W443" s="24"/>
      <c r="X443" s="24"/>
      <c r="Y443" s="24"/>
      <c r="AA443" s="24">
        <v>45849.453416435186</v>
      </c>
      <c r="AB443" s="24">
        <v>45849.453416435186</v>
      </c>
      <c r="AC443" s="24">
        <v>45853.75333767361</v>
      </c>
      <c r="AD443" s="24">
        <v>45853.75333767361</v>
      </c>
      <c r="AE443">
        <v>1</v>
      </c>
      <c r="AF443" s="24">
        <v>45853.75333767361</v>
      </c>
      <c r="AG443" s="24">
        <v>45853.75333767361</v>
      </c>
      <c r="AH443" s="24">
        <v>45856.394144027778</v>
      </c>
      <c r="AI443" s="24">
        <v>45856.394144027778</v>
      </c>
      <c r="AJ443">
        <v>1</v>
      </c>
      <c r="AK443" s="24"/>
      <c r="AL443" s="24"/>
      <c r="AM443" s="24"/>
      <c r="AN443" s="24"/>
      <c r="AP443" s="24"/>
      <c r="AQ443" s="24"/>
      <c r="AR443" s="24">
        <v>45849.434935717596</v>
      </c>
      <c r="AS443" s="24">
        <v>45849.434935717596</v>
      </c>
      <c r="AX443" s="24"/>
      <c r="AY443" s="24"/>
      <c r="AZ443" s="24"/>
      <c r="BA443" s="24"/>
      <c r="BC443" s="24"/>
      <c r="BD443" s="24"/>
      <c r="BE443" s="24"/>
      <c r="BF443" s="24"/>
      <c r="BH443" s="24">
        <v>45849.434935717596</v>
      </c>
      <c r="BI443" s="24">
        <v>45849.434935717596</v>
      </c>
      <c r="BJ443" s="24">
        <v>45849.453416435186</v>
      </c>
      <c r="BK443" s="24">
        <v>45849.453416435186</v>
      </c>
      <c r="BL443">
        <v>1</v>
      </c>
      <c r="BM443" s="24"/>
      <c r="BN443" s="24"/>
      <c r="BO443" s="24"/>
      <c r="BP443" s="24"/>
      <c r="BR443" s="24">
        <v>45856.394144027778</v>
      </c>
      <c r="BS443" s="24">
        <v>45856.394144027778</v>
      </c>
      <c r="BT443" s="24">
        <v>45856.406664016205</v>
      </c>
      <c r="BU443" s="24">
        <v>45856.406664016205</v>
      </c>
      <c r="BV443">
        <v>1</v>
      </c>
      <c r="BW443" s="24"/>
      <c r="BX443" s="24"/>
      <c r="BY443" s="24"/>
      <c r="BZ443" s="24"/>
      <c r="CB443" s="24"/>
      <c r="CC443" s="24"/>
      <c r="CE443" s="24">
        <v>45856.406664016205</v>
      </c>
      <c r="CF443" s="24">
        <v>45856.406664016205</v>
      </c>
      <c r="CG443">
        <v>1</v>
      </c>
      <c r="CH443" s="24"/>
      <c r="CI443" s="24"/>
      <c r="CJ443" s="24"/>
      <c r="CK443" s="24"/>
      <c r="DE443" s="24"/>
      <c r="DF443" s="24"/>
      <c r="DG443" s="24"/>
      <c r="DH443" s="24"/>
      <c r="DJ443" t="s">
        <v>149</v>
      </c>
      <c r="DK443" t="s">
        <v>149</v>
      </c>
      <c r="DM443">
        <v>7</v>
      </c>
      <c r="DN443">
        <v>7</v>
      </c>
      <c r="DQ443" t="s">
        <v>1000</v>
      </c>
      <c r="DR443" t="s">
        <v>149</v>
      </c>
      <c r="DS443" s="24">
        <v>46160.384426226854</v>
      </c>
    </row>
    <row r="444" spans="1:123" x14ac:dyDescent="0.3">
      <c r="A444" t="s">
        <v>694</v>
      </c>
      <c r="D444" t="s">
        <v>225</v>
      </c>
      <c r="E444" s="24">
        <v>45835.324907407405</v>
      </c>
      <c r="G444" t="s">
        <v>90</v>
      </c>
      <c r="H444" t="s">
        <v>155</v>
      </c>
      <c r="I444" s="24"/>
      <c r="J444" s="24"/>
      <c r="K444" s="24"/>
      <c r="L444" s="24"/>
      <c r="N444" s="24"/>
      <c r="O444" s="24"/>
      <c r="P444" s="24"/>
      <c r="Q444" s="24"/>
      <c r="V444" s="24"/>
      <c r="W444" s="24"/>
      <c r="X444" s="24"/>
      <c r="Y444" s="24"/>
      <c r="AA444" s="24">
        <v>45847.567099756947</v>
      </c>
      <c r="AB444" s="24">
        <v>45846.622486388886</v>
      </c>
      <c r="AC444" s="24">
        <v>45846.717220138889</v>
      </c>
      <c r="AD444" s="24">
        <v>45847.567161192128</v>
      </c>
      <c r="AE444">
        <v>2</v>
      </c>
      <c r="AF444" s="24">
        <v>45847.567161192128</v>
      </c>
      <c r="AG444" s="24">
        <v>45847.567161192128</v>
      </c>
      <c r="AH444" s="24">
        <v>45849.371823518515</v>
      </c>
      <c r="AI444" s="24">
        <v>45849.371823518515</v>
      </c>
      <c r="AJ444">
        <v>1</v>
      </c>
      <c r="AK444" s="24">
        <v>45849.371823518515</v>
      </c>
      <c r="AL444" s="24">
        <v>45846.717220138889</v>
      </c>
      <c r="AM444" s="24">
        <v>45847.567099756947</v>
      </c>
      <c r="AN444" s="24">
        <v>45849.421050833334</v>
      </c>
      <c r="AO444">
        <v>2</v>
      </c>
      <c r="AP444" s="24"/>
      <c r="AQ444" s="24"/>
      <c r="AR444" s="24">
        <v>45846.622387800926</v>
      </c>
      <c r="AS444" s="24">
        <v>45846.622387800926</v>
      </c>
      <c r="AX444" s="24"/>
      <c r="AY444" s="24"/>
      <c r="AZ444" s="24"/>
      <c r="BA444" s="24"/>
      <c r="BC444" s="24">
        <v>45849.421639120374</v>
      </c>
      <c r="BD444" s="24">
        <v>45849.421639120374</v>
      </c>
      <c r="BE444" s="24">
        <v>45861.33207960648</v>
      </c>
      <c r="BF444" s="24">
        <v>45861.33207960648</v>
      </c>
      <c r="BG444">
        <v>1</v>
      </c>
      <c r="BH444" s="24">
        <v>45846.622387800926</v>
      </c>
      <c r="BI444" s="24">
        <v>45846.622387800926</v>
      </c>
      <c r="BJ444" s="24">
        <v>45846.622486388886</v>
      </c>
      <c r="BK444" s="24">
        <v>45846.622486388886</v>
      </c>
      <c r="BL444">
        <v>1</v>
      </c>
      <c r="BM444" s="24"/>
      <c r="BN444" s="24"/>
      <c r="BO444" s="24"/>
      <c r="BP444" s="24"/>
      <c r="BR444" s="24">
        <v>45849.421050833334</v>
      </c>
      <c r="BS444" s="24">
        <v>45849.421050833334</v>
      </c>
      <c r="BT444" s="24">
        <v>45849.421639120374</v>
      </c>
      <c r="BU444" s="24">
        <v>45849.421639120374</v>
      </c>
      <c r="BV444">
        <v>1</v>
      </c>
      <c r="BW444" s="24"/>
      <c r="BX444" s="24"/>
      <c r="BY444" s="24"/>
      <c r="BZ444" s="24"/>
      <c r="CB444" s="24"/>
      <c r="CC444" s="24"/>
      <c r="CE444" s="24">
        <v>45861.33207960648</v>
      </c>
      <c r="CF444" s="24">
        <v>45861.33207960648</v>
      </c>
      <c r="CG444">
        <v>1</v>
      </c>
      <c r="CH444" s="24"/>
      <c r="CI444" s="24"/>
      <c r="CJ444" s="24"/>
      <c r="CK444" s="24"/>
      <c r="DE444" s="24"/>
      <c r="DF444" s="24"/>
      <c r="DG444" s="24"/>
      <c r="DH444" s="24"/>
      <c r="DJ444" t="s">
        <v>149</v>
      </c>
      <c r="DK444" t="s">
        <v>149</v>
      </c>
      <c r="DM444">
        <v>15</v>
      </c>
      <c r="DN444">
        <v>15</v>
      </c>
      <c r="DQ444" t="s">
        <v>1000</v>
      </c>
      <c r="DR444" t="s">
        <v>149</v>
      </c>
      <c r="DS444" s="24">
        <v>46160.384426226854</v>
      </c>
    </row>
    <row r="445" spans="1:123" x14ac:dyDescent="0.3">
      <c r="A445" t="s">
        <v>695</v>
      </c>
      <c r="D445" t="s">
        <v>225</v>
      </c>
      <c r="E445" s="24">
        <v>45834.678819444445</v>
      </c>
      <c r="G445" t="s">
        <v>90</v>
      </c>
      <c r="H445" t="s">
        <v>155</v>
      </c>
      <c r="I445" s="24"/>
      <c r="J445" s="24"/>
      <c r="K445" s="24"/>
      <c r="L445" s="24"/>
      <c r="N445" s="24"/>
      <c r="O445" s="24"/>
      <c r="P445" s="24"/>
      <c r="Q445" s="24"/>
      <c r="V445" s="24"/>
      <c r="W445" s="24"/>
      <c r="X445" s="24"/>
      <c r="Y445" s="24"/>
      <c r="AA445" s="24">
        <v>45834.72243548611</v>
      </c>
      <c r="AB445" s="24">
        <v>45834.72243548611</v>
      </c>
      <c r="AC445" s="24">
        <v>45834.722548055557</v>
      </c>
      <c r="AD445" s="24">
        <v>45834.722548055557</v>
      </c>
      <c r="AE445">
        <v>1</v>
      </c>
      <c r="AF445" s="24">
        <v>45834.722548055557</v>
      </c>
      <c r="AG445" s="24">
        <v>45834.722548055557</v>
      </c>
      <c r="AH445" s="24">
        <v>45838.421215405091</v>
      </c>
      <c r="AI445" s="24">
        <v>45838.421215405091</v>
      </c>
      <c r="AJ445">
        <v>1</v>
      </c>
      <c r="AK445" s="24">
        <v>45838.421215405091</v>
      </c>
      <c r="AL445" s="24">
        <v>45838.421215405091</v>
      </c>
      <c r="AM445" s="24">
        <v>45841.412630243052</v>
      </c>
      <c r="AN445" s="24">
        <v>45841.412630243052</v>
      </c>
      <c r="AO445">
        <v>1</v>
      </c>
      <c r="AP445" s="24"/>
      <c r="AQ445" s="24"/>
      <c r="AR445" s="24">
        <v>45834.699010509263</v>
      </c>
      <c r="AS445" s="24">
        <v>45834.699010509263</v>
      </c>
      <c r="AX445" s="24"/>
      <c r="AY445" s="24"/>
      <c r="AZ445" s="24"/>
      <c r="BA445" s="24"/>
      <c r="BC445" s="24">
        <v>45841.412854363429</v>
      </c>
      <c r="BD445" s="24">
        <v>45841.412854363429</v>
      </c>
      <c r="BE445" s="24">
        <v>45846.411192430554</v>
      </c>
      <c r="BF445" s="24">
        <v>45846.411192430554</v>
      </c>
      <c r="BG445">
        <v>1</v>
      </c>
      <c r="BH445" s="24">
        <v>45834.699010509263</v>
      </c>
      <c r="BI445" s="24">
        <v>45834.699010509263</v>
      </c>
      <c r="BJ445" s="24">
        <v>45834.72243548611</v>
      </c>
      <c r="BK445" s="24">
        <v>45834.72243548611</v>
      </c>
      <c r="BL445">
        <v>1</v>
      </c>
      <c r="BM445" s="24"/>
      <c r="BN445" s="24"/>
      <c r="BO445" s="24"/>
      <c r="BP445" s="24"/>
      <c r="BR445" s="24">
        <v>45841.412630243052</v>
      </c>
      <c r="BS445" s="24">
        <v>45841.412630243052</v>
      </c>
      <c r="BT445" s="24">
        <v>45841.412854363429</v>
      </c>
      <c r="BU445" s="24">
        <v>45841.412854363429</v>
      </c>
      <c r="BV445">
        <v>1</v>
      </c>
      <c r="BW445" s="24"/>
      <c r="BX445" s="24"/>
      <c r="BY445" s="24"/>
      <c r="BZ445" s="24"/>
      <c r="CB445" s="24"/>
      <c r="CC445" s="24"/>
      <c r="CE445" s="24">
        <v>45846.411192430554</v>
      </c>
      <c r="CF445" s="24">
        <v>45846.411192430554</v>
      </c>
      <c r="CG445">
        <v>1</v>
      </c>
      <c r="CH445" s="24"/>
      <c r="CI445" s="24"/>
      <c r="CJ445" s="24"/>
      <c r="CK445" s="24"/>
      <c r="DE445" s="24"/>
      <c r="DF445" s="24"/>
      <c r="DG445" s="24"/>
      <c r="DH445" s="24"/>
      <c r="DJ445" t="s">
        <v>149</v>
      </c>
      <c r="DK445" t="s">
        <v>149</v>
      </c>
      <c r="DM445">
        <v>12</v>
      </c>
      <c r="DN445">
        <v>12</v>
      </c>
      <c r="DQ445" t="s">
        <v>1000</v>
      </c>
      <c r="DR445" t="s">
        <v>149</v>
      </c>
      <c r="DS445" s="24">
        <v>46160.384426226854</v>
      </c>
    </row>
    <row r="446" spans="1:123" x14ac:dyDescent="0.3">
      <c r="A446" t="s">
        <v>696</v>
      </c>
      <c r="D446" t="s">
        <v>225</v>
      </c>
      <c r="E446" s="24">
        <v>45834.674398148149</v>
      </c>
      <c r="G446" t="s">
        <v>90</v>
      </c>
      <c r="H446" t="s">
        <v>155</v>
      </c>
      <c r="I446" s="24"/>
      <c r="J446" s="24"/>
      <c r="K446" s="24"/>
      <c r="L446" s="24"/>
      <c r="N446" s="24"/>
      <c r="O446" s="24"/>
      <c r="P446" s="24"/>
      <c r="Q446" s="24"/>
      <c r="V446" s="24"/>
      <c r="W446" s="24"/>
      <c r="X446" s="24"/>
      <c r="Y446" s="24"/>
      <c r="AA446" s="24">
        <v>45835.452443287038</v>
      </c>
      <c r="AB446" s="24">
        <v>45835.452443287038</v>
      </c>
      <c r="AC446" s="24">
        <v>45838.412644050928</v>
      </c>
      <c r="AD446" s="24">
        <v>45838.412644050928</v>
      </c>
      <c r="AE446">
        <v>1</v>
      </c>
      <c r="AF446" s="24">
        <v>45838.412644050928</v>
      </c>
      <c r="AG446" s="24">
        <v>45838.412644050928</v>
      </c>
      <c r="AH446" s="24">
        <v>45839.367605624997</v>
      </c>
      <c r="AI446" s="24">
        <v>45839.367605624997</v>
      </c>
      <c r="AJ446">
        <v>1</v>
      </c>
      <c r="AK446" s="24">
        <v>45839.367605624997</v>
      </c>
      <c r="AL446" s="24">
        <v>45839.367605624997</v>
      </c>
      <c r="AM446" s="24">
        <v>45841.412221307874</v>
      </c>
      <c r="AN446" s="24">
        <v>45841.412221307874</v>
      </c>
      <c r="AO446">
        <v>1</v>
      </c>
      <c r="AP446" s="24"/>
      <c r="AQ446" s="24"/>
      <c r="AR446" s="24">
        <v>45835.441061469908</v>
      </c>
      <c r="AS446" s="24">
        <v>45835.441061469908</v>
      </c>
      <c r="AX446" s="24"/>
      <c r="AY446" s="24"/>
      <c r="AZ446" s="24"/>
      <c r="BA446" s="24"/>
      <c r="BC446" s="24">
        <v>45841.412531203707</v>
      </c>
      <c r="BD446" s="24">
        <v>45841.412531203707</v>
      </c>
      <c r="BE446" s="24">
        <v>45846.411192893516</v>
      </c>
      <c r="BF446" s="24">
        <v>45846.411192893516</v>
      </c>
      <c r="BG446">
        <v>1</v>
      </c>
      <c r="BH446" s="24">
        <v>45835.441061469908</v>
      </c>
      <c r="BI446" s="24">
        <v>45835.441061469908</v>
      </c>
      <c r="BJ446" s="24">
        <v>45835.452443287038</v>
      </c>
      <c r="BK446" s="24">
        <v>45835.452443287038</v>
      </c>
      <c r="BL446">
        <v>1</v>
      </c>
      <c r="BM446" s="24"/>
      <c r="BN446" s="24"/>
      <c r="BO446" s="24"/>
      <c r="BP446" s="24"/>
      <c r="BR446" s="24">
        <v>45841.412221307874</v>
      </c>
      <c r="BS446" s="24">
        <v>45841.412221307874</v>
      </c>
      <c r="BT446" s="24">
        <v>45841.412531203707</v>
      </c>
      <c r="BU446" s="24">
        <v>45841.412531203707</v>
      </c>
      <c r="BV446">
        <v>1</v>
      </c>
      <c r="BW446" s="24"/>
      <c r="BX446" s="24"/>
      <c r="BY446" s="24"/>
      <c r="BZ446" s="24"/>
      <c r="CB446" s="24"/>
      <c r="CC446" s="24"/>
      <c r="CE446" s="24">
        <v>45846.411192893516</v>
      </c>
      <c r="CF446" s="24">
        <v>45846.411192893516</v>
      </c>
      <c r="CG446">
        <v>1</v>
      </c>
      <c r="CH446" s="24"/>
      <c r="CI446" s="24"/>
      <c r="CJ446" s="24"/>
      <c r="CK446" s="24"/>
      <c r="DE446" s="24"/>
      <c r="DF446" s="24"/>
      <c r="DG446" s="24"/>
      <c r="DH446" s="24"/>
      <c r="DJ446" t="s">
        <v>149</v>
      </c>
      <c r="DK446" t="s">
        <v>149</v>
      </c>
      <c r="DM446">
        <v>11</v>
      </c>
      <c r="DN446">
        <v>11</v>
      </c>
      <c r="DQ446" t="s">
        <v>1000</v>
      </c>
      <c r="DR446" t="s">
        <v>149</v>
      </c>
      <c r="DS446" s="24">
        <v>46160.384426226854</v>
      </c>
    </row>
    <row r="447" spans="1:123" x14ac:dyDescent="0.3">
      <c r="A447" t="s">
        <v>697</v>
      </c>
      <c r="D447" t="s">
        <v>225</v>
      </c>
      <c r="E447" s="24">
        <v>45834.665092592593</v>
      </c>
      <c r="G447" t="s">
        <v>107</v>
      </c>
      <c r="H447" t="s">
        <v>154</v>
      </c>
      <c r="I447" s="24">
        <v>45845.474961643522</v>
      </c>
      <c r="J447" s="24">
        <v>45845.474961643522</v>
      </c>
      <c r="K447" s="24">
        <v>45845.47572072917</v>
      </c>
      <c r="L447" s="24">
        <v>45845.47572072917</v>
      </c>
      <c r="M447">
        <v>1</v>
      </c>
      <c r="N447" s="24">
        <v>45834.726219641205</v>
      </c>
      <c r="O447" s="24">
        <v>45834.726219641205</v>
      </c>
      <c r="P447" s="24">
        <v>45845.474908391203</v>
      </c>
      <c r="Q447" s="24">
        <v>45845.474908391203</v>
      </c>
      <c r="R447">
        <v>1</v>
      </c>
      <c r="V447" s="24"/>
      <c r="W447" s="24"/>
      <c r="X447" s="24"/>
      <c r="Y447" s="24"/>
      <c r="AA447" s="24">
        <v>45845.474908391203</v>
      </c>
      <c r="AB447" s="24">
        <v>45834.668084398145</v>
      </c>
      <c r="AC447" s="24">
        <v>45834.726219641205</v>
      </c>
      <c r="AD447" s="24">
        <v>45845.474961643522</v>
      </c>
      <c r="AE447">
        <v>2</v>
      </c>
      <c r="AF447" s="24"/>
      <c r="AG447" s="24"/>
      <c r="AH447" s="24"/>
      <c r="AI447" s="24"/>
      <c r="AK447" s="24"/>
      <c r="AL447" s="24"/>
      <c r="AM447" s="24"/>
      <c r="AN447" s="24"/>
      <c r="AP447" s="24"/>
      <c r="AQ447" s="24"/>
      <c r="AR447" s="24"/>
      <c r="AS447" s="24"/>
      <c r="AX447" s="24"/>
      <c r="AY447" s="24"/>
      <c r="AZ447" s="24"/>
      <c r="BA447" s="24"/>
      <c r="BC447" s="24"/>
      <c r="BD447" s="24"/>
      <c r="BE447" s="24"/>
      <c r="BF447" s="24"/>
      <c r="BH447" s="24">
        <v>45845.47572072917</v>
      </c>
      <c r="BI447" s="24">
        <v>45845.47572072917</v>
      </c>
      <c r="BJ447" s="24"/>
      <c r="BK447" s="24"/>
      <c r="BL447">
        <v>1</v>
      </c>
      <c r="BM447" s="24"/>
      <c r="BN447" s="24"/>
      <c r="BO447" s="24"/>
      <c r="BP447" s="24"/>
      <c r="BR447" s="24"/>
      <c r="BS447" s="24"/>
      <c r="BT447" s="24"/>
      <c r="BU447" s="24"/>
      <c r="BW447" s="24"/>
      <c r="BX447" s="24"/>
      <c r="BY447" s="24"/>
      <c r="BZ447" s="24"/>
      <c r="CB447" s="24"/>
      <c r="CC447" s="24"/>
      <c r="CE447" s="24"/>
      <c r="CF447" s="24"/>
      <c r="CH447" s="24"/>
      <c r="CI447" s="24"/>
      <c r="CJ447" s="24"/>
      <c r="CK447" s="24"/>
      <c r="DE447" s="24"/>
      <c r="DF447" s="24"/>
      <c r="DG447" s="24"/>
      <c r="DH447" s="24"/>
      <c r="DJ447" t="s">
        <v>149</v>
      </c>
      <c r="DK447" t="s">
        <v>149</v>
      </c>
      <c r="DO447">
        <v>326</v>
      </c>
      <c r="DP447">
        <v>315</v>
      </c>
      <c r="DQ447" t="s">
        <v>1000</v>
      </c>
      <c r="DR447" t="s">
        <v>149</v>
      </c>
      <c r="DS447" s="24">
        <v>46160.384426226854</v>
      </c>
    </row>
    <row r="448" spans="1:123" x14ac:dyDescent="0.3">
      <c r="A448" t="s">
        <v>698</v>
      </c>
      <c r="D448" t="s">
        <v>223</v>
      </c>
      <c r="E448" s="24">
        <v>45832.623611111114</v>
      </c>
      <c r="G448" t="s">
        <v>90</v>
      </c>
      <c r="H448" t="s">
        <v>155</v>
      </c>
      <c r="I448" s="24">
        <v>45863.377972175927</v>
      </c>
      <c r="J448" s="24">
        <v>45863.377972175927</v>
      </c>
      <c r="K448" s="24">
        <v>45863.378040671298</v>
      </c>
      <c r="L448" s="24">
        <v>45863.378040671298</v>
      </c>
      <c r="M448">
        <v>1</v>
      </c>
      <c r="N448" s="24"/>
      <c r="O448" s="24"/>
      <c r="P448" s="24"/>
      <c r="Q448" s="24"/>
      <c r="V448" s="24"/>
      <c r="W448" s="24"/>
      <c r="X448" s="24"/>
      <c r="Y448" s="24"/>
      <c r="AA448" s="24">
        <v>45866.446567175924</v>
      </c>
      <c r="AB448" s="24">
        <v>45863.361653148146</v>
      </c>
      <c r="AC448" s="24">
        <v>45863.377972175927</v>
      </c>
      <c r="AD448" s="24">
        <v>45868.45166796296</v>
      </c>
      <c r="AE448">
        <v>2</v>
      </c>
      <c r="AF448" s="24">
        <v>45868.45166796296</v>
      </c>
      <c r="AG448" s="24">
        <v>45868.45166796296</v>
      </c>
      <c r="AH448" s="24">
        <v>45868.466827372686</v>
      </c>
      <c r="AI448" s="24">
        <v>45868.466827372686</v>
      </c>
      <c r="AJ448">
        <v>1</v>
      </c>
      <c r="AK448" s="24"/>
      <c r="AL448" s="24"/>
      <c r="AM448" s="24"/>
      <c r="AN448" s="24"/>
      <c r="AP448" s="24"/>
      <c r="AQ448" s="24"/>
      <c r="AR448" s="24">
        <v>45849.435084907411</v>
      </c>
      <c r="AS448" s="24">
        <v>45849.435084907411</v>
      </c>
      <c r="AX448" s="24"/>
      <c r="AY448" s="24"/>
      <c r="AZ448" s="24"/>
      <c r="BA448" s="24"/>
      <c r="BC448" s="24"/>
      <c r="BD448" s="24"/>
      <c r="BE448" s="24"/>
      <c r="BF448" s="24"/>
      <c r="BH448" s="24">
        <v>45863.378040671298</v>
      </c>
      <c r="BI448" s="24">
        <v>45849.435084907411</v>
      </c>
      <c r="BJ448" s="24">
        <v>45863.361653148146</v>
      </c>
      <c r="BK448" s="24">
        <v>45866.446567175924</v>
      </c>
      <c r="BL448">
        <v>2</v>
      </c>
      <c r="BM448" s="24"/>
      <c r="BN448" s="24"/>
      <c r="BO448" s="24"/>
      <c r="BP448" s="24"/>
      <c r="BR448" s="24">
        <v>45868.466827372686</v>
      </c>
      <c r="BS448" s="24">
        <v>45868.466827372686</v>
      </c>
      <c r="BT448" s="24">
        <v>45869.399663773147</v>
      </c>
      <c r="BU448" s="24">
        <v>45869.399663773147</v>
      </c>
      <c r="BV448">
        <v>1</v>
      </c>
      <c r="BW448" s="24"/>
      <c r="BX448" s="24"/>
      <c r="BY448" s="24"/>
      <c r="BZ448" s="24"/>
      <c r="CB448" s="24"/>
      <c r="CC448" s="24"/>
      <c r="CE448" s="24">
        <v>45869.399663773147</v>
      </c>
      <c r="CF448" s="24">
        <v>45869.399663773147</v>
      </c>
      <c r="CG448">
        <v>1</v>
      </c>
      <c r="CH448" s="24"/>
      <c r="CI448" s="24"/>
      <c r="CJ448" s="24"/>
      <c r="CK448" s="24"/>
      <c r="DE448" s="24"/>
      <c r="DF448" s="24"/>
      <c r="DG448" s="24"/>
      <c r="DH448" s="24"/>
      <c r="DJ448" t="s">
        <v>149</v>
      </c>
      <c r="DK448" t="s">
        <v>149</v>
      </c>
      <c r="DM448">
        <v>20</v>
      </c>
      <c r="DN448">
        <v>7</v>
      </c>
      <c r="DQ448" t="s">
        <v>1000</v>
      </c>
      <c r="DR448" t="s">
        <v>149</v>
      </c>
      <c r="DS448" s="24">
        <v>46160.384426226854</v>
      </c>
    </row>
    <row r="449" spans="1:123" x14ac:dyDescent="0.3">
      <c r="A449" t="s">
        <v>699</v>
      </c>
      <c r="D449" t="s">
        <v>223</v>
      </c>
      <c r="E449" s="24">
        <v>45832.623379629629</v>
      </c>
      <c r="G449" t="s">
        <v>90</v>
      </c>
      <c r="H449" t="s">
        <v>155</v>
      </c>
      <c r="I449" s="24"/>
      <c r="J449" s="24"/>
      <c r="K449" s="24"/>
      <c r="L449" s="24"/>
      <c r="N449" s="24"/>
      <c r="O449" s="24"/>
      <c r="P449" s="24"/>
      <c r="Q449" s="24"/>
      <c r="V449" s="24"/>
      <c r="W449" s="24"/>
      <c r="X449" s="24"/>
      <c r="Y449" s="24"/>
      <c r="AA449" s="24">
        <v>45846.546476122683</v>
      </c>
      <c r="AB449" s="24">
        <v>45846.546476122683</v>
      </c>
      <c r="AC449" s="24">
        <v>45846.57183158565</v>
      </c>
      <c r="AD449" s="24">
        <v>45846.57183158565</v>
      </c>
      <c r="AE449">
        <v>1</v>
      </c>
      <c r="AF449" s="24">
        <v>45846.57183158565</v>
      </c>
      <c r="AG449" s="24">
        <v>45846.57183158565</v>
      </c>
      <c r="AH449" s="24">
        <v>45849.449872199075</v>
      </c>
      <c r="AI449" s="24">
        <v>45849.449872199075</v>
      </c>
      <c r="AJ449">
        <v>1</v>
      </c>
      <c r="AK449" s="24"/>
      <c r="AL449" s="24"/>
      <c r="AM449" s="24"/>
      <c r="AN449" s="24"/>
      <c r="AP449" s="24"/>
      <c r="AQ449" s="24"/>
      <c r="AR449" s="24">
        <v>45846.546418310187</v>
      </c>
      <c r="AS449" s="24">
        <v>45846.546418310187</v>
      </c>
      <c r="AX449" s="24"/>
      <c r="AY449" s="24"/>
      <c r="AZ449" s="24"/>
      <c r="BA449" s="24"/>
      <c r="BC449" s="24"/>
      <c r="BD449" s="24"/>
      <c r="BE449" s="24"/>
      <c r="BF449" s="24"/>
      <c r="BH449" s="24">
        <v>45846.546418310187</v>
      </c>
      <c r="BI449" s="24">
        <v>45846.546418310187</v>
      </c>
      <c r="BJ449" s="24">
        <v>45846.546476122683</v>
      </c>
      <c r="BK449" s="24">
        <v>45846.546476122683</v>
      </c>
      <c r="BL449">
        <v>1</v>
      </c>
      <c r="BM449" s="24"/>
      <c r="BN449" s="24"/>
      <c r="BO449" s="24"/>
      <c r="BP449" s="24"/>
      <c r="BR449" s="24">
        <v>45849.449872199075</v>
      </c>
      <c r="BS449" s="24">
        <v>45849.449872199075</v>
      </c>
      <c r="BT449" s="24">
        <v>45849.449904756948</v>
      </c>
      <c r="BU449" s="24">
        <v>45849.449904756948</v>
      </c>
      <c r="BV449">
        <v>1</v>
      </c>
      <c r="BW449" s="24"/>
      <c r="BX449" s="24"/>
      <c r="BY449" s="24"/>
      <c r="BZ449" s="24"/>
      <c r="CB449" s="24"/>
      <c r="CC449" s="24"/>
      <c r="CE449" s="24">
        <v>45849.449904756948</v>
      </c>
      <c r="CF449" s="24">
        <v>45849.449904756948</v>
      </c>
      <c r="CG449">
        <v>1</v>
      </c>
      <c r="CH449" s="24"/>
      <c r="CI449" s="24"/>
      <c r="CJ449" s="24"/>
      <c r="CK449" s="24"/>
      <c r="DE449" s="24"/>
      <c r="DF449" s="24"/>
      <c r="DG449" s="24"/>
      <c r="DH449" s="24"/>
      <c r="DJ449" t="s">
        <v>149</v>
      </c>
      <c r="DK449" t="s">
        <v>149</v>
      </c>
      <c r="DM449">
        <v>3</v>
      </c>
      <c r="DN449">
        <v>3</v>
      </c>
      <c r="DQ449" t="s">
        <v>1000</v>
      </c>
      <c r="DR449" t="s">
        <v>149</v>
      </c>
      <c r="DS449" s="24">
        <v>46160.384426226854</v>
      </c>
    </row>
    <row r="450" spans="1:123" x14ac:dyDescent="0.3">
      <c r="A450" t="s">
        <v>700</v>
      </c>
      <c r="D450" t="s">
        <v>225</v>
      </c>
      <c r="E450" s="24">
        <v>45832.443773148145</v>
      </c>
      <c r="G450" t="s">
        <v>90</v>
      </c>
      <c r="H450" t="s">
        <v>155</v>
      </c>
      <c r="I450" s="24"/>
      <c r="J450" s="24"/>
      <c r="K450" s="24"/>
      <c r="L450" s="24"/>
      <c r="N450" s="24"/>
      <c r="O450" s="24"/>
      <c r="P450" s="24"/>
      <c r="Q450" s="24"/>
      <c r="V450" s="24"/>
      <c r="W450" s="24"/>
      <c r="X450" s="24"/>
      <c r="Y450" s="24"/>
      <c r="AA450" s="24">
        <v>45832.532051203707</v>
      </c>
      <c r="AB450" s="24">
        <v>45832.532051203707</v>
      </c>
      <c r="AC450" s="24">
        <v>45832.63974982639</v>
      </c>
      <c r="AD450" s="24">
        <v>45832.63974982639</v>
      </c>
      <c r="AE450">
        <v>1</v>
      </c>
      <c r="AF450" s="24">
        <v>45832.63974982639</v>
      </c>
      <c r="AG450" s="24">
        <v>45832.63974982639</v>
      </c>
      <c r="AH450" s="24">
        <v>45833.359524988424</v>
      </c>
      <c r="AI450" s="24">
        <v>45833.359524988424</v>
      </c>
      <c r="AJ450">
        <v>1</v>
      </c>
      <c r="AK450" s="24">
        <v>45833.359524988424</v>
      </c>
      <c r="AL450" s="24">
        <v>45833.359524988424</v>
      </c>
      <c r="AM450" s="24">
        <v>45833.40447400463</v>
      </c>
      <c r="AN450" s="24">
        <v>45833.40447400463</v>
      </c>
      <c r="AO450">
        <v>1</v>
      </c>
      <c r="AP450" s="24"/>
      <c r="AQ450" s="24"/>
      <c r="AR450" s="24">
        <v>45832.531883171294</v>
      </c>
      <c r="AS450" s="24">
        <v>45832.531883171294</v>
      </c>
      <c r="AX450" s="24"/>
      <c r="AY450" s="24"/>
      <c r="AZ450" s="24"/>
      <c r="BA450" s="24"/>
      <c r="BC450" s="24">
        <v>45833.404566631943</v>
      </c>
      <c r="BD450" s="24">
        <v>45833.404566631943</v>
      </c>
      <c r="BE450" s="24">
        <v>45846.411197928239</v>
      </c>
      <c r="BF450" s="24">
        <v>45846.411197928239</v>
      </c>
      <c r="BG450">
        <v>1</v>
      </c>
      <c r="BH450" s="24">
        <v>45832.531883171294</v>
      </c>
      <c r="BI450" s="24">
        <v>45832.531883171294</v>
      </c>
      <c r="BJ450" s="24">
        <v>45832.532051203707</v>
      </c>
      <c r="BK450" s="24">
        <v>45832.532051203707</v>
      </c>
      <c r="BL450">
        <v>1</v>
      </c>
      <c r="BM450" s="24"/>
      <c r="BN450" s="24"/>
      <c r="BO450" s="24"/>
      <c r="BP450" s="24"/>
      <c r="BR450" s="24">
        <v>45833.40447400463</v>
      </c>
      <c r="BS450" s="24">
        <v>45833.40447400463</v>
      </c>
      <c r="BT450" s="24">
        <v>45833.404566631943</v>
      </c>
      <c r="BU450" s="24">
        <v>45833.404566631943</v>
      </c>
      <c r="BV450">
        <v>1</v>
      </c>
      <c r="BW450" s="24"/>
      <c r="BX450" s="24"/>
      <c r="BY450" s="24"/>
      <c r="BZ450" s="24"/>
      <c r="CB450" s="24"/>
      <c r="CC450" s="24"/>
      <c r="CE450" s="24">
        <v>45846.411197928239</v>
      </c>
      <c r="CF450" s="24">
        <v>45846.411197928239</v>
      </c>
      <c r="CG450">
        <v>1</v>
      </c>
      <c r="CH450" s="24"/>
      <c r="CI450" s="24"/>
      <c r="CJ450" s="24"/>
      <c r="CK450" s="24"/>
      <c r="DE450" s="24"/>
      <c r="DF450" s="24"/>
      <c r="DG450" s="24"/>
      <c r="DH450" s="24"/>
      <c r="DJ450" t="s">
        <v>149</v>
      </c>
      <c r="DK450" t="s">
        <v>149</v>
      </c>
      <c r="DM450">
        <v>14</v>
      </c>
      <c r="DN450">
        <v>14</v>
      </c>
      <c r="DQ450" t="s">
        <v>1000</v>
      </c>
      <c r="DR450" t="s">
        <v>149</v>
      </c>
      <c r="DS450" s="24">
        <v>46160.384426226854</v>
      </c>
    </row>
    <row r="451" spans="1:123" x14ac:dyDescent="0.3">
      <c r="A451" t="s">
        <v>701</v>
      </c>
      <c r="D451" t="s">
        <v>225</v>
      </c>
      <c r="E451" s="24">
        <v>45832.380011574074</v>
      </c>
      <c r="G451" t="s">
        <v>90</v>
      </c>
      <c r="H451" t="s">
        <v>155</v>
      </c>
      <c r="I451" s="24"/>
      <c r="J451" s="24"/>
      <c r="K451" s="24"/>
      <c r="L451" s="24"/>
      <c r="N451" s="24"/>
      <c r="O451" s="24"/>
      <c r="P451" s="24"/>
      <c r="Q451" s="24"/>
      <c r="V451" s="24"/>
      <c r="W451" s="24"/>
      <c r="X451" s="24"/>
      <c r="Y451" s="24"/>
      <c r="AA451" s="24">
        <v>45841.559574270832</v>
      </c>
      <c r="AB451" s="24">
        <v>45841.559574270832</v>
      </c>
      <c r="AC451" s="24">
        <v>45842.593211261577</v>
      </c>
      <c r="AD451" s="24">
        <v>45842.593211261577</v>
      </c>
      <c r="AE451">
        <v>1</v>
      </c>
      <c r="AF451" s="24">
        <v>45842.593211261577</v>
      </c>
      <c r="AG451" s="24">
        <v>45842.593211261577</v>
      </c>
      <c r="AH451" s="24">
        <v>45845.409938969904</v>
      </c>
      <c r="AI451" s="24">
        <v>45845.409938969904</v>
      </c>
      <c r="AJ451">
        <v>1</v>
      </c>
      <c r="AK451" s="24">
        <v>45845.409938969904</v>
      </c>
      <c r="AL451" s="24">
        <v>45845.409938969904</v>
      </c>
      <c r="AM451" s="24">
        <v>45845.59516203704</v>
      </c>
      <c r="AN451" s="24">
        <v>45845.59516203704</v>
      </c>
      <c r="AO451">
        <v>1</v>
      </c>
      <c r="AP451" s="24"/>
      <c r="AQ451" s="24"/>
      <c r="AR451" s="24">
        <v>45832.464579108797</v>
      </c>
      <c r="AS451" s="24">
        <v>45832.464579108797</v>
      </c>
      <c r="AX451" s="24"/>
      <c r="AY451" s="24"/>
      <c r="AZ451" s="24"/>
      <c r="BA451" s="24"/>
      <c r="BC451" s="24">
        <v>45845.595221585645</v>
      </c>
      <c r="BD451" s="24">
        <v>45845.595221585645</v>
      </c>
      <c r="BE451" s="24">
        <v>45846.411199826391</v>
      </c>
      <c r="BF451" s="24">
        <v>45846.411199826391</v>
      </c>
      <c r="BG451">
        <v>1</v>
      </c>
      <c r="BH451" s="24">
        <v>45832.464579108797</v>
      </c>
      <c r="BI451" s="24">
        <v>45832.464579108797</v>
      </c>
      <c r="BJ451" s="24">
        <v>45841.559574270832</v>
      </c>
      <c r="BK451" s="24">
        <v>45841.559574270832</v>
      </c>
      <c r="BL451">
        <v>1</v>
      </c>
      <c r="BM451" s="24"/>
      <c r="BN451" s="24"/>
      <c r="BO451" s="24"/>
      <c r="BP451" s="24"/>
      <c r="BR451" s="24">
        <v>45845.59516203704</v>
      </c>
      <c r="BS451" s="24">
        <v>45845.59516203704</v>
      </c>
      <c r="BT451" s="24">
        <v>45845.595221585645</v>
      </c>
      <c r="BU451" s="24">
        <v>45845.595221585645</v>
      </c>
      <c r="BV451">
        <v>1</v>
      </c>
      <c r="BW451" s="24"/>
      <c r="BX451" s="24"/>
      <c r="BY451" s="24"/>
      <c r="BZ451" s="24"/>
      <c r="CB451" s="24"/>
      <c r="CC451" s="24"/>
      <c r="CE451" s="24">
        <v>45846.411199826391</v>
      </c>
      <c r="CF451" s="24">
        <v>45846.411199826391</v>
      </c>
      <c r="CG451">
        <v>1</v>
      </c>
      <c r="CH451" s="24"/>
      <c r="CI451" s="24"/>
      <c r="CJ451" s="24"/>
      <c r="CK451" s="24"/>
      <c r="DE451" s="24"/>
      <c r="DF451" s="24"/>
      <c r="DG451" s="24"/>
      <c r="DH451" s="24"/>
      <c r="DJ451" t="s">
        <v>149</v>
      </c>
      <c r="DK451" t="s">
        <v>149</v>
      </c>
      <c r="DM451">
        <v>14</v>
      </c>
      <c r="DN451">
        <v>5</v>
      </c>
      <c r="DQ451" t="s">
        <v>1000</v>
      </c>
      <c r="DR451" t="s">
        <v>149</v>
      </c>
      <c r="DS451" s="24">
        <v>46160.384426226854</v>
      </c>
    </row>
    <row r="452" spans="1:123" x14ac:dyDescent="0.3">
      <c r="A452" t="s">
        <v>702</v>
      </c>
      <c r="D452" t="s">
        <v>223</v>
      </c>
      <c r="E452" s="24">
        <v>45832.352916666663</v>
      </c>
      <c r="G452" t="s">
        <v>90</v>
      </c>
      <c r="H452" t="s">
        <v>155</v>
      </c>
      <c r="I452" s="24"/>
      <c r="J452" s="24"/>
      <c r="K452" s="24"/>
      <c r="L452" s="24"/>
      <c r="N452" s="24">
        <v>45838.391861261574</v>
      </c>
      <c r="O452" s="24">
        <v>45838.391861261574</v>
      </c>
      <c r="P452" s="24">
        <v>45842.361331030093</v>
      </c>
      <c r="Q452" s="24">
        <v>45842.361331030093</v>
      </c>
      <c r="R452">
        <v>1</v>
      </c>
      <c r="V452" s="24"/>
      <c r="W452" s="24"/>
      <c r="X452" s="24"/>
      <c r="Y452" s="24"/>
      <c r="AA452" s="24">
        <v>45842.361331030093</v>
      </c>
      <c r="AB452" s="24">
        <v>45833.437935821756</v>
      </c>
      <c r="AC452" s="24">
        <v>45838.391861261574</v>
      </c>
      <c r="AD452" s="24">
        <v>45842.361689432873</v>
      </c>
      <c r="AE452">
        <v>2</v>
      </c>
      <c r="AF452" s="24"/>
      <c r="AG452" s="24"/>
      <c r="AH452" s="24"/>
      <c r="AI452" s="24"/>
      <c r="AK452" s="24"/>
      <c r="AL452" s="24"/>
      <c r="AM452" s="24"/>
      <c r="AN452" s="24"/>
      <c r="AP452" s="24"/>
      <c r="AQ452" s="24"/>
      <c r="AR452" s="24">
        <v>45832.361485706017</v>
      </c>
      <c r="AS452" s="24">
        <v>45832.361485706017</v>
      </c>
      <c r="AX452" s="24"/>
      <c r="AY452" s="24"/>
      <c r="AZ452" s="24"/>
      <c r="BA452" s="24"/>
      <c r="BC452" s="24"/>
      <c r="BD452" s="24"/>
      <c r="BE452" s="24"/>
      <c r="BF452" s="24"/>
      <c r="BH452" s="24">
        <v>45832.361485706017</v>
      </c>
      <c r="BI452" s="24">
        <v>45832.361485706017</v>
      </c>
      <c r="BJ452" s="24">
        <v>45833.437935821756</v>
      </c>
      <c r="BK452" s="24">
        <v>45833.437935821756</v>
      </c>
      <c r="BL452">
        <v>1</v>
      </c>
      <c r="BM452" s="24"/>
      <c r="BN452" s="24"/>
      <c r="BO452" s="24"/>
      <c r="BP452" s="24"/>
      <c r="BR452" s="24">
        <v>45842.361689432873</v>
      </c>
      <c r="BS452" s="24">
        <v>45842.361689432873</v>
      </c>
      <c r="BT452" s="24">
        <v>45842.404997997684</v>
      </c>
      <c r="BU452" s="24">
        <v>45842.404997997684</v>
      </c>
      <c r="BV452">
        <v>1</v>
      </c>
      <c r="BW452" s="24"/>
      <c r="BX452" s="24"/>
      <c r="BY452" s="24"/>
      <c r="BZ452" s="24"/>
      <c r="CB452" s="24"/>
      <c r="CC452" s="24"/>
      <c r="CE452" s="24">
        <v>45842.404997997684</v>
      </c>
      <c r="CF452" s="24">
        <v>45842.404997997684</v>
      </c>
      <c r="CG452">
        <v>1</v>
      </c>
      <c r="CH452" s="24"/>
      <c r="CI452" s="24"/>
      <c r="CJ452" s="24"/>
      <c r="CK452" s="24"/>
      <c r="DE452" s="24"/>
      <c r="DF452" s="24"/>
      <c r="DG452" s="24"/>
      <c r="DH452" s="24"/>
      <c r="DJ452" t="s">
        <v>149</v>
      </c>
      <c r="DK452" t="s">
        <v>149</v>
      </c>
      <c r="DL452">
        <v>3.969469675925926</v>
      </c>
      <c r="DM452">
        <v>11</v>
      </c>
      <c r="DN452">
        <v>9</v>
      </c>
      <c r="DQ452" t="s">
        <v>1000</v>
      </c>
      <c r="DR452" t="s">
        <v>149</v>
      </c>
      <c r="DS452" s="24">
        <v>46160.384426226854</v>
      </c>
    </row>
    <row r="453" spans="1:123" x14ac:dyDescent="0.3">
      <c r="A453" t="s">
        <v>703</v>
      </c>
      <c r="D453" t="s">
        <v>225</v>
      </c>
      <c r="E453" s="24">
        <v>45831.499386574076</v>
      </c>
      <c r="G453" t="s">
        <v>90</v>
      </c>
      <c r="H453" t="s">
        <v>155</v>
      </c>
      <c r="I453" s="24"/>
      <c r="J453" s="24"/>
      <c r="K453" s="24"/>
      <c r="L453" s="24"/>
      <c r="N453" s="24"/>
      <c r="O453" s="24"/>
      <c r="P453" s="24"/>
      <c r="Q453" s="24"/>
      <c r="V453" s="24"/>
      <c r="W453" s="24"/>
      <c r="X453" s="24"/>
      <c r="Y453" s="24"/>
      <c r="AA453" s="24">
        <v>45832.641598541668</v>
      </c>
      <c r="AB453" s="24">
        <v>45832.641598541668</v>
      </c>
      <c r="AC453" s="24">
        <v>45842.427242453705</v>
      </c>
      <c r="AD453" s="24">
        <v>45842.427242453705</v>
      </c>
      <c r="AE453">
        <v>1</v>
      </c>
      <c r="AF453" s="24"/>
      <c r="AG453" s="24"/>
      <c r="AH453" s="24"/>
      <c r="AI453" s="24"/>
      <c r="AK453" s="24"/>
      <c r="AL453" s="24"/>
      <c r="AM453" s="24"/>
      <c r="AN453" s="24"/>
      <c r="AP453" s="24"/>
      <c r="AQ453" s="24"/>
      <c r="AR453" s="24">
        <v>45832.641466215275</v>
      </c>
      <c r="AS453" s="24">
        <v>45832.641466215275</v>
      </c>
      <c r="AX453" s="24"/>
      <c r="AY453" s="24"/>
      <c r="AZ453" s="24"/>
      <c r="BA453" s="24"/>
      <c r="BC453" s="24">
        <v>45842.427307962964</v>
      </c>
      <c r="BD453" s="24">
        <v>45842.427307962964</v>
      </c>
      <c r="BE453" s="24">
        <v>45846.411199884256</v>
      </c>
      <c r="BF453" s="24">
        <v>45846.411199884256</v>
      </c>
      <c r="BG453">
        <v>1</v>
      </c>
      <c r="BH453" s="24">
        <v>45832.641466215275</v>
      </c>
      <c r="BI453" s="24">
        <v>45832.641466215275</v>
      </c>
      <c r="BJ453" s="24">
        <v>45832.641598541668</v>
      </c>
      <c r="BK453" s="24">
        <v>45832.641598541668</v>
      </c>
      <c r="BL453">
        <v>1</v>
      </c>
      <c r="BM453" s="24"/>
      <c r="BN453" s="24"/>
      <c r="BO453" s="24"/>
      <c r="BP453" s="24"/>
      <c r="BR453" s="24">
        <v>45842.427242453705</v>
      </c>
      <c r="BS453" s="24">
        <v>45842.427242453705</v>
      </c>
      <c r="BT453" s="24">
        <v>45842.427307962964</v>
      </c>
      <c r="BU453" s="24">
        <v>45842.427307962964</v>
      </c>
      <c r="BV453">
        <v>1</v>
      </c>
      <c r="BW453" s="24"/>
      <c r="BX453" s="24"/>
      <c r="BY453" s="24"/>
      <c r="BZ453" s="24"/>
      <c r="CB453" s="24"/>
      <c r="CC453" s="24"/>
      <c r="CE453" s="24">
        <v>45846.411199884256</v>
      </c>
      <c r="CF453" s="24">
        <v>45846.411199884256</v>
      </c>
      <c r="CG453">
        <v>1</v>
      </c>
      <c r="CH453" s="24"/>
      <c r="CI453" s="24"/>
      <c r="CJ453" s="24"/>
      <c r="CK453" s="24"/>
      <c r="DE453" s="24"/>
      <c r="DF453" s="24"/>
      <c r="DG453" s="24"/>
      <c r="DH453" s="24"/>
      <c r="DJ453" t="s">
        <v>149</v>
      </c>
      <c r="DK453" t="s">
        <v>149</v>
      </c>
      <c r="DM453">
        <v>14</v>
      </c>
      <c r="DN453">
        <v>14</v>
      </c>
      <c r="DQ453" t="s">
        <v>1000</v>
      </c>
      <c r="DR453" t="s">
        <v>149</v>
      </c>
      <c r="DS453" s="24">
        <v>46160.384426226854</v>
      </c>
    </row>
    <row r="454" spans="1:123" x14ac:dyDescent="0.3">
      <c r="A454" t="s">
        <v>704</v>
      </c>
      <c r="D454" t="s">
        <v>225</v>
      </c>
      <c r="E454" s="24">
        <v>45831.498194444444</v>
      </c>
      <c r="G454" t="s">
        <v>90</v>
      </c>
      <c r="H454" t="s">
        <v>155</v>
      </c>
      <c r="I454" s="24"/>
      <c r="J454" s="24"/>
      <c r="K454" s="24"/>
      <c r="L454" s="24"/>
      <c r="N454" s="24"/>
      <c r="O454" s="24"/>
      <c r="P454" s="24"/>
      <c r="Q454" s="24"/>
      <c r="V454" s="24"/>
      <c r="W454" s="24"/>
      <c r="X454" s="24"/>
      <c r="Y454" s="24"/>
      <c r="AA454" s="24">
        <v>45832.739202881945</v>
      </c>
      <c r="AB454" s="24">
        <v>45832.717906817132</v>
      </c>
      <c r="AC454" s="24">
        <v>45832.739139641206</v>
      </c>
      <c r="AD454" s="24">
        <v>45834.724679050923</v>
      </c>
      <c r="AE454">
        <v>2</v>
      </c>
      <c r="AF454" s="24">
        <v>45834.724679050923</v>
      </c>
      <c r="AG454" s="24">
        <v>45832.739139641206</v>
      </c>
      <c r="AH454" s="24">
        <v>45832.739202881945</v>
      </c>
      <c r="AI454" s="24">
        <v>45834.742818333332</v>
      </c>
      <c r="AJ454">
        <v>2</v>
      </c>
      <c r="AK454" s="24">
        <v>45834.742818333332</v>
      </c>
      <c r="AL454" s="24">
        <v>45834.742818333332</v>
      </c>
      <c r="AM454" s="24">
        <v>45835.415615752318</v>
      </c>
      <c r="AN454" s="24">
        <v>45835.415615752318</v>
      </c>
      <c r="AO454">
        <v>1</v>
      </c>
      <c r="AP454" s="24"/>
      <c r="AQ454" s="24"/>
      <c r="AR454" s="24">
        <v>45832.717868518521</v>
      </c>
      <c r="AS454" s="24">
        <v>45832.717868518521</v>
      </c>
      <c r="AX454" s="24"/>
      <c r="AY454" s="24"/>
      <c r="AZ454" s="24"/>
      <c r="BA454" s="24"/>
      <c r="BC454" s="24">
        <v>45835.41574744213</v>
      </c>
      <c r="BD454" s="24">
        <v>45835.41574744213</v>
      </c>
      <c r="BE454" s="24">
        <v>45846.411200057868</v>
      </c>
      <c r="BF454" s="24">
        <v>45846.411200057868</v>
      </c>
      <c r="BG454">
        <v>1</v>
      </c>
      <c r="BH454" s="24">
        <v>45832.717868518521</v>
      </c>
      <c r="BI454" s="24">
        <v>45832.717868518521</v>
      </c>
      <c r="BJ454" s="24">
        <v>45832.717906817132</v>
      </c>
      <c r="BK454" s="24">
        <v>45832.717906817132</v>
      </c>
      <c r="BL454">
        <v>1</v>
      </c>
      <c r="BM454" s="24"/>
      <c r="BN454" s="24"/>
      <c r="BO454" s="24"/>
      <c r="BP454" s="24"/>
      <c r="BR454" s="24">
        <v>45835.415615752318</v>
      </c>
      <c r="BS454" s="24">
        <v>45835.415615752318</v>
      </c>
      <c r="BT454" s="24">
        <v>45835.41574744213</v>
      </c>
      <c r="BU454" s="24">
        <v>45835.41574744213</v>
      </c>
      <c r="BV454">
        <v>1</v>
      </c>
      <c r="BW454" s="24"/>
      <c r="BX454" s="24"/>
      <c r="BY454" s="24"/>
      <c r="BZ454" s="24"/>
      <c r="CB454" s="24"/>
      <c r="CC454" s="24"/>
      <c r="CE454" s="24">
        <v>45846.411200057868</v>
      </c>
      <c r="CF454" s="24">
        <v>45846.411200057868</v>
      </c>
      <c r="CG454">
        <v>1</v>
      </c>
      <c r="CH454" s="24"/>
      <c r="CI454" s="24"/>
      <c r="CJ454" s="24"/>
      <c r="CK454" s="24"/>
      <c r="DE454" s="24"/>
      <c r="DF454" s="24"/>
      <c r="DG454" s="24"/>
      <c r="DH454" s="24"/>
      <c r="DJ454" t="s">
        <v>149</v>
      </c>
      <c r="DK454" t="s">
        <v>149</v>
      </c>
      <c r="DM454">
        <v>14</v>
      </c>
      <c r="DN454">
        <v>14</v>
      </c>
      <c r="DQ454" t="s">
        <v>1000</v>
      </c>
      <c r="DR454" t="s">
        <v>149</v>
      </c>
      <c r="DS454" s="24">
        <v>46160.384426226854</v>
      </c>
    </row>
    <row r="455" spans="1:123" x14ac:dyDescent="0.3">
      <c r="A455" t="s">
        <v>705</v>
      </c>
      <c r="D455" t="s">
        <v>225</v>
      </c>
      <c r="E455" s="24">
        <v>45831.497314814813</v>
      </c>
      <c r="G455" t="s">
        <v>90</v>
      </c>
      <c r="H455" t="s">
        <v>155</v>
      </c>
      <c r="I455" s="24"/>
      <c r="J455" s="24"/>
      <c r="K455" s="24"/>
      <c r="L455" s="24"/>
      <c r="N455" s="24"/>
      <c r="O455" s="24"/>
      <c r="P455" s="24"/>
      <c r="Q455" s="24"/>
      <c r="V455" s="24"/>
      <c r="W455" s="24"/>
      <c r="X455" s="24"/>
      <c r="Y455" s="24"/>
      <c r="AA455" s="24">
        <v>45834.472584629628</v>
      </c>
      <c r="AB455" s="24">
        <v>45834.472584629628</v>
      </c>
      <c r="AC455" s="24">
        <v>45834.722338993059</v>
      </c>
      <c r="AD455" s="24">
        <v>45834.722338993059</v>
      </c>
      <c r="AE455">
        <v>1</v>
      </c>
      <c r="AF455" s="24">
        <v>45834.722338993059</v>
      </c>
      <c r="AG455" s="24">
        <v>45834.722338993059</v>
      </c>
      <c r="AH455" s="24">
        <v>45834.733223587966</v>
      </c>
      <c r="AI455" s="24">
        <v>45834.733223587966</v>
      </c>
      <c r="AJ455">
        <v>1</v>
      </c>
      <c r="AK455" s="24">
        <v>45834.733223587966</v>
      </c>
      <c r="AL455" s="24">
        <v>45834.733223587966</v>
      </c>
      <c r="AM455" s="24">
        <v>45835.41579994213</v>
      </c>
      <c r="AN455" s="24">
        <v>45835.41579994213</v>
      </c>
      <c r="AO455">
        <v>1</v>
      </c>
      <c r="AP455" s="24"/>
      <c r="AQ455" s="24"/>
      <c r="AR455" s="24">
        <v>45833.404539097224</v>
      </c>
      <c r="AS455" s="24">
        <v>45833.404539097224</v>
      </c>
      <c r="AX455" s="24"/>
      <c r="AY455" s="24"/>
      <c r="AZ455" s="24"/>
      <c r="BA455" s="24"/>
      <c r="BC455" s="24">
        <v>45835.415971631941</v>
      </c>
      <c r="BD455" s="24">
        <v>45835.415971631941</v>
      </c>
      <c r="BE455" s="24">
        <v>45846.411200162038</v>
      </c>
      <c r="BF455" s="24">
        <v>45846.411200162038</v>
      </c>
      <c r="BG455">
        <v>1</v>
      </c>
      <c r="BH455" s="24">
        <v>45833.404539097224</v>
      </c>
      <c r="BI455" s="24">
        <v>45833.404539097224</v>
      </c>
      <c r="BJ455" s="24">
        <v>45834.472584629628</v>
      </c>
      <c r="BK455" s="24">
        <v>45834.472584629628</v>
      </c>
      <c r="BL455">
        <v>1</v>
      </c>
      <c r="BM455" s="24"/>
      <c r="BN455" s="24"/>
      <c r="BO455" s="24"/>
      <c r="BP455" s="24"/>
      <c r="BR455" s="24">
        <v>45835.41579994213</v>
      </c>
      <c r="BS455" s="24">
        <v>45835.41579994213</v>
      </c>
      <c r="BT455" s="24">
        <v>45835.415971631941</v>
      </c>
      <c r="BU455" s="24">
        <v>45835.415971631941</v>
      </c>
      <c r="BV455">
        <v>1</v>
      </c>
      <c r="BW455" s="24"/>
      <c r="BX455" s="24"/>
      <c r="BY455" s="24"/>
      <c r="BZ455" s="24"/>
      <c r="CB455" s="24"/>
      <c r="CC455" s="24"/>
      <c r="CE455" s="24">
        <v>45846.411200162038</v>
      </c>
      <c r="CF455" s="24">
        <v>45846.411200162038</v>
      </c>
      <c r="CG455">
        <v>1</v>
      </c>
      <c r="CH455" s="24"/>
      <c r="CI455" s="24"/>
      <c r="CJ455" s="24"/>
      <c r="CK455" s="24"/>
      <c r="DE455" s="24"/>
      <c r="DF455" s="24"/>
      <c r="DG455" s="24"/>
      <c r="DH455" s="24"/>
      <c r="DJ455" t="s">
        <v>149</v>
      </c>
      <c r="DK455" t="s">
        <v>149</v>
      </c>
      <c r="DM455">
        <v>14</v>
      </c>
      <c r="DN455">
        <v>12</v>
      </c>
      <c r="DQ455" t="s">
        <v>1000</v>
      </c>
      <c r="DR455" t="s">
        <v>149</v>
      </c>
      <c r="DS455" s="24">
        <v>46160.384426226854</v>
      </c>
    </row>
    <row r="456" spans="1:123" x14ac:dyDescent="0.3">
      <c r="A456" t="s">
        <v>706</v>
      </c>
      <c r="D456" t="s">
        <v>223</v>
      </c>
      <c r="E456" s="24">
        <v>45831.441712962966</v>
      </c>
      <c r="G456" t="s">
        <v>90</v>
      </c>
      <c r="H456" t="s">
        <v>155</v>
      </c>
      <c r="I456" s="24"/>
      <c r="J456" s="24"/>
      <c r="K456" s="24"/>
      <c r="L456" s="24"/>
      <c r="N456" s="24">
        <v>45835.369860729166</v>
      </c>
      <c r="O456" s="24">
        <v>45835.369860729166</v>
      </c>
      <c r="P456" s="24">
        <v>45838.687061712961</v>
      </c>
      <c r="Q456" s="24">
        <v>45838.687061712961</v>
      </c>
      <c r="R456">
        <v>1</v>
      </c>
      <c r="V456" s="24"/>
      <c r="W456" s="24"/>
      <c r="X456" s="24"/>
      <c r="Y456" s="24"/>
      <c r="AA456" s="24">
        <v>45838.687061712961</v>
      </c>
      <c r="AB456" s="24">
        <v>45834.416444571762</v>
      </c>
      <c r="AC456" s="24">
        <v>45835.369860729166</v>
      </c>
      <c r="AD456" s="24">
        <v>45838.687171064812</v>
      </c>
      <c r="AE456">
        <v>2</v>
      </c>
      <c r="AF456" s="24">
        <v>45838.687171064812</v>
      </c>
      <c r="AG456" s="24">
        <v>45838.687171064812</v>
      </c>
      <c r="AH456" s="24">
        <v>45838.687221354165</v>
      </c>
      <c r="AI456" s="24">
        <v>45838.687221354165</v>
      </c>
      <c r="AJ456">
        <v>1</v>
      </c>
      <c r="AK456" s="24"/>
      <c r="AL456" s="24"/>
      <c r="AM456" s="24"/>
      <c r="AN456" s="24"/>
      <c r="AP456" s="24"/>
      <c r="AQ456" s="24"/>
      <c r="AR456" s="24">
        <v>45833.402520868054</v>
      </c>
      <c r="AS456" s="24">
        <v>45833.402520868054</v>
      </c>
      <c r="AX456" s="24"/>
      <c r="AY456" s="24"/>
      <c r="AZ456" s="24"/>
      <c r="BA456" s="24"/>
      <c r="BC456" s="24"/>
      <c r="BD456" s="24"/>
      <c r="BE456" s="24"/>
      <c r="BF456" s="24"/>
      <c r="BH456" s="24">
        <v>45833.402520868054</v>
      </c>
      <c r="BI456" s="24">
        <v>45833.402520868054</v>
      </c>
      <c r="BJ456" s="24">
        <v>45834.416444571762</v>
      </c>
      <c r="BK456" s="24">
        <v>45834.416444571762</v>
      </c>
      <c r="BL456">
        <v>1</v>
      </c>
      <c r="BM456" s="24"/>
      <c r="BN456" s="24"/>
      <c r="BO456" s="24"/>
      <c r="BP456" s="24"/>
      <c r="BR456" s="24"/>
      <c r="BS456" s="24"/>
      <c r="BT456" s="24"/>
      <c r="BU456" s="24"/>
      <c r="BW456" s="24"/>
      <c r="BX456" s="24"/>
      <c r="BY456" s="24"/>
      <c r="BZ456" s="24"/>
      <c r="CB456" s="24"/>
      <c r="CC456" s="24"/>
      <c r="CE456" s="24">
        <v>45838.687221354165</v>
      </c>
      <c r="CF456" s="24">
        <v>45838.687221354165</v>
      </c>
      <c r="CG456">
        <v>1</v>
      </c>
      <c r="CH456" s="24"/>
      <c r="CI456" s="24"/>
      <c r="CJ456" s="24"/>
      <c r="CK456" s="24"/>
      <c r="DE456" s="24"/>
      <c r="DF456" s="24"/>
      <c r="DG456" s="24"/>
      <c r="DH456" s="24"/>
      <c r="DJ456" t="s">
        <v>149</v>
      </c>
      <c r="DK456" t="s">
        <v>149</v>
      </c>
      <c r="DL456">
        <v>3.3172009259259259</v>
      </c>
      <c r="DM456">
        <v>6</v>
      </c>
      <c r="DN456">
        <v>5</v>
      </c>
      <c r="DQ456" t="s">
        <v>1000</v>
      </c>
      <c r="DR456" t="s">
        <v>149</v>
      </c>
      <c r="DS456" s="24">
        <v>46160.384426226854</v>
      </c>
    </row>
    <row r="457" spans="1:123" x14ac:dyDescent="0.3">
      <c r="A457" t="s">
        <v>707</v>
      </c>
      <c r="D457" t="s">
        <v>224</v>
      </c>
      <c r="E457" s="24">
        <v>45831.43608796296</v>
      </c>
      <c r="G457" t="s">
        <v>150</v>
      </c>
      <c r="H457" t="s">
        <v>155</v>
      </c>
      <c r="I457" s="24"/>
      <c r="J457" s="24"/>
      <c r="K457" s="24"/>
      <c r="L457" s="24"/>
      <c r="N457" s="24"/>
      <c r="O457" s="24"/>
      <c r="P457" s="24"/>
      <c r="Q457" s="24"/>
      <c r="V457" s="24"/>
      <c r="W457" s="24"/>
      <c r="X457" s="24"/>
      <c r="Y457" s="24"/>
      <c r="AA457" s="24">
        <v>45840.303231493053</v>
      </c>
      <c r="AB457" s="24">
        <v>45840.303231493053</v>
      </c>
      <c r="AC457" s="24">
        <v>45841.395395208332</v>
      </c>
      <c r="AD457" s="24">
        <v>45841.395395208332</v>
      </c>
      <c r="AE457">
        <v>1</v>
      </c>
      <c r="AF457" s="24"/>
      <c r="AG457" s="24"/>
      <c r="AH457" s="24"/>
      <c r="AI457" s="24"/>
      <c r="AK457" s="24"/>
      <c r="AL457" s="24"/>
      <c r="AM457" s="24"/>
      <c r="AN457" s="24"/>
      <c r="AP457" s="24"/>
      <c r="AQ457" s="24"/>
      <c r="AR457" s="24">
        <v>45833.404081678244</v>
      </c>
      <c r="AS457" s="24">
        <v>45833.404081678244</v>
      </c>
      <c r="AX457" s="24"/>
      <c r="AY457" s="24"/>
      <c r="AZ457" s="24"/>
      <c r="BA457" s="24"/>
      <c r="BC457" s="24"/>
      <c r="BD457" s="24"/>
      <c r="BE457" s="24"/>
      <c r="BF457" s="24"/>
      <c r="BH457" s="24">
        <v>45833.404081678244</v>
      </c>
      <c r="BI457" s="24">
        <v>45833.404081678244</v>
      </c>
      <c r="BJ457" s="24">
        <v>45840.303231493053</v>
      </c>
      <c r="BK457" s="24">
        <v>45840.303231493053</v>
      </c>
      <c r="BL457">
        <v>1</v>
      </c>
      <c r="BM457" s="24"/>
      <c r="BN457" s="24"/>
      <c r="BO457" s="24"/>
      <c r="BP457" s="24"/>
      <c r="BR457" s="24"/>
      <c r="BS457" s="24"/>
      <c r="BT457" s="24"/>
      <c r="BU457" s="24"/>
      <c r="BW457" s="24"/>
      <c r="BX457" s="24"/>
      <c r="BY457" s="24"/>
      <c r="BZ457" s="24"/>
      <c r="CB457" s="24">
        <v>45841.395395208332</v>
      </c>
      <c r="CC457" s="24">
        <v>45841.395395208332</v>
      </c>
      <c r="CD457">
        <v>1</v>
      </c>
      <c r="CE457" s="24"/>
      <c r="CF457" s="24"/>
      <c r="CH457" s="24"/>
      <c r="CI457" s="24"/>
      <c r="CJ457" s="24"/>
      <c r="CK457" s="24"/>
      <c r="DE457" s="24"/>
      <c r="DF457" s="24"/>
      <c r="DG457" s="24"/>
      <c r="DH457" s="24"/>
      <c r="DJ457" t="s">
        <v>149</v>
      </c>
      <c r="DK457" t="s">
        <v>149</v>
      </c>
      <c r="DQ457" t="s">
        <v>1000</v>
      </c>
      <c r="DR457" t="s">
        <v>149</v>
      </c>
      <c r="DS457" s="24">
        <v>46160.384426226854</v>
      </c>
    </row>
    <row r="458" spans="1:123" x14ac:dyDescent="0.3">
      <c r="A458" t="s">
        <v>708</v>
      </c>
      <c r="D458" t="s">
        <v>223</v>
      </c>
      <c r="E458" s="24">
        <v>45831.383842592593</v>
      </c>
      <c r="G458" t="s">
        <v>103</v>
      </c>
      <c r="H458" t="s">
        <v>154</v>
      </c>
      <c r="I458" s="24">
        <v>45960.442814837967</v>
      </c>
      <c r="J458" s="24">
        <v>45960.442814837967</v>
      </c>
      <c r="K458" s="24"/>
      <c r="L458" s="24"/>
      <c r="M458">
        <v>1</v>
      </c>
      <c r="N458" s="24">
        <v>45859.404051562502</v>
      </c>
      <c r="O458" s="24">
        <v>45859.404051562502</v>
      </c>
      <c r="P458" s="24">
        <v>45960.442814837967</v>
      </c>
      <c r="Q458" s="24">
        <v>45960.442814837967</v>
      </c>
      <c r="R458">
        <v>1</v>
      </c>
      <c r="V458" s="24"/>
      <c r="W458" s="24"/>
      <c r="X458" s="24"/>
      <c r="Y458" s="24"/>
      <c r="AA458" s="24">
        <v>45845.394712361114</v>
      </c>
      <c r="AB458" s="24">
        <v>45845.394712361114</v>
      </c>
      <c r="AC458" s="24">
        <v>45859.404051562502</v>
      </c>
      <c r="AD458" s="24">
        <v>45859.404051562502</v>
      </c>
      <c r="AE458">
        <v>1</v>
      </c>
      <c r="AF458" s="24"/>
      <c r="AG458" s="24"/>
      <c r="AH458" s="24"/>
      <c r="AI458" s="24"/>
      <c r="AK458" s="24"/>
      <c r="AL458" s="24"/>
      <c r="AM458" s="24"/>
      <c r="AN458" s="24"/>
      <c r="AP458" s="24"/>
      <c r="AQ458" s="24"/>
      <c r="AR458" s="24">
        <v>45831.391828182874</v>
      </c>
      <c r="AS458" s="24">
        <v>45831.391828182874</v>
      </c>
      <c r="AX458" s="24"/>
      <c r="AY458" s="24"/>
      <c r="AZ458" s="24"/>
      <c r="BA458" s="24"/>
      <c r="BC458" s="24"/>
      <c r="BD458" s="24"/>
      <c r="BE458" s="24"/>
      <c r="BF458" s="24"/>
      <c r="BH458" s="24">
        <v>45831.391828182874</v>
      </c>
      <c r="BI458" s="24">
        <v>45831.391828182874</v>
      </c>
      <c r="BJ458" s="24">
        <v>45845.394712361114</v>
      </c>
      <c r="BK458" s="24">
        <v>45845.394712361114</v>
      </c>
      <c r="BL458">
        <v>1</v>
      </c>
      <c r="BM458" s="24"/>
      <c r="BN458" s="24"/>
      <c r="BO458" s="24"/>
      <c r="BP458" s="24"/>
      <c r="BR458" s="24"/>
      <c r="BS458" s="24"/>
      <c r="BT458" s="24"/>
      <c r="BU458" s="24"/>
      <c r="BW458" s="24"/>
      <c r="BX458" s="24"/>
      <c r="BY458" s="24"/>
      <c r="BZ458" s="24"/>
      <c r="CB458" s="24"/>
      <c r="CC458" s="24"/>
      <c r="CE458" s="24"/>
      <c r="CF458" s="24"/>
      <c r="CH458" s="24"/>
      <c r="CI458" s="24"/>
      <c r="CJ458" s="24"/>
      <c r="CK458" s="24"/>
      <c r="DE458" s="24"/>
      <c r="DF458" s="24"/>
      <c r="DG458" s="24"/>
      <c r="DH458" s="24"/>
      <c r="DJ458" t="s">
        <v>149</v>
      </c>
      <c r="DK458" t="s">
        <v>149</v>
      </c>
      <c r="DO458">
        <v>315</v>
      </c>
      <c r="DP458">
        <v>200</v>
      </c>
      <c r="DQ458" t="s">
        <v>1000</v>
      </c>
      <c r="DR458" t="s">
        <v>149</v>
      </c>
      <c r="DS458" s="24">
        <v>46160.384426226854</v>
      </c>
    </row>
    <row r="459" spans="1:123" x14ac:dyDescent="0.3">
      <c r="A459" t="s">
        <v>709</v>
      </c>
      <c r="D459" t="s">
        <v>223</v>
      </c>
      <c r="E459" s="24">
        <v>45831.383576388886</v>
      </c>
      <c r="G459" t="s">
        <v>90</v>
      </c>
      <c r="H459" t="s">
        <v>155</v>
      </c>
      <c r="I459" s="24"/>
      <c r="J459" s="24"/>
      <c r="K459" s="24"/>
      <c r="L459" s="24"/>
      <c r="N459" s="24"/>
      <c r="O459" s="24"/>
      <c r="P459" s="24"/>
      <c r="Q459" s="24"/>
      <c r="V459" s="24"/>
      <c r="W459" s="24"/>
      <c r="X459" s="24"/>
      <c r="Y459" s="24"/>
      <c r="AA459" s="24">
        <v>45833.644879490741</v>
      </c>
      <c r="AB459" s="24">
        <v>45833.644879490741</v>
      </c>
      <c r="AC459" s="24">
        <v>45845.662329560182</v>
      </c>
      <c r="AD459" s="24">
        <v>45845.662329560182</v>
      </c>
      <c r="AE459">
        <v>1</v>
      </c>
      <c r="AF459" s="24"/>
      <c r="AG459" s="24"/>
      <c r="AH459" s="24"/>
      <c r="AI459" s="24"/>
      <c r="AK459" s="24"/>
      <c r="AL459" s="24"/>
      <c r="AM459" s="24"/>
      <c r="AN459" s="24"/>
      <c r="AP459" s="24"/>
      <c r="AQ459" s="24"/>
      <c r="AR459" s="24">
        <v>45833.391206365741</v>
      </c>
      <c r="AS459" s="24">
        <v>45833.391206365741</v>
      </c>
      <c r="AX459" s="24"/>
      <c r="AY459" s="24"/>
      <c r="AZ459" s="24"/>
      <c r="BA459" s="24"/>
      <c r="BC459" s="24"/>
      <c r="BD459" s="24"/>
      <c r="BE459" s="24"/>
      <c r="BF459" s="24"/>
      <c r="BH459" s="24">
        <v>45833.391206365741</v>
      </c>
      <c r="BI459" s="24">
        <v>45833.391206365741</v>
      </c>
      <c r="BJ459" s="24">
        <v>45833.644879490741</v>
      </c>
      <c r="BK459" s="24">
        <v>45833.644879490741</v>
      </c>
      <c r="BL459">
        <v>1</v>
      </c>
      <c r="BM459" s="24"/>
      <c r="BN459" s="24"/>
      <c r="BO459" s="24"/>
      <c r="BP459" s="24"/>
      <c r="BR459" s="24">
        <v>45845.662329560182</v>
      </c>
      <c r="BS459" s="24">
        <v>45845.662329560182</v>
      </c>
      <c r="BT459" s="24">
        <v>45845.662549166664</v>
      </c>
      <c r="BU459" s="24">
        <v>45845.662549166664</v>
      </c>
      <c r="BV459">
        <v>1</v>
      </c>
      <c r="BW459" s="24"/>
      <c r="BX459" s="24"/>
      <c r="BY459" s="24"/>
      <c r="BZ459" s="24"/>
      <c r="CB459" s="24"/>
      <c r="CC459" s="24"/>
      <c r="CE459" s="24">
        <v>45845.662549166664</v>
      </c>
      <c r="CF459" s="24">
        <v>45845.662549166664</v>
      </c>
      <c r="CG459">
        <v>1</v>
      </c>
      <c r="CH459" s="24"/>
      <c r="CI459" s="24"/>
      <c r="CJ459" s="24"/>
      <c r="CK459" s="24"/>
      <c r="DE459" s="24"/>
      <c r="DF459" s="24"/>
      <c r="DG459" s="24"/>
      <c r="DH459" s="24"/>
      <c r="DJ459" t="s">
        <v>149</v>
      </c>
      <c r="DK459" t="s">
        <v>149</v>
      </c>
      <c r="DM459">
        <v>13</v>
      </c>
      <c r="DN459">
        <v>13</v>
      </c>
      <c r="DQ459" t="s">
        <v>1000</v>
      </c>
      <c r="DR459" t="s">
        <v>149</v>
      </c>
      <c r="DS459" s="24">
        <v>46160.384426226854</v>
      </c>
    </row>
    <row r="460" spans="1:123" x14ac:dyDescent="0.3">
      <c r="A460" t="s">
        <v>710</v>
      </c>
      <c r="D460" t="s">
        <v>225</v>
      </c>
      <c r="E460" s="24">
        <v>45825.36818287037</v>
      </c>
      <c r="G460" t="s">
        <v>90</v>
      </c>
      <c r="H460" t="s">
        <v>155</v>
      </c>
      <c r="I460" s="24"/>
      <c r="J460" s="24"/>
      <c r="K460" s="24"/>
      <c r="L460" s="24"/>
      <c r="N460" s="24">
        <v>45826.689181064816</v>
      </c>
      <c r="O460" s="24">
        <v>45826.689181064816</v>
      </c>
      <c r="P460" s="24">
        <v>45827.385074560189</v>
      </c>
      <c r="Q460" s="24">
        <v>45827.385074560189</v>
      </c>
      <c r="R460">
        <v>1</v>
      </c>
      <c r="V460" s="24"/>
      <c r="W460" s="24"/>
      <c r="X460" s="24"/>
      <c r="Y460" s="24"/>
      <c r="AA460" s="24">
        <v>45827.385074560189</v>
      </c>
      <c r="AB460" s="24">
        <v>45826.623910879629</v>
      </c>
      <c r="AC460" s="24">
        <v>45826.689181064816</v>
      </c>
      <c r="AD460" s="24">
        <v>45827.419672962962</v>
      </c>
      <c r="AE460">
        <v>2</v>
      </c>
      <c r="AF460" s="24">
        <v>45827.419672962962</v>
      </c>
      <c r="AG460" s="24">
        <v>45827.419672962962</v>
      </c>
      <c r="AH460" s="24">
        <v>45828.428793425926</v>
      </c>
      <c r="AI460" s="24">
        <v>45828.428793425926</v>
      </c>
      <c r="AJ460">
        <v>1</v>
      </c>
      <c r="AK460" s="24">
        <v>45828.428793425926</v>
      </c>
      <c r="AL460" s="24">
        <v>45828.428793425926</v>
      </c>
      <c r="AM460" s="24">
        <v>45831.407265254631</v>
      </c>
      <c r="AN460" s="24">
        <v>45831.407265254631</v>
      </c>
      <c r="AO460">
        <v>1</v>
      </c>
      <c r="AP460" s="24"/>
      <c r="AQ460" s="24"/>
      <c r="AR460" s="24">
        <v>45825.369876493052</v>
      </c>
      <c r="AS460" s="24">
        <v>45825.369876493052</v>
      </c>
      <c r="AX460" s="24"/>
      <c r="AY460" s="24"/>
      <c r="AZ460" s="24"/>
      <c r="BA460" s="24"/>
      <c r="BC460" s="24">
        <v>45831.407344432868</v>
      </c>
      <c r="BD460" s="24">
        <v>45831.407344432868</v>
      </c>
      <c r="BE460" s="24">
        <v>45833.390298310187</v>
      </c>
      <c r="BF460" s="24">
        <v>45833.390298310187</v>
      </c>
      <c r="BG460">
        <v>1</v>
      </c>
      <c r="BH460" s="24">
        <v>45825.369876493052</v>
      </c>
      <c r="BI460" s="24">
        <v>45825.369876493052</v>
      </c>
      <c r="BJ460" s="24">
        <v>45826.623910879629</v>
      </c>
      <c r="BK460" s="24">
        <v>45826.623910879629</v>
      </c>
      <c r="BL460">
        <v>1</v>
      </c>
      <c r="BM460" s="24"/>
      <c r="BN460" s="24"/>
      <c r="BO460" s="24"/>
      <c r="BP460" s="24"/>
      <c r="BR460" s="24">
        <v>45831.407265254631</v>
      </c>
      <c r="BS460" s="24">
        <v>45831.407265254631</v>
      </c>
      <c r="BT460" s="24">
        <v>45831.407344432868</v>
      </c>
      <c r="BU460" s="24">
        <v>45831.407344432868</v>
      </c>
      <c r="BV460">
        <v>1</v>
      </c>
      <c r="BW460" s="24"/>
      <c r="BX460" s="24"/>
      <c r="BY460" s="24"/>
      <c r="BZ460" s="24"/>
      <c r="CB460" s="24"/>
      <c r="CC460" s="24"/>
      <c r="CE460" s="24">
        <v>45833.390298310187</v>
      </c>
      <c r="CF460" s="24">
        <v>45833.390298310187</v>
      </c>
      <c r="CG460">
        <v>1</v>
      </c>
      <c r="CH460" s="24"/>
      <c r="CI460" s="24"/>
      <c r="CJ460" s="24"/>
      <c r="CK460" s="24"/>
      <c r="DE460" s="24"/>
      <c r="DF460" s="24"/>
      <c r="DG460" s="24"/>
      <c r="DH460" s="24"/>
      <c r="DJ460" t="s">
        <v>149</v>
      </c>
      <c r="DK460" t="s">
        <v>149</v>
      </c>
      <c r="DL460">
        <v>0.69589340277777778</v>
      </c>
      <c r="DM460">
        <v>9</v>
      </c>
      <c r="DN460">
        <v>7</v>
      </c>
      <c r="DQ460" t="s">
        <v>1000</v>
      </c>
      <c r="DR460" t="s">
        <v>149</v>
      </c>
      <c r="DS460" s="24">
        <v>46160.384426226854</v>
      </c>
    </row>
    <row r="461" spans="1:123" x14ac:dyDescent="0.3">
      <c r="A461" t="s">
        <v>711</v>
      </c>
      <c r="D461" t="s">
        <v>225</v>
      </c>
      <c r="E461" s="24">
        <v>45824.680532407408</v>
      </c>
      <c r="G461" t="s">
        <v>90</v>
      </c>
      <c r="H461" t="s">
        <v>155</v>
      </c>
      <c r="I461" s="24"/>
      <c r="J461" s="24"/>
      <c r="K461" s="24"/>
      <c r="L461" s="24"/>
      <c r="N461" s="24"/>
      <c r="O461" s="24"/>
      <c r="P461" s="24"/>
      <c r="Q461" s="24"/>
      <c r="V461" s="24"/>
      <c r="W461" s="24"/>
      <c r="X461" s="24"/>
      <c r="Y461" s="24"/>
      <c r="AA461" s="24">
        <v>45824.70173158565</v>
      </c>
      <c r="AB461" s="24">
        <v>45824.70173158565</v>
      </c>
      <c r="AC461" s="24">
        <v>45831.443100763892</v>
      </c>
      <c r="AD461" s="24">
        <v>45831.443100763892</v>
      </c>
      <c r="AE461">
        <v>1</v>
      </c>
      <c r="AF461" s="24">
        <v>45831.443100763892</v>
      </c>
      <c r="AG461" s="24">
        <v>45831.443100763892</v>
      </c>
      <c r="AH461" s="24">
        <v>45831.589757847221</v>
      </c>
      <c r="AI461" s="24">
        <v>45831.589757847221</v>
      </c>
      <c r="AJ461">
        <v>1</v>
      </c>
      <c r="AK461" s="24">
        <v>45831.589757847221</v>
      </c>
      <c r="AL461" s="24">
        <v>45831.589757847221</v>
      </c>
      <c r="AM461" s="24">
        <v>45831.590416770836</v>
      </c>
      <c r="AN461" s="24">
        <v>45831.590416770836</v>
      </c>
      <c r="AO461">
        <v>1</v>
      </c>
      <c r="AP461" s="24"/>
      <c r="AQ461" s="24"/>
      <c r="AR461" s="24">
        <v>45824.701643391207</v>
      </c>
      <c r="AS461" s="24">
        <v>45824.701643391207</v>
      </c>
      <c r="AX461" s="24"/>
      <c r="AY461" s="24"/>
      <c r="AZ461" s="24"/>
      <c r="BA461" s="24"/>
      <c r="BC461" s="24">
        <v>45831.602989282408</v>
      </c>
      <c r="BD461" s="24">
        <v>45831.602989282408</v>
      </c>
      <c r="BE461" s="24">
        <v>45833.390298402781</v>
      </c>
      <c r="BF461" s="24">
        <v>45833.390298402781</v>
      </c>
      <c r="BG461">
        <v>1</v>
      </c>
      <c r="BH461" s="24">
        <v>45824.701643391207</v>
      </c>
      <c r="BI461" s="24">
        <v>45824.701643391207</v>
      </c>
      <c r="BJ461" s="24">
        <v>45824.70173158565</v>
      </c>
      <c r="BK461" s="24">
        <v>45824.70173158565</v>
      </c>
      <c r="BL461">
        <v>1</v>
      </c>
      <c r="BM461" s="24"/>
      <c r="BN461" s="24"/>
      <c r="BO461" s="24"/>
      <c r="BP461" s="24"/>
      <c r="BR461" s="24">
        <v>45831.590416770836</v>
      </c>
      <c r="BS461" s="24">
        <v>45831.590416770836</v>
      </c>
      <c r="BT461" s="24">
        <v>45831.602989282408</v>
      </c>
      <c r="BU461" s="24">
        <v>45831.602989282408</v>
      </c>
      <c r="BV461">
        <v>1</v>
      </c>
      <c r="BW461" s="24"/>
      <c r="BX461" s="24"/>
      <c r="BY461" s="24"/>
      <c r="BZ461" s="24"/>
      <c r="CB461" s="24"/>
      <c r="CC461" s="24"/>
      <c r="CE461" s="24">
        <v>45833.390298402781</v>
      </c>
      <c r="CF461" s="24">
        <v>45833.390298402781</v>
      </c>
      <c r="CG461">
        <v>1</v>
      </c>
      <c r="CH461" s="24"/>
      <c r="CI461" s="24"/>
      <c r="CJ461" s="24"/>
      <c r="CK461" s="24"/>
      <c r="DE461" s="24"/>
      <c r="DF461" s="24"/>
      <c r="DG461" s="24"/>
      <c r="DH461" s="24"/>
      <c r="DJ461" t="s">
        <v>149</v>
      </c>
      <c r="DK461" t="s">
        <v>149</v>
      </c>
      <c r="DM461">
        <v>9</v>
      </c>
      <c r="DN461">
        <v>9</v>
      </c>
      <c r="DQ461" t="s">
        <v>1000</v>
      </c>
      <c r="DR461" t="s">
        <v>149</v>
      </c>
      <c r="DS461" s="24">
        <v>46160.384426226854</v>
      </c>
    </row>
    <row r="462" spans="1:123" x14ac:dyDescent="0.3">
      <c r="A462" t="s">
        <v>712</v>
      </c>
      <c r="D462" t="s">
        <v>223</v>
      </c>
      <c r="E462" s="24">
        <v>45824.572604166664</v>
      </c>
      <c r="G462" t="s">
        <v>90</v>
      </c>
      <c r="H462" t="s">
        <v>155</v>
      </c>
      <c r="I462" s="24"/>
      <c r="J462" s="24"/>
      <c r="K462" s="24"/>
      <c r="L462" s="24"/>
      <c r="N462" s="24"/>
      <c r="O462" s="24"/>
      <c r="P462" s="24"/>
      <c r="Q462" s="24"/>
      <c r="V462" s="24"/>
      <c r="W462" s="24"/>
      <c r="X462" s="24"/>
      <c r="Y462" s="24"/>
      <c r="AA462" s="24">
        <v>45833.394423206017</v>
      </c>
      <c r="AB462" s="24">
        <v>45833.394423206017</v>
      </c>
      <c r="AC462" s="24">
        <v>45845.427925046293</v>
      </c>
      <c r="AD462" s="24">
        <v>45845.427925046293</v>
      </c>
      <c r="AE462">
        <v>1</v>
      </c>
      <c r="AF462" s="24"/>
      <c r="AG462" s="24"/>
      <c r="AH462" s="24"/>
      <c r="AI462" s="24"/>
      <c r="AK462" s="24"/>
      <c r="AL462" s="24"/>
      <c r="AM462" s="24"/>
      <c r="AN462" s="24"/>
      <c r="AP462" s="24"/>
      <c r="AQ462" s="24"/>
      <c r="AR462" s="24">
        <v>45832.628152685182</v>
      </c>
      <c r="AS462" s="24">
        <v>45832.628152685182</v>
      </c>
      <c r="AX462" s="24"/>
      <c r="AY462" s="24"/>
      <c r="AZ462" s="24"/>
      <c r="BA462" s="24"/>
      <c r="BC462" s="24"/>
      <c r="BD462" s="24"/>
      <c r="BE462" s="24"/>
      <c r="BF462" s="24"/>
      <c r="BH462" s="24">
        <v>45832.628152685182</v>
      </c>
      <c r="BI462" s="24">
        <v>45832.628152685182</v>
      </c>
      <c r="BJ462" s="24">
        <v>45833.394423206017</v>
      </c>
      <c r="BK462" s="24">
        <v>45833.394423206017</v>
      </c>
      <c r="BL462">
        <v>1</v>
      </c>
      <c r="BM462" s="24"/>
      <c r="BN462" s="24"/>
      <c r="BO462" s="24"/>
      <c r="BP462" s="24"/>
      <c r="BR462" s="24"/>
      <c r="BS462" s="24"/>
      <c r="BT462" s="24"/>
      <c r="BU462" s="24"/>
      <c r="BW462" s="24"/>
      <c r="BX462" s="24"/>
      <c r="BY462" s="24"/>
      <c r="BZ462" s="24"/>
      <c r="CB462" s="24"/>
      <c r="CC462" s="24"/>
      <c r="CE462" s="24">
        <v>45845.427925046293</v>
      </c>
      <c r="CF462" s="24">
        <v>45845.427925046293</v>
      </c>
      <c r="CG462">
        <v>1</v>
      </c>
      <c r="CH462" s="24"/>
      <c r="CI462" s="24"/>
      <c r="CJ462" s="24"/>
      <c r="CK462" s="24"/>
      <c r="DE462" s="24"/>
      <c r="DF462" s="24"/>
      <c r="DG462" s="24"/>
      <c r="DH462" s="24"/>
      <c r="DJ462" t="s">
        <v>149</v>
      </c>
      <c r="DK462" t="s">
        <v>149</v>
      </c>
      <c r="DM462">
        <v>13</v>
      </c>
      <c r="DN462">
        <v>13</v>
      </c>
      <c r="DQ462" t="s">
        <v>1000</v>
      </c>
      <c r="DR462" t="s">
        <v>149</v>
      </c>
      <c r="DS462" s="24">
        <v>46160.384426226854</v>
      </c>
    </row>
    <row r="463" spans="1:123" x14ac:dyDescent="0.3">
      <c r="A463" t="s">
        <v>713</v>
      </c>
      <c r="D463" t="s">
        <v>223</v>
      </c>
      <c r="E463" s="24">
        <v>45824.327974537038</v>
      </c>
      <c r="G463" t="s">
        <v>90</v>
      </c>
      <c r="H463" t="s">
        <v>155</v>
      </c>
      <c r="I463" s="24"/>
      <c r="J463" s="24"/>
      <c r="K463" s="24"/>
      <c r="L463" s="24"/>
      <c r="N463" s="24"/>
      <c r="O463" s="24"/>
      <c r="P463" s="24"/>
      <c r="Q463" s="24"/>
      <c r="V463" s="24"/>
      <c r="W463" s="24"/>
      <c r="X463" s="24"/>
      <c r="Y463" s="24"/>
      <c r="AA463" s="24">
        <v>45824.403801354165</v>
      </c>
      <c r="AB463" s="24">
        <v>45824.403801354165</v>
      </c>
      <c r="AC463" s="24">
        <v>45832.401143483796</v>
      </c>
      <c r="AD463" s="24">
        <v>45832.401143483796</v>
      </c>
      <c r="AE463">
        <v>1</v>
      </c>
      <c r="AF463" s="24"/>
      <c r="AG463" s="24"/>
      <c r="AH463" s="24"/>
      <c r="AI463" s="24"/>
      <c r="AK463" s="24"/>
      <c r="AL463" s="24"/>
      <c r="AM463" s="24"/>
      <c r="AN463" s="24"/>
      <c r="AP463" s="24"/>
      <c r="AQ463" s="24"/>
      <c r="AR463" s="24">
        <v>45824.329345034719</v>
      </c>
      <c r="AS463" s="24">
        <v>45824.329345034719</v>
      </c>
      <c r="AX463" s="24"/>
      <c r="AY463" s="24"/>
      <c r="AZ463" s="24"/>
      <c r="BA463" s="24"/>
      <c r="BC463" s="24"/>
      <c r="BD463" s="24"/>
      <c r="BE463" s="24"/>
      <c r="BF463" s="24"/>
      <c r="BH463" s="24">
        <v>45824.329345034719</v>
      </c>
      <c r="BI463" s="24">
        <v>45824.329345034719</v>
      </c>
      <c r="BJ463" s="24">
        <v>45824.403801354165</v>
      </c>
      <c r="BK463" s="24">
        <v>45824.403801354165</v>
      </c>
      <c r="BL463">
        <v>1</v>
      </c>
      <c r="BM463" s="24"/>
      <c r="BN463" s="24"/>
      <c r="BO463" s="24"/>
      <c r="BP463" s="24"/>
      <c r="BR463" s="24">
        <v>45832.401143483796</v>
      </c>
      <c r="BS463" s="24">
        <v>45832.401143483796</v>
      </c>
      <c r="BT463" s="24">
        <v>45832.401213530095</v>
      </c>
      <c r="BU463" s="24">
        <v>45832.401213530095</v>
      </c>
      <c r="BV463">
        <v>1</v>
      </c>
      <c r="BW463" s="24"/>
      <c r="BX463" s="24"/>
      <c r="BY463" s="24"/>
      <c r="BZ463" s="24"/>
      <c r="CB463" s="24"/>
      <c r="CC463" s="24"/>
      <c r="CE463" s="24">
        <v>45832.401213530095</v>
      </c>
      <c r="CF463" s="24">
        <v>45832.401213530095</v>
      </c>
      <c r="CG463">
        <v>1</v>
      </c>
      <c r="CH463" s="24"/>
      <c r="CI463" s="24"/>
      <c r="CJ463" s="24"/>
      <c r="CK463" s="24"/>
      <c r="DE463" s="24"/>
      <c r="DF463" s="24"/>
      <c r="DG463" s="24"/>
      <c r="DH463" s="24"/>
      <c r="DJ463" t="s">
        <v>149</v>
      </c>
      <c r="DK463" t="s">
        <v>149</v>
      </c>
      <c r="DM463">
        <v>9</v>
      </c>
      <c r="DN463">
        <v>8</v>
      </c>
      <c r="DQ463" t="s">
        <v>1000</v>
      </c>
      <c r="DR463" t="s">
        <v>149</v>
      </c>
      <c r="DS463" s="24">
        <v>46160.384426226854</v>
      </c>
    </row>
    <row r="464" spans="1:123" x14ac:dyDescent="0.3">
      <c r="A464" t="s">
        <v>714</v>
      </c>
      <c r="D464" t="s">
        <v>225</v>
      </c>
      <c r="E464" s="24">
        <v>45821.572743055556</v>
      </c>
      <c r="G464" t="s">
        <v>90</v>
      </c>
      <c r="H464" t="s">
        <v>155</v>
      </c>
      <c r="I464" s="24"/>
      <c r="J464" s="24"/>
      <c r="K464" s="24"/>
      <c r="L464" s="24"/>
      <c r="N464" s="24"/>
      <c r="O464" s="24"/>
      <c r="P464" s="24"/>
      <c r="Q464" s="24"/>
      <c r="V464" s="24"/>
      <c r="W464" s="24"/>
      <c r="X464" s="24"/>
      <c r="Y464" s="24"/>
      <c r="AA464" s="24">
        <v>45825.728287696758</v>
      </c>
      <c r="AB464" s="24">
        <v>45821.701912060184</v>
      </c>
      <c r="AC464" s="24">
        <v>45821.703884594906</v>
      </c>
      <c r="AD464" s="24">
        <v>45826.605779502315</v>
      </c>
      <c r="AE464">
        <v>2</v>
      </c>
      <c r="AF464" s="24">
        <v>45826.605779502315</v>
      </c>
      <c r="AG464" s="24">
        <v>45821.703884594906</v>
      </c>
      <c r="AH464" s="24">
        <v>45825.404916226849</v>
      </c>
      <c r="AI464" s="24">
        <v>45826.619418599534</v>
      </c>
      <c r="AJ464">
        <v>2</v>
      </c>
      <c r="AK464" s="24">
        <v>45826.619418599534</v>
      </c>
      <c r="AL464" s="24">
        <v>45825.404916226849</v>
      </c>
      <c r="AM464" s="24">
        <v>45825.415114872689</v>
      </c>
      <c r="AN464" s="24">
        <v>45826.619482546295</v>
      </c>
      <c r="AO464">
        <v>2</v>
      </c>
      <c r="AP464" s="24"/>
      <c r="AQ464" s="24"/>
      <c r="AR464" s="24">
        <v>45821.701869074073</v>
      </c>
      <c r="AS464" s="24">
        <v>45821.701869074073</v>
      </c>
      <c r="AX464" s="24"/>
      <c r="AY464" s="24"/>
      <c r="AZ464" s="24"/>
      <c r="BA464" s="24"/>
      <c r="BC464" s="24">
        <v>45826.621837314815</v>
      </c>
      <c r="BD464" s="24">
        <v>45825.415226724537</v>
      </c>
      <c r="BE464" s="24">
        <v>45825.728157511578</v>
      </c>
      <c r="BF464" s="24">
        <v>45833.390298530096</v>
      </c>
      <c r="BG464">
        <v>2</v>
      </c>
      <c r="BH464" s="24">
        <v>45821.701869074073</v>
      </c>
      <c r="BI464" s="24">
        <v>45821.701869074073</v>
      </c>
      <c r="BJ464" s="24">
        <v>45821.701912060184</v>
      </c>
      <c r="BK464" s="24">
        <v>45821.701912060184</v>
      </c>
      <c r="BL464">
        <v>1</v>
      </c>
      <c r="BM464" s="24"/>
      <c r="BN464" s="24"/>
      <c r="BO464" s="24"/>
      <c r="BP464" s="24"/>
      <c r="BR464" s="24">
        <v>45826.619482546295</v>
      </c>
      <c r="BS464" s="24">
        <v>45825.415114872689</v>
      </c>
      <c r="BT464" s="24">
        <v>45825.415226724537</v>
      </c>
      <c r="BU464" s="24">
        <v>45826.621837314815</v>
      </c>
      <c r="BV464">
        <v>3</v>
      </c>
      <c r="BW464" s="24"/>
      <c r="BX464" s="24"/>
      <c r="BY464" s="24"/>
      <c r="BZ464" s="24"/>
      <c r="CB464" s="24"/>
      <c r="CC464" s="24"/>
      <c r="CE464" s="24">
        <v>45833.390298530096</v>
      </c>
      <c r="CF464" s="24">
        <v>45833.390298530096</v>
      </c>
      <c r="CG464">
        <v>1</v>
      </c>
      <c r="CH464" s="24"/>
      <c r="CI464" s="24"/>
      <c r="CJ464" s="24"/>
      <c r="CK464" s="24"/>
      <c r="DE464" s="24"/>
      <c r="DF464" s="24"/>
      <c r="DG464" s="24"/>
      <c r="DH464" s="24"/>
      <c r="DJ464" t="s">
        <v>149</v>
      </c>
      <c r="DK464" t="s">
        <v>149</v>
      </c>
      <c r="DM464">
        <v>12</v>
      </c>
      <c r="DN464">
        <v>12</v>
      </c>
      <c r="DQ464" t="s">
        <v>1000</v>
      </c>
      <c r="DR464" t="s">
        <v>149</v>
      </c>
      <c r="DS464" s="24">
        <v>46160.384426226854</v>
      </c>
    </row>
    <row r="465" spans="1:123" x14ac:dyDescent="0.3">
      <c r="A465" t="s">
        <v>715</v>
      </c>
      <c r="D465" t="s">
        <v>225</v>
      </c>
      <c r="E465" s="24">
        <v>45821.517893518518</v>
      </c>
      <c r="G465" t="s">
        <v>90</v>
      </c>
      <c r="H465" t="s">
        <v>155</v>
      </c>
      <c r="I465" s="24"/>
      <c r="J465" s="24"/>
      <c r="K465" s="24"/>
      <c r="L465" s="24"/>
      <c r="N465" s="24"/>
      <c r="O465" s="24"/>
      <c r="P465" s="24"/>
      <c r="Q465" s="24"/>
      <c r="V465" s="24"/>
      <c r="W465" s="24"/>
      <c r="X465" s="24"/>
      <c r="Y465" s="24"/>
      <c r="AA465" s="24">
        <v>45821.70292369213</v>
      </c>
      <c r="AB465" s="24">
        <v>45821.70292369213</v>
      </c>
      <c r="AC465" s="24">
        <v>45824.361888078703</v>
      </c>
      <c r="AD465" s="24">
        <v>45824.361888078703</v>
      </c>
      <c r="AE465">
        <v>1</v>
      </c>
      <c r="AF465" s="24">
        <v>45824.361888078703</v>
      </c>
      <c r="AG465" s="24">
        <v>45824.361888078703</v>
      </c>
      <c r="AH465" s="24">
        <v>45825.404799270837</v>
      </c>
      <c r="AI465" s="24">
        <v>45825.404799270837</v>
      </c>
      <c r="AJ465">
        <v>1</v>
      </c>
      <c r="AK465" s="24">
        <v>45825.404799270837</v>
      </c>
      <c r="AL465" s="24">
        <v>45825.404799270837</v>
      </c>
      <c r="AM465" s="24">
        <v>45825.422149282407</v>
      </c>
      <c r="AN465" s="24">
        <v>45825.422149282407</v>
      </c>
      <c r="AO465">
        <v>1</v>
      </c>
      <c r="AP465" s="24"/>
      <c r="AQ465" s="24"/>
      <c r="AR465" s="24">
        <v>45821.702864050923</v>
      </c>
      <c r="AS465" s="24">
        <v>45821.702864050923</v>
      </c>
      <c r="AX465" s="24"/>
      <c r="AY465" s="24"/>
      <c r="AZ465" s="24"/>
      <c r="BA465" s="24"/>
      <c r="BC465" s="24">
        <v>45825.422209999997</v>
      </c>
      <c r="BD465" s="24">
        <v>45825.422209999997</v>
      </c>
      <c r="BE465" s="24">
        <v>45833.390298379629</v>
      </c>
      <c r="BF465" s="24">
        <v>45833.390298379629</v>
      </c>
      <c r="BG465">
        <v>1</v>
      </c>
      <c r="BH465" s="24">
        <v>45821.702864050923</v>
      </c>
      <c r="BI465" s="24">
        <v>45821.702864050923</v>
      </c>
      <c r="BJ465" s="24">
        <v>45821.70292369213</v>
      </c>
      <c r="BK465" s="24">
        <v>45821.70292369213</v>
      </c>
      <c r="BL465">
        <v>1</v>
      </c>
      <c r="BM465" s="24"/>
      <c r="BN465" s="24"/>
      <c r="BO465" s="24"/>
      <c r="BP465" s="24"/>
      <c r="BR465" s="24">
        <v>45825.422149282407</v>
      </c>
      <c r="BS465" s="24">
        <v>45825.422149282407</v>
      </c>
      <c r="BT465" s="24">
        <v>45825.422209999997</v>
      </c>
      <c r="BU465" s="24">
        <v>45825.422209999997</v>
      </c>
      <c r="BV465">
        <v>1</v>
      </c>
      <c r="BW465" s="24"/>
      <c r="BX465" s="24"/>
      <c r="BY465" s="24"/>
      <c r="BZ465" s="24"/>
      <c r="CB465" s="24"/>
      <c r="CC465" s="24"/>
      <c r="CE465" s="24">
        <v>45833.390298379629</v>
      </c>
      <c r="CF465" s="24">
        <v>45833.390298379629</v>
      </c>
      <c r="CG465">
        <v>1</v>
      </c>
      <c r="CH465" s="24"/>
      <c r="CI465" s="24"/>
      <c r="CJ465" s="24"/>
      <c r="CK465" s="24"/>
      <c r="DE465" s="24"/>
      <c r="DF465" s="24"/>
      <c r="DG465" s="24"/>
      <c r="DH465" s="24"/>
      <c r="DJ465" t="s">
        <v>149</v>
      </c>
      <c r="DK465" t="s">
        <v>149</v>
      </c>
      <c r="DM465">
        <v>12</v>
      </c>
      <c r="DN465">
        <v>12</v>
      </c>
      <c r="DQ465" t="s">
        <v>1000</v>
      </c>
      <c r="DR465" t="s">
        <v>149</v>
      </c>
      <c r="DS465" s="24">
        <v>46160.384426226854</v>
      </c>
    </row>
    <row r="466" spans="1:123" x14ac:dyDescent="0.3">
      <c r="A466" t="s">
        <v>716</v>
      </c>
      <c r="D466" t="s">
        <v>225</v>
      </c>
      <c r="E466" s="24">
        <v>45820.593831018516</v>
      </c>
      <c r="G466" t="s">
        <v>90</v>
      </c>
      <c r="H466" t="s">
        <v>155</v>
      </c>
      <c r="I466" s="24"/>
      <c r="J466" s="24"/>
      <c r="K466" s="24"/>
      <c r="L466" s="24"/>
      <c r="N466" s="24"/>
      <c r="O466" s="24"/>
      <c r="P466" s="24"/>
      <c r="Q466" s="24"/>
      <c r="V466" s="24"/>
      <c r="W466" s="24"/>
      <c r="X466" s="24"/>
      <c r="Y466" s="24"/>
      <c r="AA466" s="24">
        <v>45827.446678645836</v>
      </c>
      <c r="AB466" s="24">
        <v>45827.446678645836</v>
      </c>
      <c r="AC466" s="24">
        <v>45827.446767858797</v>
      </c>
      <c r="AD466" s="24">
        <v>45827.446767858797</v>
      </c>
      <c r="AE466">
        <v>1</v>
      </c>
      <c r="AF466" s="24">
        <v>45827.446767858797</v>
      </c>
      <c r="AG466" s="24">
        <v>45827.446767858797</v>
      </c>
      <c r="AH466" s="24">
        <v>45828.55275534722</v>
      </c>
      <c r="AI466" s="24">
        <v>45828.55275534722</v>
      </c>
      <c r="AJ466">
        <v>1</v>
      </c>
      <c r="AK466" s="24">
        <v>45828.55275534722</v>
      </c>
      <c r="AL466" s="24">
        <v>45828.55275534722</v>
      </c>
      <c r="AM466" s="24">
        <v>45828.552808055552</v>
      </c>
      <c r="AN466" s="24">
        <v>45828.552808055552</v>
      </c>
      <c r="AO466">
        <v>1</v>
      </c>
      <c r="AP466" s="24"/>
      <c r="AQ466" s="24"/>
      <c r="AR466" s="24">
        <v>45827.427050902777</v>
      </c>
      <c r="AS466" s="24">
        <v>45827.427050902777</v>
      </c>
      <c r="AX466" s="24"/>
      <c r="AY466" s="24"/>
      <c r="AZ466" s="24"/>
      <c r="BA466" s="24"/>
      <c r="BC466" s="24">
        <v>45831.406897199071</v>
      </c>
      <c r="BD466" s="24">
        <v>45831.406897199071</v>
      </c>
      <c r="BE466" s="24">
        <v>45833.39029841435</v>
      </c>
      <c r="BF466" s="24">
        <v>45833.39029841435</v>
      </c>
      <c r="BG466">
        <v>1</v>
      </c>
      <c r="BH466" s="24">
        <v>45827.427050902777</v>
      </c>
      <c r="BI466" s="24">
        <v>45827.427050902777</v>
      </c>
      <c r="BJ466" s="24">
        <v>45827.446678645836</v>
      </c>
      <c r="BK466" s="24">
        <v>45827.446678645836</v>
      </c>
      <c r="BL466">
        <v>1</v>
      </c>
      <c r="BM466" s="24"/>
      <c r="BN466" s="24"/>
      <c r="BO466" s="24"/>
      <c r="BP466" s="24"/>
      <c r="BR466" s="24">
        <v>45828.552808055552</v>
      </c>
      <c r="BS466" s="24">
        <v>45828.552808055552</v>
      </c>
      <c r="BT466" s="24">
        <v>45831.406897199071</v>
      </c>
      <c r="BU466" s="24">
        <v>45831.406897199071</v>
      </c>
      <c r="BV466">
        <v>1</v>
      </c>
      <c r="BW466" s="24"/>
      <c r="BX466" s="24"/>
      <c r="BY466" s="24"/>
      <c r="BZ466" s="24"/>
      <c r="CB466" s="24"/>
      <c r="CC466" s="24"/>
      <c r="CE466" s="24">
        <v>45833.39029841435</v>
      </c>
      <c r="CF466" s="24">
        <v>45833.39029841435</v>
      </c>
      <c r="CG466">
        <v>1</v>
      </c>
      <c r="CH466" s="24"/>
      <c r="CI466" s="24"/>
      <c r="CJ466" s="24"/>
      <c r="CK466" s="24"/>
      <c r="DE466" s="24"/>
      <c r="DF466" s="24"/>
      <c r="DG466" s="24"/>
      <c r="DH466" s="24"/>
      <c r="DJ466" t="s">
        <v>149</v>
      </c>
      <c r="DK466" t="s">
        <v>149</v>
      </c>
      <c r="DM466">
        <v>6</v>
      </c>
      <c r="DN466">
        <v>6</v>
      </c>
      <c r="DQ466" t="s">
        <v>1000</v>
      </c>
      <c r="DR466" t="s">
        <v>149</v>
      </c>
      <c r="DS466" s="24">
        <v>46160.384426226854</v>
      </c>
    </row>
    <row r="467" spans="1:123" x14ac:dyDescent="0.3">
      <c r="A467" t="s">
        <v>717</v>
      </c>
      <c r="D467" t="s">
        <v>225</v>
      </c>
      <c r="E467" s="24">
        <v>45820.425335648149</v>
      </c>
      <c r="G467" t="s">
        <v>90</v>
      </c>
      <c r="H467" t="s">
        <v>155</v>
      </c>
      <c r="I467" s="24"/>
      <c r="J467" s="24"/>
      <c r="K467" s="24"/>
      <c r="L467" s="24"/>
      <c r="N467" s="24"/>
      <c r="O467" s="24"/>
      <c r="P467" s="24"/>
      <c r="Q467" s="24"/>
      <c r="V467" s="24"/>
      <c r="W467" s="24"/>
      <c r="X467" s="24"/>
      <c r="Y467" s="24"/>
      <c r="AA467" s="24">
        <v>45828.40679760417</v>
      </c>
      <c r="AB467" s="24">
        <v>45828.40679760417</v>
      </c>
      <c r="AC467" s="24">
        <v>45831.590165567133</v>
      </c>
      <c r="AD467" s="24">
        <v>45831.590165567133</v>
      </c>
      <c r="AE467">
        <v>1</v>
      </c>
      <c r="AF467" s="24">
        <v>45831.590165567133</v>
      </c>
      <c r="AG467" s="24">
        <v>45831.590165567133</v>
      </c>
      <c r="AH467" s="24">
        <v>45831.590203171298</v>
      </c>
      <c r="AI467" s="24">
        <v>45831.590203171298</v>
      </c>
      <c r="AJ467">
        <v>1</v>
      </c>
      <c r="AK467" s="24">
        <v>45831.590203171298</v>
      </c>
      <c r="AL467" s="24">
        <v>45831.590203171298</v>
      </c>
      <c r="AM467" s="24">
        <v>45831.60173052083</v>
      </c>
      <c r="AN467" s="24">
        <v>45831.60173052083</v>
      </c>
      <c r="AO467">
        <v>1</v>
      </c>
      <c r="AP467" s="24"/>
      <c r="AQ467" s="24"/>
      <c r="AR467" s="24">
        <v>45826.402501932869</v>
      </c>
      <c r="AS467" s="24">
        <v>45826.402501932869</v>
      </c>
      <c r="AX467" s="24"/>
      <c r="AY467" s="24"/>
      <c r="AZ467" s="24"/>
      <c r="BA467" s="24"/>
      <c r="BC467" s="24">
        <v>45831.601942546295</v>
      </c>
      <c r="BD467" s="24">
        <v>45831.601942546295</v>
      </c>
      <c r="BE467" s="24">
        <v>45833.390300914354</v>
      </c>
      <c r="BF467" s="24">
        <v>45833.390300914354</v>
      </c>
      <c r="BG467">
        <v>1</v>
      </c>
      <c r="BH467" s="24">
        <v>45826.402501932869</v>
      </c>
      <c r="BI467" s="24">
        <v>45826.402501932869</v>
      </c>
      <c r="BJ467" s="24">
        <v>45828.40679760417</v>
      </c>
      <c r="BK467" s="24">
        <v>45828.40679760417</v>
      </c>
      <c r="BL467">
        <v>1</v>
      </c>
      <c r="BM467" s="24"/>
      <c r="BN467" s="24"/>
      <c r="BO467" s="24"/>
      <c r="BP467" s="24"/>
      <c r="BR467" s="24">
        <v>45831.60173052083</v>
      </c>
      <c r="BS467" s="24">
        <v>45831.60173052083</v>
      </c>
      <c r="BT467" s="24">
        <v>45831.601942546295</v>
      </c>
      <c r="BU467" s="24">
        <v>45831.601942546295</v>
      </c>
      <c r="BV467">
        <v>1</v>
      </c>
      <c r="BW467" s="24"/>
      <c r="BX467" s="24"/>
      <c r="BY467" s="24"/>
      <c r="BZ467" s="24"/>
      <c r="CB467" s="24"/>
      <c r="CC467" s="24"/>
      <c r="CE467" s="24">
        <v>45833.390300914354</v>
      </c>
      <c r="CF467" s="24">
        <v>45833.390300914354</v>
      </c>
      <c r="CG467">
        <v>1</v>
      </c>
      <c r="CH467" s="24"/>
      <c r="CI467" s="24"/>
      <c r="CJ467" s="24"/>
      <c r="CK467" s="24"/>
      <c r="DE467" s="24"/>
      <c r="DF467" s="24"/>
      <c r="DG467" s="24"/>
      <c r="DH467" s="24"/>
      <c r="DJ467" t="s">
        <v>149</v>
      </c>
      <c r="DK467" t="s">
        <v>149</v>
      </c>
      <c r="DM467">
        <v>7</v>
      </c>
      <c r="DN467">
        <v>5</v>
      </c>
      <c r="DQ467" t="s">
        <v>1000</v>
      </c>
      <c r="DR467" t="s">
        <v>149</v>
      </c>
      <c r="DS467" s="24">
        <v>46160.384426226854</v>
      </c>
    </row>
    <row r="468" spans="1:123" x14ac:dyDescent="0.3">
      <c r="A468" t="s">
        <v>718</v>
      </c>
      <c r="D468" t="s">
        <v>225</v>
      </c>
      <c r="E468" s="24">
        <v>45819.669629629629</v>
      </c>
      <c r="G468" t="s">
        <v>90</v>
      </c>
      <c r="H468" t="s">
        <v>155</v>
      </c>
      <c r="I468" s="24"/>
      <c r="J468" s="24"/>
      <c r="K468" s="24"/>
      <c r="L468" s="24"/>
      <c r="N468" s="24"/>
      <c r="O468" s="24"/>
      <c r="P468" s="24"/>
      <c r="Q468" s="24"/>
      <c r="V468" s="24"/>
      <c r="W468" s="24"/>
      <c r="X468" s="24"/>
      <c r="Y468" s="24"/>
      <c r="AA468" s="24">
        <v>45827.463047789352</v>
      </c>
      <c r="AB468" s="24">
        <v>45827.463047789352</v>
      </c>
      <c r="AC468" s="24">
        <v>45827.508222013887</v>
      </c>
      <c r="AD468" s="24">
        <v>45827.508222013887</v>
      </c>
      <c r="AE468">
        <v>1</v>
      </c>
      <c r="AF468" s="24">
        <v>45827.508222013887</v>
      </c>
      <c r="AG468" s="24">
        <v>45827.508222013887</v>
      </c>
      <c r="AH468" s="24">
        <v>45828.427266261577</v>
      </c>
      <c r="AI468" s="24">
        <v>45828.427266261577</v>
      </c>
      <c r="AJ468">
        <v>1</v>
      </c>
      <c r="AK468" s="24">
        <v>45828.427266261577</v>
      </c>
      <c r="AL468" s="24">
        <v>45828.427266261577</v>
      </c>
      <c r="AM468" s="24">
        <v>45831.408341122682</v>
      </c>
      <c r="AN468" s="24">
        <v>45831.408341122682</v>
      </c>
      <c r="AO468">
        <v>1</v>
      </c>
      <c r="AP468" s="24"/>
      <c r="AQ468" s="24"/>
      <c r="AR468" s="24">
        <v>45827.462874849538</v>
      </c>
      <c r="AS468" s="24">
        <v>45827.462874849538</v>
      </c>
      <c r="AX468" s="24"/>
      <c r="AY468" s="24"/>
      <c r="AZ468" s="24"/>
      <c r="BA468" s="24"/>
      <c r="BC468" s="24">
        <v>45831.40897689815</v>
      </c>
      <c r="BD468" s="24">
        <v>45831.40897689815</v>
      </c>
      <c r="BE468" s="24">
        <v>45833.390305833331</v>
      </c>
      <c r="BF468" s="24">
        <v>45833.390305833331</v>
      </c>
      <c r="BG468">
        <v>1</v>
      </c>
      <c r="BH468" s="24">
        <v>45827.462874849538</v>
      </c>
      <c r="BI468" s="24">
        <v>45827.462874849538</v>
      </c>
      <c r="BJ468" s="24">
        <v>45827.463047789352</v>
      </c>
      <c r="BK468" s="24">
        <v>45827.463047789352</v>
      </c>
      <c r="BL468">
        <v>1</v>
      </c>
      <c r="BM468" s="24"/>
      <c r="BN468" s="24"/>
      <c r="BO468" s="24"/>
      <c r="BP468" s="24"/>
      <c r="BR468" s="24">
        <v>45831.408341122682</v>
      </c>
      <c r="BS468" s="24">
        <v>45831.408341122682</v>
      </c>
      <c r="BT468" s="24">
        <v>45831.40897689815</v>
      </c>
      <c r="BU468" s="24">
        <v>45831.40897689815</v>
      </c>
      <c r="BV468">
        <v>1</v>
      </c>
      <c r="BW468" s="24"/>
      <c r="BX468" s="24"/>
      <c r="BY468" s="24"/>
      <c r="BZ468" s="24"/>
      <c r="CB468" s="24"/>
      <c r="CC468" s="24"/>
      <c r="CE468" s="24">
        <v>45833.390305833331</v>
      </c>
      <c r="CF468" s="24">
        <v>45833.390305833331</v>
      </c>
      <c r="CG468">
        <v>1</v>
      </c>
      <c r="CH468" s="24"/>
      <c r="CI468" s="24"/>
      <c r="CJ468" s="24"/>
      <c r="CK468" s="24"/>
      <c r="DE468" s="24"/>
      <c r="DF468" s="24"/>
      <c r="DG468" s="24"/>
      <c r="DH468" s="24"/>
      <c r="DJ468" t="s">
        <v>149</v>
      </c>
      <c r="DK468" t="s">
        <v>149</v>
      </c>
      <c r="DM468">
        <v>6</v>
      </c>
      <c r="DN468">
        <v>6</v>
      </c>
      <c r="DQ468" t="s">
        <v>1000</v>
      </c>
      <c r="DR468" t="s">
        <v>149</v>
      </c>
      <c r="DS468" s="24">
        <v>46160.384426226854</v>
      </c>
    </row>
    <row r="469" spans="1:123" x14ac:dyDescent="0.3">
      <c r="A469" t="s">
        <v>719</v>
      </c>
      <c r="D469" t="s">
        <v>225</v>
      </c>
      <c r="E469" s="24">
        <v>45819.666458333333</v>
      </c>
      <c r="G469" t="s">
        <v>90</v>
      </c>
      <c r="H469" t="s">
        <v>155</v>
      </c>
      <c r="I469" s="24"/>
      <c r="J469" s="24"/>
      <c r="K469" s="24"/>
      <c r="L469" s="24"/>
      <c r="N469" s="24">
        <v>45842.41270818287</v>
      </c>
      <c r="O469" s="24">
        <v>45835.414090150465</v>
      </c>
      <c r="P469" s="24">
        <v>45841.370607696757</v>
      </c>
      <c r="Q469" s="24">
        <v>45853.37623303241</v>
      </c>
      <c r="R469">
        <v>2</v>
      </c>
      <c r="V469" s="24"/>
      <c r="W469" s="24"/>
      <c r="X469" s="24"/>
      <c r="Y469" s="24"/>
      <c r="AA469" s="24">
        <v>45855.606450902778</v>
      </c>
      <c r="AB469" s="24">
        <v>45833.409370474539</v>
      </c>
      <c r="AC469" s="24">
        <v>45835.414090150465</v>
      </c>
      <c r="AD469" s="24">
        <v>45855.60654951389</v>
      </c>
      <c r="AE469">
        <v>5</v>
      </c>
      <c r="AF469" s="24">
        <v>45855.60654951389</v>
      </c>
      <c r="AG469" s="24">
        <v>45841.374426724535</v>
      </c>
      <c r="AH469" s="24">
        <v>45841.374596400463</v>
      </c>
      <c r="AI469" s="24">
        <v>45856.443131006941</v>
      </c>
      <c r="AJ469">
        <v>3</v>
      </c>
      <c r="AK469" s="24">
        <v>45856.443131006941</v>
      </c>
      <c r="AL469" s="24">
        <v>45855.395541736114</v>
      </c>
      <c r="AM469" s="24">
        <v>45855.597051111108</v>
      </c>
      <c r="AN469" s="24">
        <v>45856.443238900465</v>
      </c>
      <c r="AO469">
        <v>2</v>
      </c>
      <c r="AP469" s="24"/>
      <c r="AQ469" s="24"/>
      <c r="AR469" s="24">
        <v>45833.404262835647</v>
      </c>
      <c r="AS469" s="24">
        <v>45833.404262835647</v>
      </c>
      <c r="AX469" s="24"/>
      <c r="AY469" s="24"/>
      <c r="AZ469" s="24"/>
      <c r="BA469" s="24"/>
      <c r="BC469" s="24">
        <v>45856.453511932872</v>
      </c>
      <c r="BD469" s="24">
        <v>45855.600653090281</v>
      </c>
      <c r="BE469" s="24">
        <v>45855.606349652779</v>
      </c>
      <c r="BF469" s="24">
        <v>45861.332079988424</v>
      </c>
      <c r="BG469">
        <v>2</v>
      </c>
      <c r="BH469" s="24">
        <v>45833.404262835647</v>
      </c>
      <c r="BI469" s="24">
        <v>45833.404262835647</v>
      </c>
      <c r="BJ469" s="24">
        <v>45833.409370474539</v>
      </c>
      <c r="BK469" s="24">
        <v>45833.409370474539</v>
      </c>
      <c r="BL469">
        <v>1</v>
      </c>
      <c r="BM469" s="24"/>
      <c r="BN469" s="24"/>
      <c r="BO469" s="24"/>
      <c r="BP469" s="24"/>
      <c r="BR469" s="24">
        <v>45856.443238900465</v>
      </c>
      <c r="BS469" s="24">
        <v>45855.597051111108</v>
      </c>
      <c r="BT469" s="24">
        <v>45855.600653090281</v>
      </c>
      <c r="BU469" s="24">
        <v>45856.453511932872</v>
      </c>
      <c r="BV469">
        <v>3</v>
      </c>
      <c r="BW469" s="24"/>
      <c r="BX469" s="24"/>
      <c r="BY469" s="24"/>
      <c r="BZ469" s="24"/>
      <c r="CB469" s="24"/>
      <c r="CC469" s="24"/>
      <c r="CE469" s="24">
        <v>45861.332079988424</v>
      </c>
      <c r="CF469" s="24">
        <v>45861.332079988424</v>
      </c>
      <c r="CG469">
        <v>1</v>
      </c>
      <c r="CH469" s="24"/>
      <c r="CI469" s="24"/>
      <c r="CJ469" s="24"/>
      <c r="CK469" s="24"/>
      <c r="DE469" s="24"/>
      <c r="DF469" s="24"/>
      <c r="DG469" s="24"/>
      <c r="DH469" s="24"/>
      <c r="DJ469" t="s">
        <v>149</v>
      </c>
      <c r="DK469" t="s">
        <v>149</v>
      </c>
      <c r="DL469">
        <v>16.920042361111111</v>
      </c>
      <c r="DM469">
        <v>28</v>
      </c>
      <c r="DN469">
        <v>28</v>
      </c>
      <c r="DQ469" t="s">
        <v>1000</v>
      </c>
      <c r="DR469" t="s">
        <v>149</v>
      </c>
      <c r="DS469" s="24">
        <v>46160.384426226854</v>
      </c>
    </row>
    <row r="470" spans="1:123" x14ac:dyDescent="0.3">
      <c r="A470" t="s">
        <v>720</v>
      </c>
      <c r="D470" t="s">
        <v>225</v>
      </c>
      <c r="E470" s="24">
        <v>45819.658148148148</v>
      </c>
      <c r="G470" t="s">
        <v>90</v>
      </c>
      <c r="H470" t="s">
        <v>155</v>
      </c>
      <c r="I470" s="24">
        <v>45820.40950736111</v>
      </c>
      <c r="J470" s="24">
        <v>45820.40950736111</v>
      </c>
      <c r="K470" s="24">
        <v>45820.40958028935</v>
      </c>
      <c r="L470" s="24">
        <v>45820.40958028935</v>
      </c>
      <c r="M470">
        <v>1</v>
      </c>
      <c r="N470" s="24"/>
      <c r="O470" s="24"/>
      <c r="P470" s="24"/>
      <c r="Q470" s="24"/>
      <c r="V470" s="24"/>
      <c r="W470" s="24"/>
      <c r="X470" s="24"/>
      <c r="Y470" s="24"/>
      <c r="AA470" s="24">
        <v>45832.526977893518</v>
      </c>
      <c r="AB470" s="24">
        <v>45820.344932395834</v>
      </c>
      <c r="AC470" s="24">
        <v>45820.40950736111</v>
      </c>
      <c r="AD470" s="24">
        <v>45833.483897858794</v>
      </c>
      <c r="AE470">
        <v>2</v>
      </c>
      <c r="AF470" s="24">
        <v>45833.483897858794</v>
      </c>
      <c r="AG470" s="24">
        <v>45833.483897858794</v>
      </c>
      <c r="AH470" s="24">
        <v>45835.471065300924</v>
      </c>
      <c r="AI470" s="24">
        <v>45835.471065300924</v>
      </c>
      <c r="AJ470">
        <v>1</v>
      </c>
      <c r="AK470" s="24">
        <v>45835.471065300924</v>
      </c>
      <c r="AL470" s="24">
        <v>45835.471065300924</v>
      </c>
      <c r="AM470" s="24">
        <v>45835.59765246528</v>
      </c>
      <c r="AN470" s="24">
        <v>45835.59765246528</v>
      </c>
      <c r="AO470">
        <v>1</v>
      </c>
      <c r="AP470" s="24"/>
      <c r="AQ470" s="24"/>
      <c r="AR470" s="24">
        <v>45820.344304606479</v>
      </c>
      <c r="AS470" s="24">
        <v>45820.344304606479</v>
      </c>
      <c r="AX470" s="24"/>
      <c r="AY470" s="24"/>
      <c r="AZ470" s="24"/>
      <c r="BA470" s="24"/>
      <c r="BC470" s="24">
        <v>45835.598106620368</v>
      </c>
      <c r="BD470" s="24">
        <v>45835.598106620368</v>
      </c>
      <c r="BE470" s="24">
        <v>45846.411204270837</v>
      </c>
      <c r="BF470" s="24">
        <v>45846.411204270837</v>
      </c>
      <c r="BG470">
        <v>1</v>
      </c>
      <c r="BH470" s="24">
        <v>45820.40958028935</v>
      </c>
      <c r="BI470" s="24">
        <v>45820.344304606479</v>
      </c>
      <c r="BJ470" s="24">
        <v>45820.344932395834</v>
      </c>
      <c r="BK470" s="24">
        <v>45832.526977893518</v>
      </c>
      <c r="BL470">
        <v>2</v>
      </c>
      <c r="BM470" s="24"/>
      <c r="BN470" s="24"/>
      <c r="BO470" s="24"/>
      <c r="BP470" s="24"/>
      <c r="BR470" s="24">
        <v>45835.59765246528</v>
      </c>
      <c r="BS470" s="24">
        <v>45835.59765246528</v>
      </c>
      <c r="BT470" s="24">
        <v>45835.598106620368</v>
      </c>
      <c r="BU470" s="24">
        <v>45835.598106620368</v>
      </c>
      <c r="BV470">
        <v>1</v>
      </c>
      <c r="BW470" s="24"/>
      <c r="BX470" s="24"/>
      <c r="BY470" s="24"/>
      <c r="BZ470" s="24"/>
      <c r="CB470" s="24"/>
      <c r="CC470" s="24"/>
      <c r="CE470" s="24">
        <v>45846.411204270837</v>
      </c>
      <c r="CF470" s="24">
        <v>45846.411204270837</v>
      </c>
      <c r="CG470">
        <v>1</v>
      </c>
      <c r="CH470" s="24"/>
      <c r="CI470" s="24"/>
      <c r="CJ470" s="24"/>
      <c r="CK470" s="24"/>
      <c r="DE470" s="24"/>
      <c r="DF470" s="24"/>
      <c r="DG470" s="24"/>
      <c r="DH470" s="24"/>
      <c r="DJ470" t="s">
        <v>149</v>
      </c>
      <c r="DK470" t="s">
        <v>149</v>
      </c>
      <c r="DM470">
        <v>27</v>
      </c>
      <c r="DN470">
        <v>27</v>
      </c>
      <c r="DQ470" t="s">
        <v>1000</v>
      </c>
      <c r="DR470" t="s">
        <v>149</v>
      </c>
      <c r="DS470" s="24">
        <v>46160.384426226854</v>
      </c>
    </row>
    <row r="471" spans="1:123" x14ac:dyDescent="0.3">
      <c r="A471" t="s">
        <v>721</v>
      </c>
      <c r="D471" t="s">
        <v>223</v>
      </c>
      <c r="E471" s="24">
        <v>45818.439791666664</v>
      </c>
      <c r="G471" t="s">
        <v>150</v>
      </c>
      <c r="H471" t="s">
        <v>155</v>
      </c>
      <c r="I471" s="24"/>
      <c r="J471" s="24"/>
      <c r="K471" s="24"/>
      <c r="L471" s="24"/>
      <c r="N471" s="24"/>
      <c r="O471" s="24"/>
      <c r="P471" s="24"/>
      <c r="Q471" s="24"/>
      <c r="V471" s="24"/>
      <c r="W471" s="24"/>
      <c r="X471" s="24"/>
      <c r="Y471" s="24"/>
      <c r="AA471" s="24"/>
      <c r="AB471" s="24"/>
      <c r="AC471" s="24"/>
      <c r="AD471" s="24"/>
      <c r="AF471" s="24"/>
      <c r="AG471" s="24"/>
      <c r="AH471" s="24"/>
      <c r="AI471" s="24"/>
      <c r="AK471" s="24"/>
      <c r="AL471" s="24"/>
      <c r="AM471" s="24"/>
      <c r="AN471" s="24"/>
      <c r="AP471" s="24"/>
      <c r="AQ471" s="24"/>
      <c r="AR471" s="24">
        <v>45995.572810636571</v>
      </c>
      <c r="AS471" s="24">
        <v>45995.572810636571</v>
      </c>
      <c r="AX471" s="24"/>
      <c r="AY471" s="24"/>
      <c r="AZ471" s="24"/>
      <c r="BA471" s="24"/>
      <c r="BC471" s="24"/>
      <c r="BD471" s="24"/>
      <c r="BE471" s="24"/>
      <c r="BF471" s="24"/>
      <c r="BH471" s="24"/>
      <c r="BI471" s="24"/>
      <c r="BJ471" s="24"/>
      <c r="BK471" s="24"/>
      <c r="BM471" s="24"/>
      <c r="BN471" s="24"/>
      <c r="BO471" s="24"/>
      <c r="BP471" s="24"/>
      <c r="BR471" s="24"/>
      <c r="BS471" s="24"/>
      <c r="BT471" s="24"/>
      <c r="BU471" s="24"/>
      <c r="BW471" s="24"/>
      <c r="BX471" s="24"/>
      <c r="BY471" s="24"/>
      <c r="BZ471" s="24"/>
      <c r="CB471" s="24">
        <v>45995.572810636571</v>
      </c>
      <c r="CC471" s="24">
        <v>45995.572810636571</v>
      </c>
      <c r="CD471">
        <v>1</v>
      </c>
      <c r="CE471" s="24"/>
      <c r="CF471" s="24"/>
      <c r="CH471" s="24"/>
      <c r="CI471" s="24"/>
      <c r="CJ471" s="24"/>
      <c r="CK471" s="24"/>
      <c r="DE471" s="24"/>
      <c r="DF471" s="24"/>
      <c r="DG471" s="24"/>
      <c r="DH471" s="24"/>
      <c r="DJ471" t="s">
        <v>149</v>
      </c>
      <c r="DK471" t="s">
        <v>149</v>
      </c>
      <c r="DQ471" t="s">
        <v>1000</v>
      </c>
      <c r="DR471" t="s">
        <v>149</v>
      </c>
      <c r="DS471" s="24">
        <v>46160.384426226854</v>
      </c>
    </row>
    <row r="472" spans="1:123" x14ac:dyDescent="0.3">
      <c r="A472" t="s">
        <v>722</v>
      </c>
      <c r="D472" t="s">
        <v>224</v>
      </c>
      <c r="E472" s="24">
        <v>45814.490185185183</v>
      </c>
      <c r="G472" t="s">
        <v>90</v>
      </c>
      <c r="H472" t="s">
        <v>155</v>
      </c>
      <c r="I472" s="24"/>
      <c r="J472" s="24"/>
      <c r="K472" s="24"/>
      <c r="L472" s="24"/>
      <c r="N472" s="24"/>
      <c r="O472" s="24"/>
      <c r="P472" s="24"/>
      <c r="Q472" s="24"/>
      <c r="V472" s="24"/>
      <c r="W472" s="24"/>
      <c r="X472" s="24"/>
      <c r="Y472" s="24"/>
      <c r="AA472" s="24">
        <v>45817.502005729169</v>
      </c>
      <c r="AB472" s="24">
        <v>45817.502005729169</v>
      </c>
      <c r="AC472" s="24">
        <v>45817.517966979169</v>
      </c>
      <c r="AD472" s="24">
        <v>45817.517966979169</v>
      </c>
      <c r="AE472">
        <v>1</v>
      </c>
      <c r="AF472" s="24">
        <v>45817.517966979169</v>
      </c>
      <c r="AG472" s="24">
        <v>45817.517966979169</v>
      </c>
      <c r="AH472" s="24">
        <v>45818.506273055558</v>
      </c>
      <c r="AI472" s="24">
        <v>45818.506273055558</v>
      </c>
      <c r="AJ472">
        <v>1</v>
      </c>
      <c r="AK472" s="24">
        <v>45818.506273055558</v>
      </c>
      <c r="AL472" s="24">
        <v>45818.506273055558</v>
      </c>
      <c r="AM472" s="24">
        <v>45818.637442222222</v>
      </c>
      <c r="AN472" s="24">
        <v>45818.637442222222</v>
      </c>
      <c r="AO472">
        <v>1</v>
      </c>
      <c r="AP472" s="24"/>
      <c r="AQ472" s="24"/>
      <c r="AR472" s="24">
        <v>45817.501908900464</v>
      </c>
      <c r="AS472" s="24">
        <v>45817.501908900464</v>
      </c>
      <c r="AX472" s="24"/>
      <c r="AY472" s="24"/>
      <c r="AZ472" s="24"/>
      <c r="BA472" s="24"/>
      <c r="BC472" s="24">
        <v>45818.637566226855</v>
      </c>
      <c r="BD472" s="24">
        <v>45818.637566226855</v>
      </c>
      <c r="BE472" s="24">
        <v>45820.432340659725</v>
      </c>
      <c r="BF472" s="24">
        <v>45820.432340659725</v>
      </c>
      <c r="BG472">
        <v>1</v>
      </c>
      <c r="BH472" s="24">
        <v>45817.501908900464</v>
      </c>
      <c r="BI472" s="24">
        <v>45817.501908900464</v>
      </c>
      <c r="BJ472" s="24">
        <v>45817.502005729169</v>
      </c>
      <c r="BK472" s="24">
        <v>45817.502005729169</v>
      </c>
      <c r="BL472">
        <v>1</v>
      </c>
      <c r="BM472" s="24"/>
      <c r="BN472" s="24"/>
      <c r="BO472" s="24"/>
      <c r="BP472" s="24"/>
      <c r="BR472" s="24">
        <v>45818.637442222222</v>
      </c>
      <c r="BS472" s="24">
        <v>45818.637442222222</v>
      </c>
      <c r="BT472" s="24">
        <v>45818.637566226855</v>
      </c>
      <c r="BU472" s="24">
        <v>45818.637566226855</v>
      </c>
      <c r="BV472">
        <v>1</v>
      </c>
      <c r="BW472" s="24"/>
      <c r="BX472" s="24"/>
      <c r="BY472" s="24"/>
      <c r="BZ472" s="24"/>
      <c r="CB472" s="24"/>
      <c r="CC472" s="24"/>
      <c r="CE472" s="24">
        <v>45820.432340659725</v>
      </c>
      <c r="CF472" s="24">
        <v>45820.432340659725</v>
      </c>
      <c r="CG472">
        <v>1</v>
      </c>
      <c r="CH472" s="24"/>
      <c r="CI472" s="24"/>
      <c r="CJ472" s="24"/>
      <c r="CK472" s="24"/>
      <c r="DE472" s="24"/>
      <c r="DF472" s="24"/>
      <c r="DG472" s="24"/>
      <c r="DH472" s="24"/>
      <c r="DJ472" t="s">
        <v>149</v>
      </c>
      <c r="DK472" t="s">
        <v>149</v>
      </c>
      <c r="DM472">
        <v>3</v>
      </c>
      <c r="DN472">
        <v>3</v>
      </c>
      <c r="DQ472" t="s">
        <v>1000</v>
      </c>
      <c r="DR472" t="s">
        <v>149</v>
      </c>
      <c r="DS472" s="24">
        <v>46160.384426226854</v>
      </c>
    </row>
    <row r="473" spans="1:123" x14ac:dyDescent="0.3">
      <c r="A473" t="s">
        <v>723</v>
      </c>
      <c r="D473" t="s">
        <v>223</v>
      </c>
      <c r="E473" s="24">
        <v>45814.371712962966</v>
      </c>
      <c r="G473" t="s">
        <v>90</v>
      </c>
      <c r="H473" t="s">
        <v>155</v>
      </c>
      <c r="I473" s="24"/>
      <c r="J473" s="24"/>
      <c r="K473" s="24"/>
      <c r="L473" s="24"/>
      <c r="N473" s="24"/>
      <c r="O473" s="24"/>
      <c r="P473" s="24"/>
      <c r="Q473" s="24"/>
      <c r="V473" s="24"/>
      <c r="W473" s="24"/>
      <c r="X473" s="24"/>
      <c r="Y473" s="24"/>
      <c r="AA473" s="24">
        <v>45820.389535601855</v>
      </c>
      <c r="AB473" s="24">
        <v>45820.389535601855</v>
      </c>
      <c r="AC473" s="24">
        <v>45832.362658773149</v>
      </c>
      <c r="AD473" s="24">
        <v>45832.362658773149</v>
      </c>
      <c r="AE473">
        <v>1</v>
      </c>
      <c r="AF473" s="24">
        <v>45832.362658773149</v>
      </c>
      <c r="AG473" s="24">
        <v>45832.362658773149</v>
      </c>
      <c r="AH473" s="24">
        <v>45833.411287291667</v>
      </c>
      <c r="AI473" s="24">
        <v>45833.411287291667</v>
      </c>
      <c r="AJ473">
        <v>1</v>
      </c>
      <c r="AK473" s="24"/>
      <c r="AL473" s="24"/>
      <c r="AM473" s="24"/>
      <c r="AN473" s="24"/>
      <c r="AP473" s="24"/>
      <c r="AQ473" s="24"/>
      <c r="AR473" s="24">
        <v>45818.615161099537</v>
      </c>
      <c r="AS473" s="24">
        <v>45818.615161099537</v>
      </c>
      <c r="AX473" s="24"/>
      <c r="AY473" s="24"/>
      <c r="AZ473" s="24"/>
      <c r="BA473" s="24"/>
      <c r="BC473" s="24"/>
      <c r="BD473" s="24"/>
      <c r="BE473" s="24"/>
      <c r="BF473" s="24"/>
      <c r="BH473" s="24">
        <v>45818.615161099537</v>
      </c>
      <c r="BI473" s="24">
        <v>45818.615161099537</v>
      </c>
      <c r="BJ473" s="24">
        <v>45820.389535601855</v>
      </c>
      <c r="BK473" s="24">
        <v>45820.389535601855</v>
      </c>
      <c r="BL473">
        <v>1</v>
      </c>
      <c r="BM473" s="24"/>
      <c r="BN473" s="24"/>
      <c r="BO473" s="24"/>
      <c r="BP473" s="24"/>
      <c r="BR473" s="24">
        <v>45833.411287291667</v>
      </c>
      <c r="BS473" s="24">
        <v>45833.411287291667</v>
      </c>
      <c r="BT473" s="24">
        <v>45833.411329652779</v>
      </c>
      <c r="BU473" s="24">
        <v>45833.411329652779</v>
      </c>
      <c r="BV473">
        <v>1</v>
      </c>
      <c r="BW473" s="24"/>
      <c r="BX473" s="24"/>
      <c r="BY473" s="24"/>
      <c r="BZ473" s="24"/>
      <c r="CB473" s="24"/>
      <c r="CC473" s="24"/>
      <c r="CE473" s="24">
        <v>45833.411329652779</v>
      </c>
      <c r="CF473" s="24">
        <v>45833.411329652779</v>
      </c>
      <c r="CG473">
        <v>1</v>
      </c>
      <c r="CH473" s="24"/>
      <c r="CI473" s="24"/>
      <c r="CJ473" s="24"/>
      <c r="CK473" s="24"/>
      <c r="DE473" s="24"/>
      <c r="DF473" s="24"/>
      <c r="DG473" s="24"/>
      <c r="DH473" s="24"/>
      <c r="DJ473" t="s">
        <v>149</v>
      </c>
      <c r="DK473" t="s">
        <v>149</v>
      </c>
      <c r="DM473">
        <v>15</v>
      </c>
      <c r="DN473">
        <v>14</v>
      </c>
      <c r="DQ473" t="s">
        <v>1000</v>
      </c>
      <c r="DR473" t="s">
        <v>149</v>
      </c>
      <c r="DS473" s="24">
        <v>46160.384426226854</v>
      </c>
    </row>
    <row r="474" spans="1:123" x14ac:dyDescent="0.3">
      <c r="A474" t="s">
        <v>724</v>
      </c>
      <c r="D474" t="s">
        <v>223</v>
      </c>
      <c r="E474" s="24">
        <v>45813.711805555555</v>
      </c>
      <c r="G474" t="s">
        <v>90</v>
      </c>
      <c r="H474" t="s">
        <v>155</v>
      </c>
      <c r="I474" s="24"/>
      <c r="J474" s="24"/>
      <c r="K474" s="24"/>
      <c r="L474" s="24"/>
      <c r="N474" s="24">
        <v>45826.386799456021</v>
      </c>
      <c r="O474" s="24">
        <v>45826.386799456021</v>
      </c>
      <c r="P474" s="24">
        <v>45838.690186539352</v>
      </c>
      <c r="Q474" s="24">
        <v>45838.690186539352</v>
      </c>
      <c r="R474">
        <v>1</v>
      </c>
      <c r="V474" s="24"/>
      <c r="W474" s="24"/>
      <c r="X474" s="24"/>
      <c r="Y474" s="24"/>
      <c r="AA474" s="24">
        <v>45838.690186539352</v>
      </c>
      <c r="AB474" s="24">
        <v>45819.365270462964</v>
      </c>
      <c r="AC474" s="24">
        <v>45826.386799456021</v>
      </c>
      <c r="AD474" s="24">
        <v>45846.43093072917</v>
      </c>
      <c r="AE474">
        <v>2</v>
      </c>
      <c r="AF474" s="24">
        <v>45846.43093072917</v>
      </c>
      <c r="AG474" s="24">
        <v>45846.43093072917</v>
      </c>
      <c r="AH474" s="24">
        <v>45846.430995358794</v>
      </c>
      <c r="AI474" s="24">
        <v>45846.430995358794</v>
      </c>
      <c r="AJ474">
        <v>1</v>
      </c>
      <c r="AK474" s="24"/>
      <c r="AL474" s="24"/>
      <c r="AM474" s="24"/>
      <c r="AN474" s="24"/>
      <c r="AP474" s="24"/>
      <c r="AQ474" s="24"/>
      <c r="AR474" s="24">
        <v>45818.615068206018</v>
      </c>
      <c r="AS474" s="24">
        <v>45818.615068206018</v>
      </c>
      <c r="AX474" s="24"/>
      <c r="AY474" s="24"/>
      <c r="AZ474" s="24"/>
      <c r="BA474" s="24"/>
      <c r="BC474" s="24"/>
      <c r="BD474" s="24"/>
      <c r="BE474" s="24"/>
      <c r="BF474" s="24"/>
      <c r="BH474" s="24">
        <v>45818.615068206018</v>
      </c>
      <c r="BI474" s="24">
        <v>45818.615068206018</v>
      </c>
      <c r="BJ474" s="24">
        <v>45819.365270462964</v>
      </c>
      <c r="BK474" s="24">
        <v>45819.365270462964</v>
      </c>
      <c r="BL474">
        <v>1</v>
      </c>
      <c r="BM474" s="24"/>
      <c r="BN474" s="24"/>
      <c r="BO474" s="24"/>
      <c r="BP474" s="24"/>
      <c r="BR474" s="24"/>
      <c r="BS474" s="24"/>
      <c r="BT474" s="24"/>
      <c r="BU474" s="24"/>
      <c r="BW474" s="24"/>
      <c r="BX474" s="24"/>
      <c r="BY474" s="24"/>
      <c r="BZ474" s="24"/>
      <c r="CB474" s="24"/>
      <c r="CC474" s="24"/>
      <c r="CE474" s="24">
        <v>45846.430995358794</v>
      </c>
      <c r="CF474" s="24">
        <v>45846.430995358794</v>
      </c>
      <c r="CG474">
        <v>1</v>
      </c>
      <c r="CH474" s="24"/>
      <c r="CI474" s="24"/>
      <c r="CJ474" s="24"/>
      <c r="CK474" s="24"/>
      <c r="DE474" s="24"/>
      <c r="DF474" s="24"/>
      <c r="DG474" s="24"/>
      <c r="DH474" s="24"/>
      <c r="DJ474" t="s">
        <v>149</v>
      </c>
      <c r="DK474" t="s">
        <v>149</v>
      </c>
      <c r="DL474">
        <v>12.303387037037037</v>
      </c>
      <c r="DM474">
        <v>28</v>
      </c>
      <c r="DN474">
        <v>28</v>
      </c>
      <c r="DQ474" t="s">
        <v>1000</v>
      </c>
      <c r="DR474" t="s">
        <v>149</v>
      </c>
      <c r="DS474" s="24">
        <v>46160.384426226854</v>
      </c>
    </row>
    <row r="475" spans="1:123" x14ac:dyDescent="0.3">
      <c r="A475" t="s">
        <v>725</v>
      </c>
      <c r="D475" t="s">
        <v>223</v>
      </c>
      <c r="E475" s="24">
        <v>45813.437291666669</v>
      </c>
      <c r="G475" t="s">
        <v>90</v>
      </c>
      <c r="H475" t="s">
        <v>155</v>
      </c>
      <c r="I475" s="24"/>
      <c r="J475" s="24"/>
      <c r="K475" s="24"/>
      <c r="L475" s="24"/>
      <c r="N475" s="24"/>
      <c r="O475" s="24"/>
      <c r="P475" s="24"/>
      <c r="Q475" s="24"/>
      <c r="V475" s="24"/>
      <c r="W475" s="24"/>
      <c r="X475" s="24"/>
      <c r="Y475" s="24"/>
      <c r="AA475" s="24">
        <v>45820.342066215278</v>
      </c>
      <c r="AB475" s="24">
        <v>45820.342066215278</v>
      </c>
      <c r="AC475" s="24">
        <v>45831.497404791669</v>
      </c>
      <c r="AD475" s="24">
        <v>45831.497404791669</v>
      </c>
      <c r="AE475">
        <v>1</v>
      </c>
      <c r="AF475" s="24"/>
      <c r="AG475" s="24"/>
      <c r="AH475" s="24"/>
      <c r="AI475" s="24"/>
      <c r="AK475" s="24"/>
      <c r="AL475" s="24"/>
      <c r="AM475" s="24"/>
      <c r="AN475" s="24"/>
      <c r="AP475" s="24"/>
      <c r="AQ475" s="24"/>
      <c r="AR475" s="24">
        <v>45818.615236215279</v>
      </c>
      <c r="AS475" s="24">
        <v>45818.615236215279</v>
      </c>
      <c r="AX475" s="24"/>
      <c r="AY475" s="24"/>
      <c r="AZ475" s="24"/>
      <c r="BA475" s="24"/>
      <c r="BC475" s="24"/>
      <c r="BD475" s="24"/>
      <c r="BE475" s="24"/>
      <c r="BF475" s="24"/>
      <c r="BH475" s="24">
        <v>45818.615236215279</v>
      </c>
      <c r="BI475" s="24">
        <v>45818.615236215279</v>
      </c>
      <c r="BJ475" s="24">
        <v>45820.342066215278</v>
      </c>
      <c r="BK475" s="24">
        <v>45820.342066215278</v>
      </c>
      <c r="BL475">
        <v>1</v>
      </c>
      <c r="BM475" s="24"/>
      <c r="BN475" s="24"/>
      <c r="BO475" s="24"/>
      <c r="BP475" s="24"/>
      <c r="BR475" s="24">
        <v>45831.497404791669</v>
      </c>
      <c r="BS475" s="24">
        <v>45831.497404791669</v>
      </c>
      <c r="BT475" s="24">
        <v>45831.497509513887</v>
      </c>
      <c r="BU475" s="24">
        <v>45831.497509513887</v>
      </c>
      <c r="BV475">
        <v>1</v>
      </c>
      <c r="BW475" s="24"/>
      <c r="BX475" s="24"/>
      <c r="BY475" s="24"/>
      <c r="BZ475" s="24"/>
      <c r="CB475" s="24"/>
      <c r="CC475" s="24"/>
      <c r="CE475" s="24">
        <v>45831.497509513887</v>
      </c>
      <c r="CF475" s="24">
        <v>45831.497509513887</v>
      </c>
      <c r="CG475">
        <v>1</v>
      </c>
      <c r="CH475" s="24"/>
      <c r="CI475" s="24"/>
      <c r="CJ475" s="24"/>
      <c r="CK475" s="24"/>
      <c r="DE475" s="24"/>
      <c r="DF475" s="24"/>
      <c r="DG475" s="24"/>
      <c r="DH475" s="24"/>
      <c r="DJ475" t="s">
        <v>149</v>
      </c>
      <c r="DK475" t="s">
        <v>149</v>
      </c>
      <c r="DM475">
        <v>13</v>
      </c>
      <c r="DN475">
        <v>12</v>
      </c>
      <c r="DQ475" t="s">
        <v>1000</v>
      </c>
      <c r="DR475" t="s">
        <v>149</v>
      </c>
      <c r="DS475" s="24">
        <v>46160.384426226854</v>
      </c>
    </row>
    <row r="476" spans="1:123" x14ac:dyDescent="0.3">
      <c r="A476" t="s">
        <v>726</v>
      </c>
      <c r="D476" t="s">
        <v>225</v>
      </c>
      <c r="E476" s="24">
        <v>45813.429942129631</v>
      </c>
      <c r="G476" t="s">
        <v>90</v>
      </c>
      <c r="H476" t="s">
        <v>155</v>
      </c>
      <c r="I476" s="24"/>
      <c r="J476" s="24"/>
      <c r="K476" s="24"/>
      <c r="L476" s="24"/>
      <c r="N476" s="24"/>
      <c r="O476" s="24"/>
      <c r="P476" s="24"/>
      <c r="Q476" s="24"/>
      <c r="V476" s="24"/>
      <c r="W476" s="24"/>
      <c r="X476" s="24"/>
      <c r="Y476" s="24"/>
      <c r="AA476" s="24">
        <v>45820.409736238427</v>
      </c>
      <c r="AB476" s="24">
        <v>45820.409736238427</v>
      </c>
      <c r="AC476" s="24">
        <v>45826.597785601851</v>
      </c>
      <c r="AD476" s="24">
        <v>45826.597785601851</v>
      </c>
      <c r="AE476">
        <v>1</v>
      </c>
      <c r="AF476" s="24">
        <v>45826.597785601851</v>
      </c>
      <c r="AG476" s="24">
        <v>45826.597785601851</v>
      </c>
      <c r="AH476" s="24">
        <v>45828.452264328705</v>
      </c>
      <c r="AI476" s="24">
        <v>45828.452264328705</v>
      </c>
      <c r="AJ476">
        <v>1</v>
      </c>
      <c r="AK476" s="24">
        <v>45828.452264328705</v>
      </c>
      <c r="AL476" s="24">
        <v>45828.452264328705</v>
      </c>
      <c r="AM476" s="24">
        <v>45831.401220891203</v>
      </c>
      <c r="AN476" s="24">
        <v>45831.401220891203</v>
      </c>
      <c r="AO476">
        <v>1</v>
      </c>
      <c r="AP476" s="24"/>
      <c r="AQ476" s="24"/>
      <c r="AR476" s="24">
        <v>45818.612973761577</v>
      </c>
      <c r="AS476" s="24">
        <v>45818.612973761577</v>
      </c>
      <c r="AX476" s="24"/>
      <c r="AY476" s="24"/>
      <c r="AZ476" s="24"/>
      <c r="BA476" s="24"/>
      <c r="BC476" s="24">
        <v>45831.401350127315</v>
      </c>
      <c r="BD476" s="24">
        <v>45831.401350127315</v>
      </c>
      <c r="BE476" s="24">
        <v>45833.39030634259</v>
      </c>
      <c r="BF476" s="24">
        <v>45833.39030634259</v>
      </c>
      <c r="BG476">
        <v>1</v>
      </c>
      <c r="BH476" s="24">
        <v>45818.612973761577</v>
      </c>
      <c r="BI476" s="24">
        <v>45818.612973761577</v>
      </c>
      <c r="BJ476" s="24">
        <v>45820.409736238427</v>
      </c>
      <c r="BK476" s="24">
        <v>45820.409736238427</v>
      </c>
      <c r="BL476">
        <v>1</v>
      </c>
      <c r="BM476" s="24"/>
      <c r="BN476" s="24"/>
      <c r="BO476" s="24"/>
      <c r="BP476" s="24"/>
      <c r="BR476" s="24">
        <v>45831.401220891203</v>
      </c>
      <c r="BS476" s="24">
        <v>45831.401220891203</v>
      </c>
      <c r="BT476" s="24">
        <v>45831.401350127315</v>
      </c>
      <c r="BU476" s="24">
        <v>45831.401350127315</v>
      </c>
      <c r="BV476">
        <v>1</v>
      </c>
      <c r="BW476" s="24"/>
      <c r="BX476" s="24"/>
      <c r="BY476" s="24"/>
      <c r="BZ476" s="24"/>
      <c r="CB476" s="24"/>
      <c r="CC476" s="24"/>
      <c r="CE476" s="24">
        <v>45833.39030634259</v>
      </c>
      <c r="CF476" s="24">
        <v>45833.39030634259</v>
      </c>
      <c r="CG476">
        <v>1</v>
      </c>
      <c r="CH476" s="24"/>
      <c r="CI476" s="24"/>
      <c r="CJ476" s="24"/>
      <c r="CK476" s="24"/>
      <c r="DE476" s="24"/>
      <c r="DF476" s="24"/>
      <c r="DG476" s="24"/>
      <c r="DH476" s="24"/>
      <c r="DJ476" t="s">
        <v>149</v>
      </c>
      <c r="DK476" t="s">
        <v>149</v>
      </c>
      <c r="DM476">
        <v>15</v>
      </c>
      <c r="DN476">
        <v>13</v>
      </c>
      <c r="DQ476" t="s">
        <v>1000</v>
      </c>
      <c r="DR476" t="s">
        <v>149</v>
      </c>
      <c r="DS476" s="24">
        <v>46160.384426226854</v>
      </c>
    </row>
    <row r="477" spans="1:123" x14ac:dyDescent="0.3">
      <c r="A477" t="s">
        <v>727</v>
      </c>
      <c r="D477" t="s">
        <v>223</v>
      </c>
      <c r="E477" s="24">
        <v>45813.415543981479</v>
      </c>
      <c r="G477" t="s">
        <v>90</v>
      </c>
      <c r="H477" t="s">
        <v>155</v>
      </c>
      <c r="I477" s="24">
        <v>45889.405659178243</v>
      </c>
      <c r="J477" s="24">
        <v>45889.405659178243</v>
      </c>
      <c r="K477" s="24">
        <v>45889.405780335648</v>
      </c>
      <c r="L477" s="24">
        <v>45889.405780335648</v>
      </c>
      <c r="M477">
        <v>1</v>
      </c>
      <c r="N477" s="24"/>
      <c r="O477" s="24"/>
      <c r="P477" s="24"/>
      <c r="Q477" s="24"/>
      <c r="V477" s="24"/>
      <c r="W477" s="24"/>
      <c r="X477" s="24"/>
      <c r="Y477" s="24"/>
      <c r="AA477" s="24">
        <v>45896.548391354168</v>
      </c>
      <c r="AB477" s="24">
        <v>45889.339489849539</v>
      </c>
      <c r="AC477" s="24">
        <v>45889.340635520835</v>
      </c>
      <c r="AD477" s="24">
        <v>45897.344167233794</v>
      </c>
      <c r="AE477">
        <v>3</v>
      </c>
      <c r="AF477" s="24">
        <v>45897.344167233794</v>
      </c>
      <c r="AG477" s="24">
        <v>45897.344167233794</v>
      </c>
      <c r="AH477" s="24">
        <v>45898.570669432869</v>
      </c>
      <c r="AI477" s="24">
        <v>45898.570669432869</v>
      </c>
      <c r="AJ477">
        <v>1</v>
      </c>
      <c r="AK477" s="24"/>
      <c r="AL477" s="24"/>
      <c r="AM477" s="24"/>
      <c r="AN477" s="24"/>
      <c r="AP477" s="24"/>
      <c r="AQ477" s="24"/>
      <c r="AR477" s="24">
        <v>45860.481573437501</v>
      </c>
      <c r="AS477" s="24">
        <v>45860.481573437501</v>
      </c>
      <c r="AX477" s="24"/>
      <c r="AY477" s="24"/>
      <c r="AZ477" s="24"/>
      <c r="BA477" s="24"/>
      <c r="BC477" s="24"/>
      <c r="BD477" s="24"/>
      <c r="BE477" s="24"/>
      <c r="BF477" s="24"/>
      <c r="BH477" s="24">
        <v>45889.405780335648</v>
      </c>
      <c r="BI477" s="24">
        <v>45860.481573437501</v>
      </c>
      <c r="BJ477" s="24">
        <v>45889.339489849539</v>
      </c>
      <c r="BK477" s="24">
        <v>45896.548391354168</v>
      </c>
      <c r="BL477">
        <v>2</v>
      </c>
      <c r="BM477" s="24"/>
      <c r="BN477" s="24"/>
      <c r="BO477" s="24"/>
      <c r="BP477" s="24"/>
      <c r="BR477" s="24">
        <v>45898.570669432869</v>
      </c>
      <c r="BS477" s="24">
        <v>45889.340635520835</v>
      </c>
      <c r="BT477" s="24">
        <v>45889.342282800928</v>
      </c>
      <c r="BU477" s="24">
        <v>45898.609790405091</v>
      </c>
      <c r="BV477">
        <v>2</v>
      </c>
      <c r="BW477" s="24"/>
      <c r="BX477" s="24"/>
      <c r="BY477" s="24"/>
      <c r="BZ477" s="24"/>
      <c r="CB477" s="24"/>
      <c r="CC477" s="24"/>
      <c r="CE477" s="24">
        <v>45898.609790405091</v>
      </c>
      <c r="CF477" s="24">
        <v>45898.609790405091</v>
      </c>
      <c r="CG477">
        <v>1</v>
      </c>
      <c r="CH477" s="24"/>
      <c r="CI477" s="24"/>
      <c r="CJ477" s="24"/>
      <c r="CK477" s="24"/>
      <c r="DE477" s="24"/>
      <c r="DF477" s="24"/>
      <c r="DG477" s="24"/>
      <c r="DH477" s="24"/>
      <c r="DJ477" t="s">
        <v>149</v>
      </c>
      <c r="DK477" t="s">
        <v>149</v>
      </c>
      <c r="DM477">
        <v>39</v>
      </c>
      <c r="DN477">
        <v>10</v>
      </c>
      <c r="DQ477" t="s">
        <v>1000</v>
      </c>
      <c r="DR477" t="s">
        <v>149</v>
      </c>
      <c r="DS477" s="24">
        <v>46160.384426226854</v>
      </c>
    </row>
    <row r="478" spans="1:123" x14ac:dyDescent="0.3">
      <c r="A478" t="s">
        <v>728</v>
      </c>
      <c r="D478" t="s">
        <v>224</v>
      </c>
      <c r="E478" s="24">
        <v>45812.36278935185</v>
      </c>
      <c r="G478" t="s">
        <v>90</v>
      </c>
      <c r="H478" t="s">
        <v>155</v>
      </c>
      <c r="I478" s="24"/>
      <c r="J478" s="24"/>
      <c r="K478" s="24"/>
      <c r="L478" s="24"/>
      <c r="N478" s="24"/>
      <c r="O478" s="24"/>
      <c r="P478" s="24"/>
      <c r="Q478" s="24"/>
      <c r="V478" s="24"/>
      <c r="W478" s="24"/>
      <c r="X478" s="24"/>
      <c r="Y478" s="24"/>
      <c r="AA478" s="24">
        <v>45817.627483622688</v>
      </c>
      <c r="AB478" s="24">
        <v>45817.627483622688</v>
      </c>
      <c r="AC478" s="24">
        <v>45817.632211898148</v>
      </c>
      <c r="AD478" s="24">
        <v>45817.632211898148</v>
      </c>
      <c r="AE478">
        <v>1</v>
      </c>
      <c r="AF478" s="24">
        <v>45817.632211898148</v>
      </c>
      <c r="AG478" s="24">
        <v>45817.632211898148</v>
      </c>
      <c r="AH478" s="24">
        <v>45818.519181643518</v>
      </c>
      <c r="AI478" s="24">
        <v>45818.519181643518</v>
      </c>
      <c r="AJ478">
        <v>1</v>
      </c>
      <c r="AK478" s="24">
        <v>45818.519181643518</v>
      </c>
      <c r="AL478" s="24">
        <v>45818.519181643518</v>
      </c>
      <c r="AM478" s="24">
        <v>45818.605749282404</v>
      </c>
      <c r="AN478" s="24">
        <v>45818.605749282404</v>
      </c>
      <c r="AO478">
        <v>1</v>
      </c>
      <c r="AP478" s="24"/>
      <c r="AQ478" s="24"/>
      <c r="AR478" s="24">
        <v>45817.627380127313</v>
      </c>
      <c r="AS478" s="24">
        <v>45817.627380127313</v>
      </c>
      <c r="AX478" s="24"/>
      <c r="AY478" s="24"/>
      <c r="AZ478" s="24"/>
      <c r="BA478" s="24"/>
      <c r="BC478" s="24">
        <v>45818.60585162037</v>
      </c>
      <c r="BD478" s="24">
        <v>45818.60585162037</v>
      </c>
      <c r="BE478" s="24">
        <v>45820.432340659725</v>
      </c>
      <c r="BF478" s="24">
        <v>45820.432340659725</v>
      </c>
      <c r="BG478">
        <v>1</v>
      </c>
      <c r="BH478" s="24">
        <v>45817.627380127313</v>
      </c>
      <c r="BI478" s="24">
        <v>45817.627380127313</v>
      </c>
      <c r="BJ478" s="24">
        <v>45817.627483622688</v>
      </c>
      <c r="BK478" s="24">
        <v>45817.627483622688</v>
      </c>
      <c r="BL478">
        <v>1</v>
      </c>
      <c r="BM478" s="24"/>
      <c r="BN478" s="24"/>
      <c r="BO478" s="24"/>
      <c r="BP478" s="24"/>
      <c r="BR478" s="24">
        <v>45818.605749282404</v>
      </c>
      <c r="BS478" s="24">
        <v>45818.605749282404</v>
      </c>
      <c r="BT478" s="24">
        <v>45818.60585162037</v>
      </c>
      <c r="BU478" s="24">
        <v>45818.60585162037</v>
      </c>
      <c r="BV478">
        <v>1</v>
      </c>
      <c r="BW478" s="24"/>
      <c r="BX478" s="24"/>
      <c r="BY478" s="24"/>
      <c r="BZ478" s="24"/>
      <c r="CB478" s="24"/>
      <c r="CC478" s="24"/>
      <c r="CE478" s="24">
        <v>45820.432340659725</v>
      </c>
      <c r="CF478" s="24">
        <v>45820.432340659725</v>
      </c>
      <c r="CG478">
        <v>1</v>
      </c>
      <c r="CH478" s="24"/>
      <c r="CI478" s="24"/>
      <c r="CJ478" s="24"/>
      <c r="CK478" s="24"/>
      <c r="DE478" s="24"/>
      <c r="DF478" s="24"/>
      <c r="DG478" s="24"/>
      <c r="DH478" s="24"/>
      <c r="DJ478" t="s">
        <v>149</v>
      </c>
      <c r="DK478" t="s">
        <v>149</v>
      </c>
      <c r="DM478">
        <v>3</v>
      </c>
      <c r="DN478">
        <v>3</v>
      </c>
      <c r="DQ478" t="s">
        <v>1000</v>
      </c>
      <c r="DR478" t="s">
        <v>149</v>
      </c>
      <c r="DS478" s="24">
        <v>46160.384426226854</v>
      </c>
    </row>
    <row r="479" spans="1:123" x14ac:dyDescent="0.3">
      <c r="A479" t="s">
        <v>729</v>
      </c>
      <c r="D479" t="s">
        <v>225</v>
      </c>
      <c r="E479" s="24">
        <v>45812.349421296298</v>
      </c>
      <c r="G479" t="s">
        <v>90</v>
      </c>
      <c r="H479" t="s">
        <v>155</v>
      </c>
      <c r="I479" s="24"/>
      <c r="J479" s="24"/>
      <c r="K479" s="24"/>
      <c r="L479" s="24"/>
      <c r="N479" s="24"/>
      <c r="O479" s="24"/>
      <c r="P479" s="24"/>
      <c r="Q479" s="24"/>
      <c r="V479" s="24"/>
      <c r="W479" s="24"/>
      <c r="X479" s="24"/>
      <c r="Y479" s="24"/>
      <c r="AA479" s="24">
        <v>45817.455235428242</v>
      </c>
      <c r="AB479" s="24">
        <v>45817.455235428242</v>
      </c>
      <c r="AC479" s="24">
        <v>45817.501578993055</v>
      </c>
      <c r="AD479" s="24">
        <v>45817.501578993055</v>
      </c>
      <c r="AE479">
        <v>1</v>
      </c>
      <c r="AF479" s="24">
        <v>45817.501578993055</v>
      </c>
      <c r="AG479" s="24">
        <v>45817.501578993055</v>
      </c>
      <c r="AH479" s="24">
        <v>45818.408812974536</v>
      </c>
      <c r="AI479" s="24">
        <v>45818.408812974536</v>
      </c>
      <c r="AJ479">
        <v>1</v>
      </c>
      <c r="AK479" s="24">
        <v>45818.408812974536</v>
      </c>
      <c r="AL479" s="24">
        <v>45818.408812974536</v>
      </c>
      <c r="AM479" s="24">
        <v>45819.404627453703</v>
      </c>
      <c r="AN479" s="24">
        <v>45819.404627453703</v>
      </c>
      <c r="AO479">
        <v>1</v>
      </c>
      <c r="AP479" s="24"/>
      <c r="AQ479" s="24"/>
      <c r="AR479" s="24">
        <v>45812.350487280091</v>
      </c>
      <c r="AS479" s="24">
        <v>45812.350487280091</v>
      </c>
      <c r="AX479" s="24"/>
      <c r="AY479" s="24"/>
      <c r="AZ479" s="24"/>
      <c r="BA479" s="24"/>
      <c r="BC479" s="24">
        <v>45819.404897002314</v>
      </c>
      <c r="BD479" s="24">
        <v>45819.404897002314</v>
      </c>
      <c r="BE479" s="24">
        <v>45820.432340671294</v>
      </c>
      <c r="BF479" s="24">
        <v>45820.432340671294</v>
      </c>
      <c r="BG479">
        <v>1</v>
      </c>
      <c r="BH479" s="24">
        <v>45812.350487280091</v>
      </c>
      <c r="BI479" s="24">
        <v>45812.350487280091</v>
      </c>
      <c r="BJ479" s="24">
        <v>45817.455235428242</v>
      </c>
      <c r="BK479" s="24">
        <v>45817.455235428242</v>
      </c>
      <c r="BL479">
        <v>1</v>
      </c>
      <c r="BM479" s="24"/>
      <c r="BN479" s="24"/>
      <c r="BO479" s="24"/>
      <c r="BP479" s="24"/>
      <c r="BR479" s="24">
        <v>45819.404627453703</v>
      </c>
      <c r="BS479" s="24">
        <v>45819.404627453703</v>
      </c>
      <c r="BT479" s="24">
        <v>45819.404897002314</v>
      </c>
      <c r="BU479" s="24">
        <v>45819.404897002314</v>
      </c>
      <c r="BV479">
        <v>1</v>
      </c>
      <c r="BW479" s="24"/>
      <c r="BX479" s="24"/>
      <c r="BY479" s="24"/>
      <c r="BZ479" s="24"/>
      <c r="CB479" s="24"/>
      <c r="CC479" s="24"/>
      <c r="CE479" s="24">
        <v>45820.432340671294</v>
      </c>
      <c r="CF479" s="24">
        <v>45820.432340671294</v>
      </c>
      <c r="CG479">
        <v>1</v>
      </c>
      <c r="CH479" s="24"/>
      <c r="CI479" s="24"/>
      <c r="CJ479" s="24"/>
      <c r="CK479" s="24"/>
      <c r="DE479" s="24"/>
      <c r="DF479" s="24"/>
      <c r="DG479" s="24"/>
      <c r="DH479" s="24"/>
      <c r="DJ479" t="s">
        <v>149</v>
      </c>
      <c r="DK479" t="s">
        <v>149</v>
      </c>
      <c r="DM479">
        <v>9</v>
      </c>
      <c r="DN479">
        <v>3</v>
      </c>
      <c r="DQ479" t="s">
        <v>1000</v>
      </c>
      <c r="DR479" t="s">
        <v>149</v>
      </c>
      <c r="DS479" s="24">
        <v>46160.384426226854</v>
      </c>
    </row>
    <row r="480" spans="1:123" x14ac:dyDescent="0.3">
      <c r="A480" t="s">
        <v>730</v>
      </c>
      <c r="D480" t="s">
        <v>225</v>
      </c>
      <c r="E480" s="24">
        <v>45812.346898148149</v>
      </c>
      <c r="G480" t="s">
        <v>90</v>
      </c>
      <c r="H480" t="s">
        <v>155</v>
      </c>
      <c r="I480" s="24"/>
      <c r="J480" s="24"/>
      <c r="K480" s="24"/>
      <c r="L480" s="24"/>
      <c r="N480" s="24"/>
      <c r="O480" s="24"/>
      <c r="P480" s="24"/>
      <c r="Q480" s="24"/>
      <c r="V480" s="24"/>
      <c r="W480" s="24"/>
      <c r="X480" s="24"/>
      <c r="Y480" s="24"/>
      <c r="AA480" s="24">
        <v>45817.420653159723</v>
      </c>
      <c r="AB480" s="24">
        <v>45817.420653159723</v>
      </c>
      <c r="AC480" s="24">
        <v>45817.435873206021</v>
      </c>
      <c r="AD480" s="24">
        <v>45817.435873206021</v>
      </c>
      <c r="AE480">
        <v>1</v>
      </c>
      <c r="AF480" s="24">
        <v>45817.435873206021</v>
      </c>
      <c r="AG480" s="24">
        <v>45817.435873206021</v>
      </c>
      <c r="AH480" s="24">
        <v>45818.410781944447</v>
      </c>
      <c r="AI480" s="24">
        <v>45818.410781944447</v>
      </c>
      <c r="AJ480">
        <v>1</v>
      </c>
      <c r="AK480" s="24">
        <v>45818.410781944447</v>
      </c>
      <c r="AL480" s="24">
        <v>45818.410781944447</v>
      </c>
      <c r="AM480" s="24">
        <v>45819.4045812037</v>
      </c>
      <c r="AN480" s="24">
        <v>45819.4045812037</v>
      </c>
      <c r="AO480">
        <v>1</v>
      </c>
      <c r="AP480" s="24"/>
      <c r="AQ480" s="24"/>
      <c r="AR480" s="24">
        <v>45812.348888657405</v>
      </c>
      <c r="AS480" s="24">
        <v>45812.348888657405</v>
      </c>
      <c r="AX480" s="24"/>
      <c r="AY480" s="24"/>
      <c r="AZ480" s="24"/>
      <c r="BA480" s="24"/>
      <c r="BC480" s="24">
        <v>45819.404835416666</v>
      </c>
      <c r="BD480" s="24">
        <v>45819.404835416666</v>
      </c>
      <c r="BE480" s="24">
        <v>45820.432340902778</v>
      </c>
      <c r="BF480" s="24">
        <v>45820.432340902778</v>
      </c>
      <c r="BG480">
        <v>1</v>
      </c>
      <c r="BH480" s="24">
        <v>45812.348888657405</v>
      </c>
      <c r="BI480" s="24">
        <v>45812.348888657405</v>
      </c>
      <c r="BJ480" s="24">
        <v>45817.420653159723</v>
      </c>
      <c r="BK480" s="24">
        <v>45817.420653159723</v>
      </c>
      <c r="BL480">
        <v>1</v>
      </c>
      <c r="BM480" s="24"/>
      <c r="BN480" s="24"/>
      <c r="BO480" s="24"/>
      <c r="BP480" s="24"/>
      <c r="BR480" s="24">
        <v>45819.4045812037</v>
      </c>
      <c r="BS480" s="24">
        <v>45819.4045812037</v>
      </c>
      <c r="BT480" s="24">
        <v>45819.404835416666</v>
      </c>
      <c r="BU480" s="24">
        <v>45819.404835416666</v>
      </c>
      <c r="BV480">
        <v>1</v>
      </c>
      <c r="BW480" s="24"/>
      <c r="BX480" s="24"/>
      <c r="BY480" s="24"/>
      <c r="BZ480" s="24"/>
      <c r="CB480" s="24"/>
      <c r="CC480" s="24"/>
      <c r="CE480" s="24">
        <v>45820.432340902778</v>
      </c>
      <c r="CF480" s="24">
        <v>45820.432340902778</v>
      </c>
      <c r="CG480">
        <v>1</v>
      </c>
      <c r="CH480" s="24"/>
      <c r="CI480" s="24"/>
      <c r="CJ480" s="24"/>
      <c r="CK480" s="24"/>
      <c r="DE480" s="24"/>
      <c r="DF480" s="24"/>
      <c r="DG480" s="24"/>
      <c r="DH480" s="24"/>
      <c r="DJ480" t="s">
        <v>149</v>
      </c>
      <c r="DK480" t="s">
        <v>149</v>
      </c>
      <c r="DM480">
        <v>9</v>
      </c>
      <c r="DN480">
        <v>4</v>
      </c>
      <c r="DQ480" t="s">
        <v>1000</v>
      </c>
      <c r="DR480" t="s">
        <v>149</v>
      </c>
      <c r="DS480" s="24">
        <v>46160.384426226854</v>
      </c>
    </row>
    <row r="481" spans="1:123" x14ac:dyDescent="0.3">
      <c r="A481" t="s">
        <v>731</v>
      </c>
      <c r="D481" t="s">
        <v>223</v>
      </c>
      <c r="E481" s="24">
        <v>45811.404756944445</v>
      </c>
      <c r="G481" t="s">
        <v>90</v>
      </c>
      <c r="H481" t="s">
        <v>155</v>
      </c>
      <c r="I481" s="24"/>
      <c r="J481" s="24"/>
      <c r="K481" s="24"/>
      <c r="L481" s="24"/>
      <c r="N481" s="24"/>
      <c r="O481" s="24"/>
      <c r="P481" s="24"/>
      <c r="Q481" s="24"/>
      <c r="V481" s="24"/>
      <c r="W481" s="24"/>
      <c r="X481" s="24"/>
      <c r="Y481" s="24"/>
      <c r="AA481" s="24">
        <v>45818.639556562499</v>
      </c>
      <c r="AB481" s="24">
        <v>45818.639556562499</v>
      </c>
      <c r="AC481" s="24">
        <v>45825.370528310188</v>
      </c>
      <c r="AD481" s="24">
        <v>45825.370528310188</v>
      </c>
      <c r="AE481">
        <v>1</v>
      </c>
      <c r="AF481" s="24">
        <v>45825.370528310188</v>
      </c>
      <c r="AG481" s="24">
        <v>45825.370528310188</v>
      </c>
      <c r="AH481" s="24">
        <v>45826.417671782408</v>
      </c>
      <c r="AI481" s="24">
        <v>45826.417671782408</v>
      </c>
      <c r="AJ481">
        <v>1</v>
      </c>
      <c r="AK481" s="24"/>
      <c r="AL481" s="24"/>
      <c r="AM481" s="24"/>
      <c r="AN481" s="24"/>
      <c r="AP481" s="24"/>
      <c r="AQ481" s="24"/>
      <c r="AR481" s="24">
        <v>45818.615374120367</v>
      </c>
      <c r="AS481" s="24">
        <v>45818.615374120367</v>
      </c>
      <c r="AX481" s="24"/>
      <c r="AY481" s="24"/>
      <c r="AZ481" s="24"/>
      <c r="BA481" s="24"/>
      <c r="BC481" s="24"/>
      <c r="BD481" s="24"/>
      <c r="BE481" s="24"/>
      <c r="BF481" s="24"/>
      <c r="BH481" s="24">
        <v>45818.615374120367</v>
      </c>
      <c r="BI481" s="24">
        <v>45818.615374120367</v>
      </c>
      <c r="BJ481" s="24">
        <v>45818.639556562499</v>
      </c>
      <c r="BK481" s="24">
        <v>45818.639556562499</v>
      </c>
      <c r="BL481">
        <v>1</v>
      </c>
      <c r="BM481" s="24"/>
      <c r="BN481" s="24"/>
      <c r="BO481" s="24"/>
      <c r="BP481" s="24"/>
      <c r="BR481" s="24">
        <v>45826.417671782408</v>
      </c>
      <c r="BS481" s="24">
        <v>45826.417671782408</v>
      </c>
      <c r="BT481" s="24">
        <v>45826.41771548611</v>
      </c>
      <c r="BU481" s="24">
        <v>45826.41771548611</v>
      </c>
      <c r="BV481">
        <v>1</v>
      </c>
      <c r="BW481" s="24"/>
      <c r="BX481" s="24"/>
      <c r="BY481" s="24"/>
      <c r="BZ481" s="24"/>
      <c r="CB481" s="24"/>
      <c r="CC481" s="24"/>
      <c r="CE481" s="24">
        <v>45826.41771548611</v>
      </c>
      <c r="CF481" s="24">
        <v>45826.41771548611</v>
      </c>
      <c r="CG481">
        <v>1</v>
      </c>
      <c r="CH481" s="24"/>
      <c r="CI481" s="24"/>
      <c r="CJ481" s="24"/>
      <c r="CK481" s="24"/>
      <c r="DE481" s="24"/>
      <c r="DF481" s="24"/>
      <c r="DG481" s="24"/>
      <c r="DH481" s="24"/>
      <c r="DJ481" t="s">
        <v>149</v>
      </c>
      <c r="DK481" t="s">
        <v>149</v>
      </c>
      <c r="DM481">
        <v>8</v>
      </c>
      <c r="DN481">
        <v>8</v>
      </c>
      <c r="DQ481" t="s">
        <v>1000</v>
      </c>
      <c r="DR481" t="s">
        <v>149</v>
      </c>
      <c r="DS481" s="24">
        <v>46160.384426226854</v>
      </c>
    </row>
    <row r="482" spans="1:123" x14ac:dyDescent="0.3">
      <c r="A482" t="s">
        <v>732</v>
      </c>
      <c r="D482" t="s">
        <v>223</v>
      </c>
      <c r="E482" s="24">
        <v>45805.578148148146</v>
      </c>
      <c r="G482" t="s">
        <v>90</v>
      </c>
      <c r="H482" t="s">
        <v>155</v>
      </c>
      <c r="I482" s="24"/>
      <c r="J482" s="24"/>
      <c r="K482" s="24"/>
      <c r="L482" s="24"/>
      <c r="N482" s="24"/>
      <c r="O482" s="24"/>
      <c r="P482" s="24"/>
      <c r="Q482" s="24"/>
      <c r="V482" s="24"/>
      <c r="W482" s="24"/>
      <c r="X482" s="24"/>
      <c r="Y482" s="24"/>
      <c r="AA482" s="24">
        <v>45901.451390104165</v>
      </c>
      <c r="AB482" s="24">
        <v>45901.451390104165</v>
      </c>
      <c r="AC482" s="24">
        <v>45903.430900671294</v>
      </c>
      <c r="AD482" s="24">
        <v>45903.430900671294</v>
      </c>
      <c r="AE482">
        <v>1</v>
      </c>
      <c r="AF482" s="24"/>
      <c r="AG482" s="24"/>
      <c r="AH482" s="24"/>
      <c r="AI482" s="24"/>
      <c r="AK482" s="24"/>
      <c r="AL482" s="24"/>
      <c r="AM482" s="24"/>
      <c r="AN482" s="24"/>
      <c r="AP482" s="24"/>
      <c r="AQ482" s="24"/>
      <c r="AR482" s="24">
        <v>45874.559451620371</v>
      </c>
      <c r="AS482" s="24">
        <v>45874.559451620371</v>
      </c>
      <c r="AX482" s="24"/>
      <c r="AY482" s="24"/>
      <c r="AZ482" s="24"/>
      <c r="BA482" s="24"/>
      <c r="BC482" s="24"/>
      <c r="BD482" s="24"/>
      <c r="BE482" s="24"/>
      <c r="BF482" s="24"/>
      <c r="BH482" s="24">
        <v>45874.559451620371</v>
      </c>
      <c r="BI482" s="24">
        <v>45874.559451620371</v>
      </c>
      <c r="BJ482" s="24">
        <v>45901.451390104165</v>
      </c>
      <c r="BK482" s="24">
        <v>45901.451390104165</v>
      </c>
      <c r="BL482">
        <v>1</v>
      </c>
      <c r="BM482" s="24"/>
      <c r="BN482" s="24"/>
      <c r="BO482" s="24"/>
      <c r="BP482" s="24"/>
      <c r="BR482" s="24">
        <v>45903.430900671294</v>
      </c>
      <c r="BS482" s="24">
        <v>45903.430900671294</v>
      </c>
      <c r="BT482" s="24">
        <v>45904.403431423612</v>
      </c>
      <c r="BU482" s="24">
        <v>45904.403431423612</v>
      </c>
      <c r="BV482">
        <v>1</v>
      </c>
      <c r="BW482" s="24"/>
      <c r="BX482" s="24"/>
      <c r="BY482" s="24"/>
      <c r="BZ482" s="24"/>
      <c r="CB482" s="24"/>
      <c r="CC482" s="24"/>
      <c r="CE482" s="24">
        <v>45904.403431423612</v>
      </c>
      <c r="CF482" s="24">
        <v>45904.403431423612</v>
      </c>
      <c r="CG482">
        <v>1</v>
      </c>
      <c r="CH482" s="24"/>
      <c r="CI482" s="24"/>
      <c r="CJ482" s="24"/>
      <c r="CK482" s="24"/>
      <c r="DE482" s="24"/>
      <c r="DF482" s="24"/>
      <c r="DG482" s="24"/>
      <c r="DH482" s="24"/>
      <c r="DJ482" t="s">
        <v>149</v>
      </c>
      <c r="DK482" t="s">
        <v>149</v>
      </c>
      <c r="DM482">
        <v>30</v>
      </c>
      <c r="DN482">
        <v>3</v>
      </c>
      <c r="DQ482" t="s">
        <v>1000</v>
      </c>
      <c r="DR482" t="s">
        <v>149</v>
      </c>
      <c r="DS482" s="24">
        <v>46160.384426226854</v>
      </c>
    </row>
    <row r="483" spans="1:123" x14ac:dyDescent="0.3">
      <c r="A483" t="s">
        <v>733</v>
      </c>
      <c r="D483" t="s">
        <v>225</v>
      </c>
      <c r="E483" s="24">
        <v>45805.567430555559</v>
      </c>
      <c r="G483" t="s">
        <v>90</v>
      </c>
      <c r="H483" t="s">
        <v>155</v>
      </c>
      <c r="I483" s="24"/>
      <c r="J483" s="24"/>
      <c r="K483" s="24"/>
      <c r="L483" s="24"/>
      <c r="N483" s="24"/>
      <c r="O483" s="24"/>
      <c r="P483" s="24"/>
      <c r="Q483" s="24"/>
      <c r="V483" s="24"/>
      <c r="W483" s="24"/>
      <c r="X483" s="24"/>
      <c r="Y483" s="24"/>
      <c r="AA483" s="24">
        <v>45805.69672983796</v>
      </c>
      <c r="AB483" s="24">
        <v>45805.69672983796</v>
      </c>
      <c r="AC483" s="24">
        <v>45805.696944074072</v>
      </c>
      <c r="AD483" s="24">
        <v>45805.696944074072</v>
      </c>
      <c r="AE483">
        <v>1</v>
      </c>
      <c r="AF483" s="24">
        <v>45805.696944074072</v>
      </c>
      <c r="AG483" s="24">
        <v>45805.696944074072</v>
      </c>
      <c r="AH483" s="24">
        <v>45805.696981875</v>
      </c>
      <c r="AI483" s="24">
        <v>45805.696981875</v>
      </c>
      <c r="AJ483">
        <v>1</v>
      </c>
      <c r="AK483" s="24">
        <v>45805.696981875</v>
      </c>
      <c r="AL483" s="24">
        <v>45805.696981875</v>
      </c>
      <c r="AM483" s="24">
        <v>45810.407889259259</v>
      </c>
      <c r="AN483" s="24">
        <v>45810.407889259259</v>
      </c>
      <c r="AO483">
        <v>1</v>
      </c>
      <c r="AP483" s="24"/>
      <c r="AQ483" s="24"/>
      <c r="AR483" s="24">
        <v>45805.696698657404</v>
      </c>
      <c r="AS483" s="24">
        <v>45805.696698657404</v>
      </c>
      <c r="AX483" s="24"/>
      <c r="AY483" s="24"/>
      <c r="AZ483" s="24"/>
      <c r="BA483" s="24"/>
      <c r="BC483" s="24">
        <v>45810.408088240743</v>
      </c>
      <c r="BD483" s="24">
        <v>45810.408088240743</v>
      </c>
      <c r="BE483" s="24">
        <v>45820.432341655091</v>
      </c>
      <c r="BF483" s="24">
        <v>45820.432341655091</v>
      </c>
      <c r="BG483">
        <v>1</v>
      </c>
      <c r="BH483" s="24">
        <v>45805.696698657404</v>
      </c>
      <c r="BI483" s="24">
        <v>45805.696698657404</v>
      </c>
      <c r="BJ483" s="24">
        <v>45805.69672983796</v>
      </c>
      <c r="BK483" s="24">
        <v>45805.69672983796</v>
      </c>
      <c r="BL483">
        <v>1</v>
      </c>
      <c r="BM483" s="24"/>
      <c r="BN483" s="24"/>
      <c r="BO483" s="24"/>
      <c r="BP483" s="24"/>
      <c r="BR483" s="24">
        <v>45810.407889259259</v>
      </c>
      <c r="BS483" s="24">
        <v>45810.407889259259</v>
      </c>
      <c r="BT483" s="24">
        <v>45810.408088240743</v>
      </c>
      <c r="BU483" s="24">
        <v>45810.408088240743</v>
      </c>
      <c r="BV483">
        <v>1</v>
      </c>
      <c r="BW483" s="24"/>
      <c r="BX483" s="24"/>
      <c r="BY483" s="24"/>
      <c r="BZ483" s="24"/>
      <c r="CB483" s="24"/>
      <c r="CC483" s="24"/>
      <c r="CE483" s="24">
        <v>45820.432341655091</v>
      </c>
      <c r="CF483" s="24">
        <v>45820.432341655091</v>
      </c>
      <c r="CG483">
        <v>1</v>
      </c>
      <c r="CH483" s="24"/>
      <c r="CI483" s="24"/>
      <c r="CJ483" s="24"/>
      <c r="CK483" s="24"/>
      <c r="DE483" s="24"/>
      <c r="DF483" s="24"/>
      <c r="DG483" s="24"/>
      <c r="DH483" s="24"/>
      <c r="DJ483" t="s">
        <v>149</v>
      </c>
      <c r="DK483" t="s">
        <v>149</v>
      </c>
      <c r="DM483">
        <v>15</v>
      </c>
      <c r="DN483">
        <v>15</v>
      </c>
      <c r="DQ483" t="s">
        <v>1000</v>
      </c>
      <c r="DR483" t="s">
        <v>149</v>
      </c>
      <c r="DS483" s="24">
        <v>46160.384426226854</v>
      </c>
    </row>
    <row r="484" spans="1:123" x14ac:dyDescent="0.3">
      <c r="A484" t="s">
        <v>734</v>
      </c>
      <c r="D484" t="s">
        <v>223</v>
      </c>
      <c r="E484" s="24">
        <v>45805.464953703704</v>
      </c>
      <c r="G484" t="s">
        <v>90</v>
      </c>
      <c r="H484" t="s">
        <v>155</v>
      </c>
      <c r="I484" s="24"/>
      <c r="J484" s="24"/>
      <c r="K484" s="24"/>
      <c r="L484" s="24"/>
      <c r="N484" s="24"/>
      <c r="O484" s="24"/>
      <c r="P484" s="24"/>
      <c r="Q484" s="24"/>
      <c r="V484" s="24"/>
      <c r="W484" s="24"/>
      <c r="X484" s="24"/>
      <c r="Y484" s="24"/>
      <c r="AA484" s="24">
        <v>45810.557935243058</v>
      </c>
      <c r="AB484" s="24">
        <v>45810.557935243058</v>
      </c>
      <c r="AC484" s="24">
        <v>45814.378891597225</v>
      </c>
      <c r="AD484" s="24">
        <v>45814.378891597225</v>
      </c>
      <c r="AE484">
        <v>1</v>
      </c>
      <c r="AF484" s="24"/>
      <c r="AG484" s="24"/>
      <c r="AH484" s="24"/>
      <c r="AI484" s="24"/>
      <c r="AK484" s="24"/>
      <c r="AL484" s="24"/>
      <c r="AM484" s="24"/>
      <c r="AN484" s="24"/>
      <c r="AP484" s="24"/>
      <c r="AQ484" s="24"/>
      <c r="AR484" s="24">
        <v>45805.488153645834</v>
      </c>
      <c r="AS484" s="24">
        <v>45805.488153645834</v>
      </c>
      <c r="AX484" s="24"/>
      <c r="AY484" s="24"/>
      <c r="AZ484" s="24"/>
      <c r="BA484" s="24"/>
      <c r="BC484" s="24"/>
      <c r="BD484" s="24"/>
      <c r="BE484" s="24"/>
      <c r="BF484" s="24"/>
      <c r="BH484" s="24">
        <v>45805.488153645834</v>
      </c>
      <c r="BI484" s="24">
        <v>45805.488153645834</v>
      </c>
      <c r="BJ484" s="24">
        <v>45810.557935243058</v>
      </c>
      <c r="BK484" s="24">
        <v>45810.557935243058</v>
      </c>
      <c r="BL484">
        <v>1</v>
      </c>
      <c r="BM484" s="24"/>
      <c r="BN484" s="24"/>
      <c r="BO484" s="24"/>
      <c r="BP484" s="24"/>
      <c r="BR484" s="24">
        <v>45814.378891597225</v>
      </c>
      <c r="BS484" s="24">
        <v>45814.378891597225</v>
      </c>
      <c r="BT484" s="24">
        <v>45814.399761689812</v>
      </c>
      <c r="BU484" s="24">
        <v>45814.399761689812</v>
      </c>
      <c r="BV484">
        <v>1</v>
      </c>
      <c r="BW484" s="24"/>
      <c r="BX484" s="24"/>
      <c r="BY484" s="24"/>
      <c r="BZ484" s="24"/>
      <c r="CB484" s="24"/>
      <c r="CC484" s="24"/>
      <c r="CE484" s="24">
        <v>45814.399761689812</v>
      </c>
      <c r="CF484" s="24">
        <v>45814.399761689812</v>
      </c>
      <c r="CG484">
        <v>1</v>
      </c>
      <c r="CH484" s="24"/>
      <c r="CI484" s="24"/>
      <c r="CJ484" s="24"/>
      <c r="CK484" s="24"/>
      <c r="DE484" s="24"/>
      <c r="DF484" s="24"/>
      <c r="DG484" s="24"/>
      <c r="DH484" s="24"/>
      <c r="DJ484" t="s">
        <v>149</v>
      </c>
      <c r="DK484" t="s">
        <v>149</v>
      </c>
      <c r="DM484">
        <v>9</v>
      </c>
      <c r="DN484">
        <v>4</v>
      </c>
      <c r="DQ484" t="s">
        <v>1000</v>
      </c>
      <c r="DR484" t="s">
        <v>149</v>
      </c>
      <c r="DS484" s="24">
        <v>46160.384426226854</v>
      </c>
    </row>
    <row r="485" spans="1:123" x14ac:dyDescent="0.3">
      <c r="A485" t="s">
        <v>735</v>
      </c>
      <c r="D485" t="s">
        <v>225</v>
      </c>
      <c r="E485" s="24">
        <v>45803.572800925926</v>
      </c>
      <c r="G485" t="s">
        <v>150</v>
      </c>
      <c r="H485" t="s">
        <v>155</v>
      </c>
      <c r="I485" s="24"/>
      <c r="J485" s="24"/>
      <c r="K485" s="24"/>
      <c r="L485" s="24"/>
      <c r="N485" s="24"/>
      <c r="O485" s="24"/>
      <c r="P485" s="24"/>
      <c r="Q485" s="24"/>
      <c r="V485" s="24"/>
      <c r="W485" s="24"/>
      <c r="X485" s="24"/>
      <c r="Y485" s="24"/>
      <c r="AA485" s="24"/>
      <c r="AB485" s="24"/>
      <c r="AC485" s="24"/>
      <c r="AD485" s="24"/>
      <c r="AF485" s="24"/>
      <c r="AG485" s="24"/>
      <c r="AH485" s="24"/>
      <c r="AI485" s="24"/>
      <c r="AK485" s="24"/>
      <c r="AL485" s="24"/>
      <c r="AM485" s="24"/>
      <c r="AN485" s="24"/>
      <c r="AP485" s="24"/>
      <c r="AQ485" s="24"/>
      <c r="AR485" s="24">
        <v>45824.600275069446</v>
      </c>
      <c r="AS485" s="24">
        <v>45824.600275069446</v>
      </c>
      <c r="AX485" s="24"/>
      <c r="AY485" s="24"/>
      <c r="AZ485" s="24"/>
      <c r="BA485" s="24"/>
      <c r="BC485" s="24"/>
      <c r="BD485" s="24"/>
      <c r="BE485" s="24"/>
      <c r="BF485" s="24"/>
      <c r="BH485" s="24"/>
      <c r="BI485" s="24"/>
      <c r="BJ485" s="24"/>
      <c r="BK485" s="24"/>
      <c r="BM485" s="24"/>
      <c r="BN485" s="24"/>
      <c r="BO485" s="24"/>
      <c r="BP485" s="24"/>
      <c r="BR485" s="24"/>
      <c r="BS485" s="24"/>
      <c r="BT485" s="24"/>
      <c r="BU485" s="24"/>
      <c r="BW485" s="24"/>
      <c r="BX485" s="24"/>
      <c r="BY485" s="24"/>
      <c r="BZ485" s="24"/>
      <c r="CB485" s="24">
        <v>45824.600275069446</v>
      </c>
      <c r="CC485" s="24">
        <v>45824.600275069446</v>
      </c>
      <c r="CD485">
        <v>1</v>
      </c>
      <c r="CE485" s="24"/>
      <c r="CF485" s="24"/>
      <c r="CH485" s="24"/>
      <c r="CI485" s="24"/>
      <c r="CJ485" s="24"/>
      <c r="CK485" s="24"/>
      <c r="DE485" s="24"/>
      <c r="DF485" s="24"/>
      <c r="DG485" s="24"/>
      <c r="DH485" s="24"/>
      <c r="DJ485" t="s">
        <v>149</v>
      </c>
      <c r="DK485" t="s">
        <v>149</v>
      </c>
      <c r="DQ485" t="s">
        <v>1000</v>
      </c>
      <c r="DR485" t="s">
        <v>149</v>
      </c>
      <c r="DS485" s="24">
        <v>46160.384426226854</v>
      </c>
    </row>
    <row r="486" spans="1:123" x14ac:dyDescent="0.3">
      <c r="A486" t="s">
        <v>736</v>
      </c>
      <c r="D486" t="s">
        <v>223</v>
      </c>
      <c r="E486" s="24">
        <v>45803.45784722222</v>
      </c>
      <c r="G486" t="s">
        <v>90</v>
      </c>
      <c r="H486" t="s">
        <v>155</v>
      </c>
      <c r="I486" s="24"/>
      <c r="J486" s="24"/>
      <c r="K486" s="24"/>
      <c r="L486" s="24"/>
      <c r="N486" s="24"/>
      <c r="O486" s="24"/>
      <c r="P486" s="24"/>
      <c r="Q486" s="24"/>
      <c r="V486" s="24"/>
      <c r="W486" s="24"/>
      <c r="X486" s="24"/>
      <c r="Y486" s="24"/>
      <c r="AA486" s="24">
        <v>45810.338939745372</v>
      </c>
      <c r="AB486" s="24">
        <v>45810.338939745372</v>
      </c>
      <c r="AC486" s="24">
        <v>45814.574760115742</v>
      </c>
      <c r="AD486" s="24">
        <v>45814.574760115742</v>
      </c>
      <c r="AE486">
        <v>1</v>
      </c>
      <c r="AF486" s="24"/>
      <c r="AG486" s="24"/>
      <c r="AH486" s="24"/>
      <c r="AI486" s="24"/>
      <c r="AK486" s="24"/>
      <c r="AL486" s="24"/>
      <c r="AM486" s="24"/>
      <c r="AN486" s="24"/>
      <c r="AP486" s="24"/>
      <c r="AQ486" s="24"/>
      <c r="AR486" s="24">
        <v>45805.488269155096</v>
      </c>
      <c r="AS486" s="24">
        <v>45805.488269155096</v>
      </c>
      <c r="AX486" s="24"/>
      <c r="AY486" s="24"/>
      <c r="AZ486" s="24"/>
      <c r="BA486" s="24"/>
      <c r="BC486" s="24"/>
      <c r="BD486" s="24"/>
      <c r="BE486" s="24"/>
      <c r="BF486" s="24"/>
      <c r="BH486" s="24">
        <v>45805.488269155096</v>
      </c>
      <c r="BI486" s="24">
        <v>45805.488269155096</v>
      </c>
      <c r="BJ486" s="24">
        <v>45810.338939745372</v>
      </c>
      <c r="BK486" s="24">
        <v>45810.338939745372</v>
      </c>
      <c r="BL486">
        <v>1</v>
      </c>
      <c r="BM486" s="24"/>
      <c r="BN486" s="24"/>
      <c r="BO486" s="24"/>
      <c r="BP486" s="24"/>
      <c r="BR486" s="24">
        <v>45814.574760115742</v>
      </c>
      <c r="BS486" s="24">
        <v>45814.574760115742</v>
      </c>
      <c r="BT486" s="24">
        <v>45814.576195671296</v>
      </c>
      <c r="BU486" s="24">
        <v>45814.576195671296</v>
      </c>
      <c r="BV486">
        <v>1</v>
      </c>
      <c r="BW486" s="24"/>
      <c r="BX486" s="24"/>
      <c r="BY486" s="24"/>
      <c r="BZ486" s="24"/>
      <c r="CB486" s="24"/>
      <c r="CC486" s="24"/>
      <c r="CE486" s="24">
        <v>45814.576195671296</v>
      </c>
      <c r="CF486" s="24">
        <v>45814.576195671296</v>
      </c>
      <c r="CG486">
        <v>1</v>
      </c>
      <c r="CH486" s="24"/>
      <c r="CI486" s="24"/>
      <c r="CJ486" s="24"/>
      <c r="CK486" s="24"/>
      <c r="DE486" s="24"/>
      <c r="DF486" s="24"/>
      <c r="DG486" s="24"/>
      <c r="DH486" s="24"/>
      <c r="DJ486" t="s">
        <v>149</v>
      </c>
      <c r="DK486" t="s">
        <v>149</v>
      </c>
      <c r="DM486">
        <v>10</v>
      </c>
      <c r="DN486">
        <v>5</v>
      </c>
      <c r="DQ486" t="s">
        <v>1000</v>
      </c>
      <c r="DR486" t="s">
        <v>149</v>
      </c>
      <c r="DS486" s="24">
        <v>46160.384426226854</v>
      </c>
    </row>
    <row r="487" spans="1:123" x14ac:dyDescent="0.3">
      <c r="A487" t="s">
        <v>737</v>
      </c>
      <c r="D487" t="s">
        <v>225</v>
      </c>
      <c r="E487" s="24">
        <v>45803.398587962962</v>
      </c>
      <c r="G487" t="s">
        <v>103</v>
      </c>
      <c r="H487" t="s">
        <v>154</v>
      </c>
      <c r="I487" s="24">
        <v>45960.443887581016</v>
      </c>
      <c r="J487" s="24">
        <v>45960.443887581016</v>
      </c>
      <c r="K487" s="24"/>
      <c r="L487" s="24"/>
      <c r="M487">
        <v>1</v>
      </c>
      <c r="N487" s="24">
        <v>45804.425182754632</v>
      </c>
      <c r="O487" s="24">
        <v>45804.425182754632</v>
      </c>
      <c r="P487" s="24">
        <v>45960.443887581016</v>
      </c>
      <c r="Q487" s="24">
        <v>45960.443887581016</v>
      </c>
      <c r="R487">
        <v>1</v>
      </c>
      <c r="V487" s="24"/>
      <c r="W487" s="24"/>
      <c r="X487" s="24"/>
      <c r="Y487" s="24"/>
      <c r="AA487" s="24">
        <v>45804.404380995373</v>
      </c>
      <c r="AB487" s="24">
        <v>45804.404380995373</v>
      </c>
      <c r="AC487" s="24">
        <v>45804.425182754632</v>
      </c>
      <c r="AD487" s="24">
        <v>45804.425182754632</v>
      </c>
      <c r="AE487">
        <v>1</v>
      </c>
      <c r="AF487" s="24"/>
      <c r="AG487" s="24"/>
      <c r="AH487" s="24"/>
      <c r="AI487" s="24"/>
      <c r="AK487" s="24"/>
      <c r="AL487" s="24"/>
      <c r="AM487" s="24"/>
      <c r="AN487" s="24"/>
      <c r="AP487" s="24"/>
      <c r="AQ487" s="24"/>
      <c r="AR487" s="24">
        <v>45804.403240520835</v>
      </c>
      <c r="AS487" s="24">
        <v>45804.403240520835</v>
      </c>
      <c r="AX487" s="24"/>
      <c r="AY487" s="24"/>
      <c r="AZ487" s="24"/>
      <c r="BA487" s="24"/>
      <c r="BC487" s="24"/>
      <c r="BD487" s="24"/>
      <c r="BE487" s="24"/>
      <c r="BF487" s="24"/>
      <c r="BH487" s="24">
        <v>45804.403240520835</v>
      </c>
      <c r="BI487" s="24">
        <v>45804.403240520835</v>
      </c>
      <c r="BJ487" s="24">
        <v>45804.404380995373</v>
      </c>
      <c r="BK487" s="24">
        <v>45804.404380995373</v>
      </c>
      <c r="BL487">
        <v>1</v>
      </c>
      <c r="BM487" s="24"/>
      <c r="BN487" s="24"/>
      <c r="BO487" s="24"/>
      <c r="BP487" s="24"/>
      <c r="BR487" s="24"/>
      <c r="BS487" s="24"/>
      <c r="BT487" s="24"/>
      <c r="BU487" s="24"/>
      <c r="BW487" s="24"/>
      <c r="BX487" s="24"/>
      <c r="BY487" s="24"/>
      <c r="BZ487" s="24"/>
      <c r="CB487" s="24"/>
      <c r="CC487" s="24"/>
      <c r="CE487" s="24"/>
      <c r="CF487" s="24"/>
      <c r="CH487" s="24"/>
      <c r="CI487" s="24"/>
      <c r="CJ487" s="24"/>
      <c r="CK487" s="24"/>
      <c r="DE487" s="24"/>
      <c r="DF487" s="24"/>
      <c r="DG487" s="24"/>
      <c r="DH487" s="24"/>
      <c r="DJ487" t="s">
        <v>149</v>
      </c>
      <c r="DK487" t="s">
        <v>149</v>
      </c>
      <c r="DO487">
        <v>356</v>
      </c>
      <c r="DP487">
        <v>200</v>
      </c>
      <c r="DQ487" t="s">
        <v>1000</v>
      </c>
      <c r="DR487" t="s">
        <v>149</v>
      </c>
      <c r="DS487" s="24">
        <v>46160.384426226854</v>
      </c>
    </row>
    <row r="488" spans="1:123" x14ac:dyDescent="0.3">
      <c r="A488" t="s">
        <v>738</v>
      </c>
      <c r="D488" t="s">
        <v>225</v>
      </c>
      <c r="E488" s="24">
        <v>45803.397951388892</v>
      </c>
      <c r="G488" t="s">
        <v>90</v>
      </c>
      <c r="H488" t="s">
        <v>155</v>
      </c>
      <c r="I488" s="24"/>
      <c r="J488" s="24"/>
      <c r="K488" s="24"/>
      <c r="L488" s="24"/>
      <c r="N488" s="24"/>
      <c r="O488" s="24"/>
      <c r="P488" s="24"/>
      <c r="Q488" s="24"/>
      <c r="V488" s="24"/>
      <c r="W488" s="24"/>
      <c r="X488" s="24"/>
      <c r="Y488" s="24"/>
      <c r="AA488" s="24">
        <v>45811.412574120368</v>
      </c>
      <c r="AB488" s="24">
        <v>45811.412574120368</v>
      </c>
      <c r="AC488" s="24">
        <v>45811.516126099537</v>
      </c>
      <c r="AD488" s="24">
        <v>45811.516126099537</v>
      </c>
      <c r="AE488">
        <v>1</v>
      </c>
      <c r="AF488" s="24">
        <v>45811.516126099537</v>
      </c>
      <c r="AG488" s="24">
        <v>45811.516126099537</v>
      </c>
      <c r="AH488" s="24">
        <v>45817.420549039351</v>
      </c>
      <c r="AI488" s="24">
        <v>45817.420549039351</v>
      </c>
      <c r="AJ488">
        <v>1</v>
      </c>
      <c r="AK488" s="24">
        <v>45817.420549039351</v>
      </c>
      <c r="AL488" s="24">
        <v>45817.420549039351</v>
      </c>
      <c r="AM488" s="24">
        <v>45819.404544363424</v>
      </c>
      <c r="AN488" s="24">
        <v>45819.404544363424</v>
      </c>
      <c r="AO488">
        <v>1</v>
      </c>
      <c r="AP488" s="24"/>
      <c r="AQ488" s="24"/>
      <c r="AR488" s="24">
        <v>45805.488531782408</v>
      </c>
      <c r="AS488" s="24">
        <v>45805.488531782408</v>
      </c>
      <c r="AX488" s="24"/>
      <c r="AY488" s="24"/>
      <c r="AZ488" s="24"/>
      <c r="BA488" s="24"/>
      <c r="BC488" s="24">
        <v>45819.404768761575</v>
      </c>
      <c r="BD488" s="24">
        <v>45819.404768761575</v>
      </c>
      <c r="BE488" s="24">
        <v>45820.432344270834</v>
      </c>
      <c r="BF488" s="24">
        <v>45820.432344270834</v>
      </c>
      <c r="BG488">
        <v>1</v>
      </c>
      <c r="BH488" s="24">
        <v>45805.488531782408</v>
      </c>
      <c r="BI488" s="24">
        <v>45805.488531782408</v>
      </c>
      <c r="BJ488" s="24">
        <v>45811.412574120368</v>
      </c>
      <c r="BK488" s="24">
        <v>45811.412574120368</v>
      </c>
      <c r="BL488">
        <v>1</v>
      </c>
      <c r="BM488" s="24"/>
      <c r="BN488" s="24"/>
      <c r="BO488" s="24"/>
      <c r="BP488" s="24"/>
      <c r="BR488" s="24">
        <v>45819.404544363424</v>
      </c>
      <c r="BS488" s="24">
        <v>45819.404544363424</v>
      </c>
      <c r="BT488" s="24">
        <v>45819.404768761575</v>
      </c>
      <c r="BU488" s="24">
        <v>45819.404768761575</v>
      </c>
      <c r="BV488">
        <v>1</v>
      </c>
      <c r="BW488" s="24"/>
      <c r="BX488" s="24"/>
      <c r="BY488" s="24"/>
      <c r="BZ488" s="24"/>
      <c r="CB488" s="24"/>
      <c r="CC488" s="24"/>
      <c r="CE488" s="24">
        <v>45820.432344270834</v>
      </c>
      <c r="CF488" s="24">
        <v>45820.432344270834</v>
      </c>
      <c r="CG488">
        <v>1</v>
      </c>
      <c r="CH488" s="24"/>
      <c r="CI488" s="24"/>
      <c r="CJ488" s="24"/>
      <c r="CK488" s="24"/>
      <c r="DE488" s="24"/>
      <c r="DF488" s="24"/>
      <c r="DG488" s="24"/>
      <c r="DH488" s="24"/>
      <c r="DJ488" t="s">
        <v>149</v>
      </c>
      <c r="DK488" t="s">
        <v>149</v>
      </c>
      <c r="DM488">
        <v>15</v>
      </c>
      <c r="DN488">
        <v>10</v>
      </c>
      <c r="DQ488" t="s">
        <v>1000</v>
      </c>
      <c r="DR488" t="s">
        <v>149</v>
      </c>
      <c r="DS488" s="24">
        <v>46160.384426226854</v>
      </c>
    </row>
    <row r="489" spans="1:123" x14ac:dyDescent="0.3">
      <c r="A489" t="s">
        <v>739</v>
      </c>
      <c r="D489" t="s">
        <v>225</v>
      </c>
      <c r="E489" s="24">
        <v>45803.359479166669</v>
      </c>
      <c r="G489" t="s">
        <v>90</v>
      </c>
      <c r="H489" t="s">
        <v>155</v>
      </c>
      <c r="I489" s="24"/>
      <c r="J489" s="24"/>
      <c r="K489" s="24"/>
      <c r="L489" s="24"/>
      <c r="N489" s="24"/>
      <c r="O489" s="24"/>
      <c r="P489" s="24"/>
      <c r="Q489" s="24"/>
      <c r="V489" s="24"/>
      <c r="W489" s="24"/>
      <c r="X489" s="24"/>
      <c r="Y489" s="24"/>
      <c r="AA489" s="24">
        <v>45909.536472488428</v>
      </c>
      <c r="AB489" s="24">
        <v>45909.536472488428</v>
      </c>
      <c r="AC489" s="24">
        <v>45911.756504456018</v>
      </c>
      <c r="AD489" s="24">
        <v>45911.756504456018</v>
      </c>
      <c r="AE489">
        <v>1</v>
      </c>
      <c r="AF489" s="24">
        <v>45911.756504456018</v>
      </c>
      <c r="AG489" s="24">
        <v>45911.756504456018</v>
      </c>
      <c r="AH489" s="24">
        <v>45912.433159629632</v>
      </c>
      <c r="AI489" s="24">
        <v>45912.433159629632</v>
      </c>
      <c r="AJ489">
        <v>1</v>
      </c>
      <c r="AK489" s="24">
        <v>45912.433159629632</v>
      </c>
      <c r="AL489" s="24">
        <v>45912.433159629632</v>
      </c>
      <c r="AM489" s="24">
        <v>45912.440278194445</v>
      </c>
      <c r="AN489" s="24">
        <v>45912.440278194445</v>
      </c>
      <c r="AO489">
        <v>1</v>
      </c>
      <c r="AP489" s="24"/>
      <c r="AQ489" s="24"/>
      <c r="AR489" s="24">
        <v>45909.536393506947</v>
      </c>
      <c r="AS489" s="24">
        <v>45909.536393506947</v>
      </c>
      <c r="AX489" s="24"/>
      <c r="AY489" s="24"/>
      <c r="AZ489" s="24"/>
      <c r="BA489" s="24"/>
      <c r="BC489" s="24">
        <v>45912.440374907404</v>
      </c>
      <c r="BD489" s="24">
        <v>45912.440374907404</v>
      </c>
      <c r="BE489" s="24">
        <v>45915.638186481483</v>
      </c>
      <c r="BF489" s="24">
        <v>45915.638186481483</v>
      </c>
      <c r="BG489">
        <v>1</v>
      </c>
      <c r="BH489" s="24">
        <v>45909.536393506947</v>
      </c>
      <c r="BI489" s="24">
        <v>45909.536393506947</v>
      </c>
      <c r="BJ489" s="24">
        <v>45909.536472488428</v>
      </c>
      <c r="BK489" s="24">
        <v>45909.536472488428</v>
      </c>
      <c r="BL489">
        <v>1</v>
      </c>
      <c r="BM489" s="24"/>
      <c r="BN489" s="24"/>
      <c r="BO489" s="24"/>
      <c r="BP489" s="24"/>
      <c r="BR489" s="24">
        <v>45912.440278194445</v>
      </c>
      <c r="BS489" s="24">
        <v>45912.440278194445</v>
      </c>
      <c r="BT489" s="24">
        <v>45912.440374907404</v>
      </c>
      <c r="BU489" s="24">
        <v>45912.440374907404</v>
      </c>
      <c r="BV489">
        <v>1</v>
      </c>
      <c r="BW489" s="24"/>
      <c r="BX489" s="24"/>
      <c r="BY489" s="24"/>
      <c r="BZ489" s="24"/>
      <c r="CB489" s="24"/>
      <c r="CC489" s="24"/>
      <c r="CE489" s="24">
        <v>45915.638186481483</v>
      </c>
      <c r="CF489" s="24">
        <v>45915.638186481483</v>
      </c>
      <c r="CG489">
        <v>1</v>
      </c>
      <c r="CH489" s="24"/>
      <c r="CI489" s="24"/>
      <c r="CJ489" s="24"/>
      <c r="CK489" s="24"/>
      <c r="DE489" s="24"/>
      <c r="DF489" s="24"/>
      <c r="DG489" s="24"/>
      <c r="DH489" s="24"/>
      <c r="DJ489" t="s">
        <v>149</v>
      </c>
      <c r="DK489" t="s">
        <v>149</v>
      </c>
      <c r="DM489">
        <v>7</v>
      </c>
      <c r="DN489">
        <v>7</v>
      </c>
      <c r="DQ489" t="s">
        <v>1000</v>
      </c>
      <c r="DR489" t="s">
        <v>149</v>
      </c>
      <c r="DS489" s="24">
        <v>46160.384426226854</v>
      </c>
    </row>
    <row r="490" spans="1:123" x14ac:dyDescent="0.3">
      <c r="A490" t="s">
        <v>740</v>
      </c>
      <c r="D490" t="s">
        <v>223</v>
      </c>
      <c r="E490" s="24">
        <v>45800.611666666664</v>
      </c>
      <c r="G490" t="s">
        <v>90</v>
      </c>
      <c r="H490" t="s">
        <v>155</v>
      </c>
      <c r="I490" s="24"/>
      <c r="J490" s="24"/>
      <c r="K490" s="24"/>
      <c r="L490" s="24"/>
      <c r="N490" s="24"/>
      <c r="O490" s="24"/>
      <c r="P490" s="24"/>
      <c r="Q490" s="24"/>
      <c r="V490" s="24"/>
      <c r="W490" s="24"/>
      <c r="X490" s="24"/>
      <c r="Y490" s="24"/>
      <c r="AA490" s="24">
        <v>45838.424372824076</v>
      </c>
      <c r="AB490" s="24">
        <v>45838.424372824076</v>
      </c>
      <c r="AC490" s="24">
        <v>45845.709228148145</v>
      </c>
      <c r="AD490" s="24">
        <v>45845.709228148145</v>
      </c>
      <c r="AE490">
        <v>1</v>
      </c>
      <c r="AF490" s="24">
        <v>45845.709228148145</v>
      </c>
      <c r="AG490" s="24">
        <v>45845.709228148145</v>
      </c>
      <c r="AH490" s="24">
        <v>45845.709444849534</v>
      </c>
      <c r="AI490" s="24">
        <v>45845.709444849534</v>
      </c>
      <c r="AJ490">
        <v>1</v>
      </c>
      <c r="AK490" s="24"/>
      <c r="AL490" s="24"/>
      <c r="AM490" s="24"/>
      <c r="AN490" s="24"/>
      <c r="AP490" s="24"/>
      <c r="AQ490" s="24"/>
      <c r="AR490" s="24">
        <v>45832.467153599537</v>
      </c>
      <c r="AS490" s="24">
        <v>45832.467153599537</v>
      </c>
      <c r="AX490" s="24"/>
      <c r="AY490" s="24"/>
      <c r="AZ490" s="24"/>
      <c r="BA490" s="24"/>
      <c r="BC490" s="24"/>
      <c r="BD490" s="24"/>
      <c r="BE490" s="24"/>
      <c r="BF490" s="24"/>
      <c r="BH490" s="24">
        <v>45832.467153599537</v>
      </c>
      <c r="BI490" s="24">
        <v>45832.467153599537</v>
      </c>
      <c r="BJ490" s="24">
        <v>45838.424372824076</v>
      </c>
      <c r="BK490" s="24">
        <v>45838.424372824076</v>
      </c>
      <c r="BL490">
        <v>1</v>
      </c>
      <c r="BM490" s="24"/>
      <c r="BN490" s="24"/>
      <c r="BO490" s="24"/>
      <c r="BP490" s="24"/>
      <c r="BR490" s="24">
        <v>45845.709444849534</v>
      </c>
      <c r="BS490" s="24">
        <v>45845.709444849534</v>
      </c>
      <c r="BT490" s="24">
        <v>45846.399598402779</v>
      </c>
      <c r="BU490" s="24">
        <v>45846.399598402779</v>
      </c>
      <c r="BV490">
        <v>1</v>
      </c>
      <c r="BW490" s="24"/>
      <c r="BX490" s="24"/>
      <c r="BY490" s="24"/>
      <c r="BZ490" s="24"/>
      <c r="CB490" s="24"/>
      <c r="CC490" s="24"/>
      <c r="CE490" s="24">
        <v>45846.399598402779</v>
      </c>
      <c r="CF490" s="24">
        <v>45846.399598402779</v>
      </c>
      <c r="CG490">
        <v>1</v>
      </c>
      <c r="CH490" s="24"/>
      <c r="CI490" s="24"/>
      <c r="CJ490" s="24"/>
      <c r="CK490" s="24"/>
      <c r="DE490" s="24"/>
      <c r="DF490" s="24"/>
      <c r="DG490" s="24"/>
      <c r="DH490" s="24"/>
      <c r="DJ490" t="s">
        <v>149</v>
      </c>
      <c r="DK490" t="s">
        <v>149</v>
      </c>
      <c r="DM490">
        <v>14</v>
      </c>
      <c r="DN490">
        <v>8</v>
      </c>
      <c r="DQ490" t="s">
        <v>1000</v>
      </c>
      <c r="DR490" t="s">
        <v>149</v>
      </c>
      <c r="DS490" s="24">
        <v>46160.384426226854</v>
      </c>
    </row>
    <row r="491" spans="1:123" x14ac:dyDescent="0.3">
      <c r="A491" t="s">
        <v>741</v>
      </c>
      <c r="D491" t="s">
        <v>225</v>
      </c>
      <c r="E491" s="24">
        <v>45800.465428240743</v>
      </c>
      <c r="G491" t="s">
        <v>90</v>
      </c>
      <c r="H491" t="s">
        <v>155</v>
      </c>
      <c r="I491" s="24"/>
      <c r="J491" s="24"/>
      <c r="K491" s="24"/>
      <c r="L491" s="24"/>
      <c r="N491" s="24"/>
      <c r="O491" s="24"/>
      <c r="P491" s="24"/>
      <c r="Q491" s="24"/>
      <c r="V491" s="24"/>
      <c r="W491" s="24"/>
      <c r="X491" s="24"/>
      <c r="Y491" s="24"/>
      <c r="AA491" s="24">
        <v>45800.47035802083</v>
      </c>
      <c r="AB491" s="24">
        <v>45800.47035802083</v>
      </c>
      <c r="AC491" s="24">
        <v>45800.696880717594</v>
      </c>
      <c r="AD491" s="24">
        <v>45800.696880717594</v>
      </c>
      <c r="AE491">
        <v>1</v>
      </c>
      <c r="AF491" s="24">
        <v>45800.696880717594</v>
      </c>
      <c r="AG491" s="24">
        <v>45800.696880717594</v>
      </c>
      <c r="AH491" s="24">
        <v>45800.707431666669</v>
      </c>
      <c r="AI491" s="24">
        <v>45800.707431666669</v>
      </c>
      <c r="AJ491">
        <v>1</v>
      </c>
      <c r="AK491" s="24">
        <v>45800.707431666669</v>
      </c>
      <c r="AL491" s="24">
        <v>45800.707431666669</v>
      </c>
      <c r="AM491" s="24">
        <v>45803.403429247686</v>
      </c>
      <c r="AN491" s="24">
        <v>45803.403429247686</v>
      </c>
      <c r="AO491">
        <v>1</v>
      </c>
      <c r="AP491" s="24"/>
      <c r="AQ491" s="24"/>
      <c r="AR491" s="24">
        <v>45800.470220868054</v>
      </c>
      <c r="AS491" s="24">
        <v>45800.470220868054</v>
      </c>
      <c r="AX491" s="24"/>
      <c r="AY491" s="24"/>
      <c r="AZ491" s="24"/>
      <c r="BA491" s="24"/>
      <c r="BC491" s="24">
        <v>45803.403917673611</v>
      </c>
      <c r="BD491" s="24">
        <v>45803.403917673611</v>
      </c>
      <c r="BE491" s="24">
        <v>45803.643623796299</v>
      </c>
      <c r="BF491" s="24">
        <v>45803.643623796299</v>
      </c>
      <c r="BG491">
        <v>1</v>
      </c>
      <c r="BH491" s="24">
        <v>45800.470220868054</v>
      </c>
      <c r="BI491" s="24">
        <v>45800.470220868054</v>
      </c>
      <c r="BJ491" s="24">
        <v>45800.47035802083</v>
      </c>
      <c r="BK491" s="24">
        <v>45800.47035802083</v>
      </c>
      <c r="BL491">
        <v>1</v>
      </c>
      <c r="BM491" s="24"/>
      <c r="BN491" s="24"/>
      <c r="BO491" s="24"/>
      <c r="BP491" s="24"/>
      <c r="BR491" s="24">
        <v>45803.403429247686</v>
      </c>
      <c r="BS491" s="24">
        <v>45803.403429247686</v>
      </c>
      <c r="BT491" s="24">
        <v>45803.403917673611</v>
      </c>
      <c r="BU491" s="24">
        <v>45803.403917673611</v>
      </c>
      <c r="BV491">
        <v>1</v>
      </c>
      <c r="BW491" s="24"/>
      <c r="BX491" s="24"/>
      <c r="BY491" s="24"/>
      <c r="BZ491" s="24"/>
      <c r="CB491" s="24"/>
      <c r="CC491" s="24"/>
      <c r="CE491" s="24">
        <v>45803.643623796299</v>
      </c>
      <c r="CF491" s="24">
        <v>45803.643623796299</v>
      </c>
      <c r="CG491">
        <v>1</v>
      </c>
      <c r="CH491" s="24"/>
      <c r="CI491" s="24"/>
      <c r="CJ491" s="24"/>
      <c r="CK491" s="24"/>
      <c r="DE491" s="24"/>
      <c r="DF491" s="24"/>
      <c r="DG491" s="24"/>
      <c r="DH491" s="24"/>
      <c r="DJ491" t="s">
        <v>149</v>
      </c>
      <c r="DK491" t="s">
        <v>149</v>
      </c>
      <c r="DM491">
        <v>4</v>
      </c>
      <c r="DN491">
        <v>4</v>
      </c>
      <c r="DQ491" t="s">
        <v>1000</v>
      </c>
      <c r="DR491" t="s">
        <v>149</v>
      </c>
      <c r="DS491" s="24">
        <v>46160.384426226854</v>
      </c>
    </row>
    <row r="492" spans="1:123" x14ac:dyDescent="0.3">
      <c r="A492" t="s">
        <v>742</v>
      </c>
      <c r="D492" t="s">
        <v>223</v>
      </c>
      <c r="E492" s="24">
        <v>45800.445381944446</v>
      </c>
      <c r="G492" t="s">
        <v>90</v>
      </c>
      <c r="H492" t="s">
        <v>155</v>
      </c>
      <c r="I492" s="24"/>
      <c r="J492" s="24"/>
      <c r="K492" s="24"/>
      <c r="L492" s="24"/>
      <c r="N492" s="24"/>
      <c r="O492" s="24"/>
      <c r="P492" s="24"/>
      <c r="Q492" s="24"/>
      <c r="V492" s="24"/>
      <c r="W492" s="24"/>
      <c r="X492" s="24"/>
      <c r="Y492" s="24"/>
      <c r="AA492" s="24">
        <v>45803.655333923612</v>
      </c>
      <c r="AB492" s="24">
        <v>45803.655333923612</v>
      </c>
      <c r="AC492" s="24">
        <v>45803.666047430554</v>
      </c>
      <c r="AD492" s="24">
        <v>45803.666047430554</v>
      </c>
      <c r="AE492">
        <v>1</v>
      </c>
      <c r="AF492" s="24">
        <v>45803.666047430554</v>
      </c>
      <c r="AG492" s="24">
        <v>45803.666047430554</v>
      </c>
      <c r="AH492" s="24">
        <v>45803.687156932872</v>
      </c>
      <c r="AI492" s="24">
        <v>45803.687156932872</v>
      </c>
      <c r="AJ492">
        <v>1</v>
      </c>
      <c r="AK492" s="24"/>
      <c r="AL492" s="24"/>
      <c r="AM492" s="24"/>
      <c r="AN492" s="24"/>
      <c r="AP492" s="24"/>
      <c r="AQ492" s="24"/>
      <c r="AR492" s="24">
        <v>45803.65528619213</v>
      </c>
      <c r="AS492" s="24">
        <v>45803.65528619213</v>
      </c>
      <c r="AX492" s="24"/>
      <c r="AY492" s="24"/>
      <c r="AZ492" s="24"/>
      <c r="BA492" s="24"/>
      <c r="BC492" s="24"/>
      <c r="BD492" s="24"/>
      <c r="BE492" s="24"/>
      <c r="BF492" s="24"/>
      <c r="BH492" s="24">
        <v>45803.65528619213</v>
      </c>
      <c r="BI492" s="24">
        <v>45803.65528619213</v>
      </c>
      <c r="BJ492" s="24">
        <v>45803.655333923612</v>
      </c>
      <c r="BK492" s="24">
        <v>45803.655333923612</v>
      </c>
      <c r="BL492">
        <v>1</v>
      </c>
      <c r="BM492" s="24"/>
      <c r="BN492" s="24"/>
      <c r="BO492" s="24"/>
      <c r="BP492" s="24"/>
      <c r="BR492" s="24">
        <v>45803.687156932872</v>
      </c>
      <c r="BS492" s="24">
        <v>45803.687156932872</v>
      </c>
      <c r="BT492" s="24">
        <v>45804.402137094905</v>
      </c>
      <c r="BU492" s="24">
        <v>45804.402137094905</v>
      </c>
      <c r="BV492">
        <v>1</v>
      </c>
      <c r="BW492" s="24"/>
      <c r="BX492" s="24"/>
      <c r="BY492" s="24"/>
      <c r="BZ492" s="24"/>
      <c r="CB492" s="24"/>
      <c r="CC492" s="24"/>
      <c r="CE492" s="24">
        <v>45804.402137094905</v>
      </c>
      <c r="CF492" s="24">
        <v>45804.402137094905</v>
      </c>
      <c r="CG492">
        <v>1</v>
      </c>
      <c r="CH492" s="24"/>
      <c r="CI492" s="24"/>
      <c r="CJ492" s="24"/>
      <c r="CK492" s="24"/>
      <c r="DE492" s="24"/>
      <c r="DF492" s="24"/>
      <c r="DG492" s="24"/>
      <c r="DH492" s="24"/>
      <c r="DJ492" t="s">
        <v>149</v>
      </c>
      <c r="DK492" t="s">
        <v>149</v>
      </c>
      <c r="DM492">
        <v>1</v>
      </c>
      <c r="DN492">
        <v>1</v>
      </c>
      <c r="DQ492" t="s">
        <v>1000</v>
      </c>
      <c r="DR492" t="s">
        <v>149</v>
      </c>
      <c r="DS492" s="24">
        <v>46160.384426226854</v>
      </c>
    </row>
    <row r="493" spans="1:123" x14ac:dyDescent="0.3">
      <c r="A493" t="s">
        <v>743</v>
      </c>
      <c r="D493" t="s">
        <v>223</v>
      </c>
      <c r="E493" s="24">
        <v>45800.354525462964</v>
      </c>
      <c r="G493" t="s">
        <v>90</v>
      </c>
      <c r="H493" t="s">
        <v>155</v>
      </c>
      <c r="I493" s="24"/>
      <c r="J493" s="24"/>
      <c r="K493" s="24"/>
      <c r="L493" s="24"/>
      <c r="N493" s="24"/>
      <c r="O493" s="24"/>
      <c r="P493" s="24"/>
      <c r="Q493" s="24"/>
      <c r="V493" s="24"/>
      <c r="W493" s="24"/>
      <c r="X493" s="24"/>
      <c r="Y493" s="24"/>
      <c r="AA493" s="24">
        <v>45812.627925694447</v>
      </c>
      <c r="AB493" s="24">
        <v>45812.627925694447</v>
      </c>
      <c r="AC493" s="24">
        <v>45813.378695474537</v>
      </c>
      <c r="AD493" s="24">
        <v>45813.378695474537</v>
      </c>
      <c r="AE493">
        <v>1</v>
      </c>
      <c r="AF493" s="24">
        <v>45813.378695474537</v>
      </c>
      <c r="AG493" s="24">
        <v>45813.378695474537</v>
      </c>
      <c r="AH493" s="24">
        <v>45813.408283680554</v>
      </c>
      <c r="AI493" s="24">
        <v>45813.408283680554</v>
      </c>
      <c r="AJ493">
        <v>1</v>
      </c>
      <c r="AK493" s="24"/>
      <c r="AL493" s="24"/>
      <c r="AM493" s="24"/>
      <c r="AN493" s="24"/>
      <c r="AP493" s="24"/>
      <c r="AQ493" s="24"/>
      <c r="AR493" s="24">
        <v>45805.489072881945</v>
      </c>
      <c r="AS493" s="24">
        <v>45805.489072881945</v>
      </c>
      <c r="AX493" s="24"/>
      <c r="AY493" s="24"/>
      <c r="AZ493" s="24"/>
      <c r="BA493" s="24"/>
      <c r="BC493" s="24"/>
      <c r="BD493" s="24"/>
      <c r="BE493" s="24"/>
      <c r="BF493" s="24"/>
      <c r="BH493" s="24">
        <v>45805.489072881945</v>
      </c>
      <c r="BI493" s="24">
        <v>45805.489072881945</v>
      </c>
      <c r="BJ493" s="24">
        <v>45812.627925694447</v>
      </c>
      <c r="BK493" s="24">
        <v>45812.627925694447</v>
      </c>
      <c r="BL493">
        <v>1</v>
      </c>
      <c r="BM493" s="24"/>
      <c r="BN493" s="24"/>
      <c r="BO493" s="24"/>
      <c r="BP493" s="24"/>
      <c r="BR493" s="24"/>
      <c r="BS493" s="24"/>
      <c r="BT493" s="24"/>
      <c r="BU493" s="24"/>
      <c r="BW493" s="24"/>
      <c r="BX493" s="24"/>
      <c r="BY493" s="24"/>
      <c r="BZ493" s="24"/>
      <c r="CB493" s="24"/>
      <c r="CC493" s="24"/>
      <c r="CE493" s="24">
        <v>45813.408283680554</v>
      </c>
      <c r="CF493" s="24">
        <v>45813.408283680554</v>
      </c>
      <c r="CG493">
        <v>1</v>
      </c>
      <c r="CH493" s="24"/>
      <c r="CI493" s="24"/>
      <c r="CJ493" s="24"/>
      <c r="CK493" s="24"/>
      <c r="DE493" s="24"/>
      <c r="DF493" s="24"/>
      <c r="DG493" s="24"/>
      <c r="DH493" s="24"/>
      <c r="DJ493" t="s">
        <v>149</v>
      </c>
      <c r="DK493" t="s">
        <v>149</v>
      </c>
      <c r="DM493">
        <v>8</v>
      </c>
      <c r="DN493">
        <v>1</v>
      </c>
      <c r="DQ493" t="s">
        <v>1000</v>
      </c>
      <c r="DR493" t="s">
        <v>149</v>
      </c>
      <c r="DS493" s="24">
        <v>46160.384426226854</v>
      </c>
    </row>
    <row r="494" spans="1:123" x14ac:dyDescent="0.3">
      <c r="A494" t="s">
        <v>744</v>
      </c>
      <c r="D494" t="s">
        <v>223</v>
      </c>
      <c r="E494" s="24">
        <v>45800.337280092594</v>
      </c>
      <c r="G494" t="s">
        <v>90</v>
      </c>
      <c r="H494" t="s">
        <v>155</v>
      </c>
      <c r="I494" s="24"/>
      <c r="J494" s="24"/>
      <c r="K494" s="24"/>
      <c r="L494" s="24"/>
      <c r="N494" s="24"/>
      <c r="O494" s="24"/>
      <c r="P494" s="24"/>
      <c r="Q494" s="24"/>
      <c r="V494" s="24"/>
      <c r="W494" s="24"/>
      <c r="X494" s="24"/>
      <c r="Y494" s="24"/>
      <c r="AA494" s="24">
        <v>45810.37719590278</v>
      </c>
      <c r="AB494" s="24">
        <v>45810.37719590278</v>
      </c>
      <c r="AC494" s="24">
        <v>45812.346905937498</v>
      </c>
      <c r="AD494" s="24">
        <v>45812.346905937498</v>
      </c>
      <c r="AE494">
        <v>1</v>
      </c>
      <c r="AF494" s="24"/>
      <c r="AG494" s="24"/>
      <c r="AH494" s="24"/>
      <c r="AI494" s="24"/>
      <c r="AK494" s="24"/>
      <c r="AL494" s="24"/>
      <c r="AM494" s="24"/>
      <c r="AN494" s="24"/>
      <c r="AP494" s="24"/>
      <c r="AQ494" s="24"/>
      <c r="AR494" s="24">
        <v>45805.487980243059</v>
      </c>
      <c r="AS494" s="24">
        <v>45805.487980243059</v>
      </c>
      <c r="AX494" s="24"/>
      <c r="AY494" s="24"/>
      <c r="AZ494" s="24"/>
      <c r="BA494" s="24"/>
      <c r="BC494" s="24"/>
      <c r="BD494" s="24"/>
      <c r="BE494" s="24"/>
      <c r="BF494" s="24"/>
      <c r="BH494" s="24">
        <v>45805.487980243059</v>
      </c>
      <c r="BI494" s="24">
        <v>45805.487980243059</v>
      </c>
      <c r="BJ494" s="24">
        <v>45810.37719590278</v>
      </c>
      <c r="BK494" s="24">
        <v>45810.37719590278</v>
      </c>
      <c r="BL494">
        <v>1</v>
      </c>
      <c r="BM494" s="24"/>
      <c r="BN494" s="24"/>
      <c r="BO494" s="24"/>
      <c r="BP494" s="24"/>
      <c r="BR494" s="24">
        <v>45812.346905937498</v>
      </c>
      <c r="BS494" s="24">
        <v>45812.346905937498</v>
      </c>
      <c r="BT494" s="24">
        <v>45812.406612372688</v>
      </c>
      <c r="BU494" s="24">
        <v>45812.406612372688</v>
      </c>
      <c r="BV494">
        <v>1</v>
      </c>
      <c r="BW494" s="24"/>
      <c r="BX494" s="24"/>
      <c r="BY494" s="24"/>
      <c r="BZ494" s="24"/>
      <c r="CB494" s="24"/>
      <c r="CC494" s="24"/>
      <c r="CE494" s="24">
        <v>45812.406612372688</v>
      </c>
      <c r="CF494" s="24">
        <v>45812.406612372688</v>
      </c>
      <c r="CG494">
        <v>1</v>
      </c>
      <c r="CH494" s="24"/>
      <c r="CI494" s="24"/>
      <c r="CJ494" s="24"/>
      <c r="CK494" s="24"/>
      <c r="DE494" s="24"/>
      <c r="DF494" s="24"/>
      <c r="DG494" s="24"/>
      <c r="DH494" s="24"/>
      <c r="DJ494" t="s">
        <v>149</v>
      </c>
      <c r="DK494" t="s">
        <v>149</v>
      </c>
      <c r="DM494">
        <v>7</v>
      </c>
      <c r="DN494">
        <v>3</v>
      </c>
      <c r="DQ494" t="s">
        <v>1000</v>
      </c>
      <c r="DR494" t="s">
        <v>149</v>
      </c>
      <c r="DS494" s="24">
        <v>46160.384426226854</v>
      </c>
    </row>
    <row r="495" spans="1:123" x14ac:dyDescent="0.3">
      <c r="A495" t="s">
        <v>745</v>
      </c>
      <c r="D495" t="s">
        <v>225</v>
      </c>
      <c r="E495" s="24">
        <v>45798.486284722225</v>
      </c>
      <c r="G495" t="s">
        <v>90</v>
      </c>
      <c r="H495" t="s">
        <v>155</v>
      </c>
      <c r="I495" s="24"/>
      <c r="J495" s="24"/>
      <c r="K495" s="24"/>
      <c r="L495" s="24"/>
      <c r="N495" s="24"/>
      <c r="O495" s="24"/>
      <c r="P495" s="24"/>
      <c r="Q495" s="24"/>
      <c r="V495" s="24"/>
      <c r="W495" s="24"/>
      <c r="X495" s="24"/>
      <c r="Y495" s="24"/>
      <c r="AA495" s="24">
        <v>45799.356982106481</v>
      </c>
      <c r="AB495" s="24">
        <v>45799.356982106481</v>
      </c>
      <c r="AC495" s="24">
        <v>45799.485975659722</v>
      </c>
      <c r="AD495" s="24">
        <v>45799.485975659722</v>
      </c>
      <c r="AE495">
        <v>1</v>
      </c>
      <c r="AF495" s="24">
        <v>45799.485975659722</v>
      </c>
      <c r="AG495" s="24">
        <v>45799.485975659722</v>
      </c>
      <c r="AH495" s="24">
        <v>45800.442422245367</v>
      </c>
      <c r="AI495" s="24">
        <v>45800.442422245367</v>
      </c>
      <c r="AJ495">
        <v>1</v>
      </c>
      <c r="AK495" s="24">
        <v>45800.442422245367</v>
      </c>
      <c r="AL495" s="24">
        <v>45800.442422245367</v>
      </c>
      <c r="AM495" s="24">
        <v>45800.48093784722</v>
      </c>
      <c r="AN495" s="24">
        <v>45800.48093784722</v>
      </c>
      <c r="AO495">
        <v>1</v>
      </c>
      <c r="AP495" s="24"/>
      <c r="AQ495" s="24"/>
      <c r="AR495" s="24">
        <v>45799.356882962966</v>
      </c>
      <c r="AS495" s="24">
        <v>45799.356882962966</v>
      </c>
      <c r="AX495" s="24"/>
      <c r="AY495" s="24"/>
      <c r="AZ495" s="24"/>
      <c r="BA495" s="24"/>
      <c r="BC495" s="24">
        <v>45800.481003993053</v>
      </c>
      <c r="BD495" s="24">
        <v>45800.481003993053</v>
      </c>
      <c r="BE495" s="24">
        <v>45803.643623553238</v>
      </c>
      <c r="BF495" s="24">
        <v>45803.643623553238</v>
      </c>
      <c r="BG495">
        <v>1</v>
      </c>
      <c r="BH495" s="24">
        <v>45799.356882962966</v>
      </c>
      <c r="BI495" s="24">
        <v>45799.356882962966</v>
      </c>
      <c r="BJ495" s="24">
        <v>45799.356982106481</v>
      </c>
      <c r="BK495" s="24">
        <v>45799.356982106481</v>
      </c>
      <c r="BL495">
        <v>1</v>
      </c>
      <c r="BM495" s="24"/>
      <c r="BN495" s="24"/>
      <c r="BO495" s="24"/>
      <c r="BP495" s="24"/>
      <c r="BR495" s="24">
        <v>45800.48093784722</v>
      </c>
      <c r="BS495" s="24">
        <v>45800.48093784722</v>
      </c>
      <c r="BT495" s="24">
        <v>45800.481003993053</v>
      </c>
      <c r="BU495" s="24">
        <v>45800.481003993053</v>
      </c>
      <c r="BV495">
        <v>1</v>
      </c>
      <c r="BW495" s="24"/>
      <c r="BX495" s="24"/>
      <c r="BY495" s="24"/>
      <c r="BZ495" s="24"/>
      <c r="CB495" s="24"/>
      <c r="CC495" s="24"/>
      <c r="CE495" s="24">
        <v>45803.643623553238</v>
      </c>
      <c r="CF495" s="24">
        <v>45803.643623553238</v>
      </c>
      <c r="CG495">
        <v>1</v>
      </c>
      <c r="CH495" s="24"/>
      <c r="CI495" s="24"/>
      <c r="CJ495" s="24"/>
      <c r="CK495" s="24"/>
      <c r="DE495" s="24"/>
      <c r="DF495" s="24"/>
      <c r="DG495" s="24"/>
      <c r="DH495" s="24"/>
      <c r="DJ495" t="s">
        <v>149</v>
      </c>
      <c r="DK495" t="s">
        <v>149</v>
      </c>
      <c r="DM495">
        <v>5</v>
      </c>
      <c r="DN495">
        <v>5</v>
      </c>
      <c r="DQ495" t="s">
        <v>1000</v>
      </c>
      <c r="DR495" t="s">
        <v>149</v>
      </c>
      <c r="DS495" s="24">
        <v>46160.384426226854</v>
      </c>
    </row>
    <row r="496" spans="1:123" x14ac:dyDescent="0.3">
      <c r="A496" t="s">
        <v>746</v>
      </c>
      <c r="D496" t="s">
        <v>223</v>
      </c>
      <c r="E496" s="24">
        <v>45798.468240740738</v>
      </c>
      <c r="G496" t="s">
        <v>90</v>
      </c>
      <c r="H496" t="s">
        <v>155</v>
      </c>
      <c r="I496" s="24"/>
      <c r="J496" s="24"/>
      <c r="K496" s="24"/>
      <c r="L496" s="24"/>
      <c r="N496" s="24">
        <v>45799.414588541666</v>
      </c>
      <c r="O496" s="24">
        <v>45799.414588541666</v>
      </c>
      <c r="P496" s="24">
        <v>45800.405904236111</v>
      </c>
      <c r="Q496" s="24">
        <v>45800.405904236111</v>
      </c>
      <c r="R496">
        <v>1</v>
      </c>
      <c r="V496" s="24"/>
      <c r="W496" s="24"/>
      <c r="X496" s="24"/>
      <c r="Y496" s="24"/>
      <c r="AA496" s="24">
        <v>45800.405904236111</v>
      </c>
      <c r="AB496" s="24">
        <v>45798.479402453704</v>
      </c>
      <c r="AC496" s="24">
        <v>45799.414588541666</v>
      </c>
      <c r="AD496" s="24">
        <v>45800.406027326389</v>
      </c>
      <c r="AE496">
        <v>2</v>
      </c>
      <c r="AF496" s="24"/>
      <c r="AG496" s="24"/>
      <c r="AH496" s="24"/>
      <c r="AI496" s="24"/>
      <c r="AK496" s="24"/>
      <c r="AL496" s="24"/>
      <c r="AM496" s="24"/>
      <c r="AN496" s="24"/>
      <c r="AP496" s="24"/>
      <c r="AQ496" s="24"/>
      <c r="AR496" s="24">
        <v>45798.473295405092</v>
      </c>
      <c r="AS496" s="24">
        <v>45798.473295405092</v>
      </c>
      <c r="AX496" s="24"/>
      <c r="AY496" s="24"/>
      <c r="AZ496" s="24"/>
      <c r="BA496" s="24"/>
      <c r="BC496" s="24"/>
      <c r="BD496" s="24"/>
      <c r="BE496" s="24"/>
      <c r="BF496" s="24"/>
      <c r="BH496" s="24">
        <v>45798.473295405092</v>
      </c>
      <c r="BI496" s="24">
        <v>45798.473295405092</v>
      </c>
      <c r="BJ496" s="24">
        <v>45798.479402453704</v>
      </c>
      <c r="BK496" s="24">
        <v>45798.479402453704</v>
      </c>
      <c r="BL496">
        <v>1</v>
      </c>
      <c r="BM496" s="24"/>
      <c r="BN496" s="24"/>
      <c r="BO496" s="24"/>
      <c r="BP496" s="24"/>
      <c r="BR496" s="24"/>
      <c r="BS496" s="24"/>
      <c r="BT496" s="24"/>
      <c r="BU496" s="24"/>
      <c r="BW496" s="24"/>
      <c r="BX496" s="24"/>
      <c r="BY496" s="24"/>
      <c r="BZ496" s="24"/>
      <c r="CB496" s="24"/>
      <c r="CC496" s="24"/>
      <c r="CE496" s="24">
        <v>45800.406027326389</v>
      </c>
      <c r="CF496" s="24">
        <v>45800.406027326389</v>
      </c>
      <c r="CG496">
        <v>1</v>
      </c>
      <c r="CH496" s="24"/>
      <c r="CI496" s="24"/>
      <c r="CJ496" s="24"/>
      <c r="CK496" s="24"/>
      <c r="DE496" s="24"/>
      <c r="DF496" s="24"/>
      <c r="DG496" s="24"/>
      <c r="DH496" s="24"/>
      <c r="DJ496" t="s">
        <v>149</v>
      </c>
      <c r="DK496" t="s">
        <v>149</v>
      </c>
      <c r="DL496">
        <v>0.99131562500000003</v>
      </c>
      <c r="DM496">
        <v>2</v>
      </c>
      <c r="DN496">
        <v>2</v>
      </c>
      <c r="DQ496" t="s">
        <v>1000</v>
      </c>
      <c r="DR496" t="s">
        <v>149</v>
      </c>
      <c r="DS496" s="24">
        <v>46160.384426226854</v>
      </c>
    </row>
    <row r="497" spans="1:123" x14ac:dyDescent="0.3">
      <c r="A497" t="s">
        <v>747</v>
      </c>
      <c r="D497" t="s">
        <v>223</v>
      </c>
      <c r="E497" s="24">
        <v>45797.602199074077</v>
      </c>
      <c r="G497" t="s">
        <v>90</v>
      </c>
      <c r="H497" t="s">
        <v>155</v>
      </c>
      <c r="I497" s="24"/>
      <c r="J497" s="24"/>
      <c r="K497" s="24"/>
      <c r="L497" s="24"/>
      <c r="N497" s="24"/>
      <c r="O497" s="24"/>
      <c r="P497" s="24"/>
      <c r="Q497" s="24"/>
      <c r="V497" s="24"/>
      <c r="W497" s="24"/>
      <c r="X497" s="24"/>
      <c r="Y497" s="24"/>
      <c r="AA497" s="24">
        <v>45798.399076574075</v>
      </c>
      <c r="AB497" s="24">
        <v>45797.620111168981</v>
      </c>
      <c r="AC497" s="24">
        <v>45797.695929930553</v>
      </c>
      <c r="AD497" s="24">
        <v>45798.399120034723</v>
      </c>
      <c r="AE497">
        <v>2</v>
      </c>
      <c r="AF497" s="24">
        <v>45798.399120034723</v>
      </c>
      <c r="AG497" s="24">
        <v>45797.695929930553</v>
      </c>
      <c r="AH497" s="24">
        <v>45798.398427372682</v>
      </c>
      <c r="AI497" s="24">
        <v>45798.636773148151</v>
      </c>
      <c r="AJ497">
        <v>2</v>
      </c>
      <c r="AK497" s="24">
        <v>45798.398427372682</v>
      </c>
      <c r="AL497" s="24">
        <v>45798.398427372682</v>
      </c>
      <c r="AM497" s="24">
        <v>45798.399076574075</v>
      </c>
      <c r="AN497" s="24">
        <v>45798.399076574075</v>
      </c>
      <c r="AO497">
        <v>1</v>
      </c>
      <c r="AP497" s="24"/>
      <c r="AQ497" s="24"/>
      <c r="AR497" s="24">
        <v>45797.620006770834</v>
      </c>
      <c r="AS497" s="24">
        <v>45797.620006770834</v>
      </c>
      <c r="AX497" s="24"/>
      <c r="AY497" s="24"/>
      <c r="AZ497" s="24"/>
      <c r="BA497" s="24"/>
      <c r="BC497" s="24"/>
      <c r="BD497" s="24"/>
      <c r="BE497" s="24"/>
      <c r="BF497" s="24"/>
      <c r="BH497" s="24">
        <v>45797.620006770834</v>
      </c>
      <c r="BI497" s="24">
        <v>45797.620006770834</v>
      </c>
      <c r="BJ497" s="24">
        <v>45797.620111168981</v>
      </c>
      <c r="BK497" s="24">
        <v>45797.620111168981</v>
      </c>
      <c r="BL497">
        <v>1</v>
      </c>
      <c r="BM497" s="24"/>
      <c r="BN497" s="24"/>
      <c r="BO497" s="24"/>
      <c r="BP497" s="24"/>
      <c r="BR497" s="24">
        <v>45798.636773148151</v>
      </c>
      <c r="BS497" s="24">
        <v>45798.636773148151</v>
      </c>
      <c r="BT497" s="24">
        <v>45799.40886033565</v>
      </c>
      <c r="BU497" s="24">
        <v>45799.40886033565</v>
      </c>
      <c r="BV497">
        <v>1</v>
      </c>
      <c r="BW497" s="24"/>
      <c r="BX497" s="24"/>
      <c r="BY497" s="24"/>
      <c r="BZ497" s="24"/>
      <c r="CB497" s="24"/>
      <c r="CC497" s="24"/>
      <c r="CE497" s="24">
        <v>45799.40886033565</v>
      </c>
      <c r="CF497" s="24">
        <v>45799.40886033565</v>
      </c>
      <c r="CG497">
        <v>1</v>
      </c>
      <c r="CH497" s="24"/>
      <c r="CI497" s="24"/>
      <c r="CJ497" s="24"/>
      <c r="CK497" s="24"/>
      <c r="DE497" s="24"/>
      <c r="DF497" s="24"/>
      <c r="DG497" s="24"/>
      <c r="DH497" s="24"/>
      <c r="DJ497" t="s">
        <v>149</v>
      </c>
      <c r="DK497" t="s">
        <v>149</v>
      </c>
      <c r="DM497">
        <v>2</v>
      </c>
      <c r="DN497">
        <v>2</v>
      </c>
      <c r="DQ497" t="s">
        <v>1000</v>
      </c>
      <c r="DR497" t="s">
        <v>149</v>
      </c>
      <c r="DS497" s="24">
        <v>46160.384426226854</v>
      </c>
    </row>
    <row r="498" spans="1:123" x14ac:dyDescent="0.3">
      <c r="A498" t="s">
        <v>748</v>
      </c>
      <c r="D498" t="s">
        <v>225</v>
      </c>
      <c r="E498" s="24">
        <v>45797.581967592596</v>
      </c>
      <c r="G498" t="s">
        <v>90</v>
      </c>
      <c r="H498" t="s">
        <v>155</v>
      </c>
      <c r="I498" s="24"/>
      <c r="J498" s="24"/>
      <c r="K498" s="24"/>
      <c r="L498" s="24"/>
      <c r="N498" s="24"/>
      <c r="O498" s="24"/>
      <c r="P498" s="24"/>
      <c r="Q498" s="24"/>
      <c r="V498" s="24"/>
      <c r="W498" s="24"/>
      <c r="X498" s="24"/>
      <c r="Y498" s="24"/>
      <c r="AA498" s="24">
        <v>45797.583709467595</v>
      </c>
      <c r="AB498" s="24">
        <v>45797.583709467595</v>
      </c>
      <c r="AC498" s="24">
        <v>45798.450634409724</v>
      </c>
      <c r="AD498" s="24">
        <v>45798.450634409724</v>
      </c>
      <c r="AE498">
        <v>1</v>
      </c>
      <c r="AF498" s="24">
        <v>45798.450634409724</v>
      </c>
      <c r="AG498" s="24">
        <v>45798.450634409724</v>
      </c>
      <c r="AH498" s="24">
        <v>45800.379891215278</v>
      </c>
      <c r="AI498" s="24">
        <v>45800.379891215278</v>
      </c>
      <c r="AJ498">
        <v>1</v>
      </c>
      <c r="AK498" s="24">
        <v>45800.379891215278</v>
      </c>
      <c r="AL498" s="24">
        <v>45800.379891215278</v>
      </c>
      <c r="AM498" s="24">
        <v>45800.379964236112</v>
      </c>
      <c r="AN498" s="24">
        <v>45800.379964236112</v>
      </c>
      <c r="AO498">
        <v>1</v>
      </c>
      <c r="AP498" s="24"/>
      <c r="AQ498" s="24"/>
      <c r="AR498" s="24">
        <v>45797.583591909723</v>
      </c>
      <c r="AS498" s="24">
        <v>45797.583591909723</v>
      </c>
      <c r="AX498" s="24"/>
      <c r="AY498" s="24"/>
      <c r="AZ498" s="24"/>
      <c r="BA498" s="24"/>
      <c r="BC498" s="24">
        <v>45800.404244456018</v>
      </c>
      <c r="BD498" s="24">
        <v>45800.404244456018</v>
      </c>
      <c r="BE498" s="24">
        <v>45803.643623819444</v>
      </c>
      <c r="BF498" s="24">
        <v>45803.643623819444</v>
      </c>
      <c r="BG498">
        <v>1</v>
      </c>
      <c r="BH498" s="24">
        <v>45797.583647766201</v>
      </c>
      <c r="BI498" s="24">
        <v>45797.583647766201</v>
      </c>
      <c r="BJ498" s="24">
        <v>45797.583709467595</v>
      </c>
      <c r="BK498" s="24">
        <v>45797.583709467595</v>
      </c>
      <c r="BL498">
        <v>1</v>
      </c>
      <c r="BM498" s="24"/>
      <c r="BN498" s="24"/>
      <c r="BO498" s="24"/>
      <c r="BP498" s="24"/>
      <c r="BR498" s="24">
        <v>45800.379964236112</v>
      </c>
      <c r="BS498" s="24">
        <v>45800.379964236112</v>
      </c>
      <c r="BT498" s="24">
        <v>45800.404244456018</v>
      </c>
      <c r="BU498" s="24">
        <v>45800.404244456018</v>
      </c>
      <c r="BV498">
        <v>1</v>
      </c>
      <c r="BW498" s="24">
        <v>45797.583591909723</v>
      </c>
      <c r="BX498" s="24">
        <v>45797.583591909723</v>
      </c>
      <c r="BY498" s="24">
        <v>45797.583647766201</v>
      </c>
      <c r="BZ498" s="24">
        <v>45797.583647766201</v>
      </c>
      <c r="CA498">
        <v>1</v>
      </c>
      <c r="CB498" s="24"/>
      <c r="CC498" s="24"/>
      <c r="CE498" s="24">
        <v>45803.643623819444</v>
      </c>
      <c r="CF498" s="24">
        <v>45803.643623819444</v>
      </c>
      <c r="CG498">
        <v>1</v>
      </c>
      <c r="CH498" s="24"/>
      <c r="CI498" s="24"/>
      <c r="CJ498" s="24"/>
      <c r="CK498" s="24"/>
      <c r="DE498" s="24"/>
      <c r="DF498" s="24"/>
      <c r="DG498" s="24"/>
      <c r="DH498" s="24"/>
      <c r="DJ498" t="s">
        <v>149</v>
      </c>
      <c r="DK498" t="s">
        <v>149</v>
      </c>
      <c r="DM498">
        <v>7</v>
      </c>
      <c r="DN498">
        <v>7</v>
      </c>
      <c r="DQ498" t="s">
        <v>1000</v>
      </c>
      <c r="DR498" t="s">
        <v>149</v>
      </c>
      <c r="DS498" s="24">
        <v>46160.384426226854</v>
      </c>
    </row>
    <row r="499" spans="1:123" x14ac:dyDescent="0.3">
      <c r="A499" t="s">
        <v>749</v>
      </c>
      <c r="D499" t="s">
        <v>225</v>
      </c>
      <c r="E499" s="24">
        <v>45797.528981481482</v>
      </c>
      <c r="G499" t="s">
        <v>102</v>
      </c>
      <c r="H499" t="s">
        <v>154</v>
      </c>
      <c r="I499" s="24"/>
      <c r="J499" s="24"/>
      <c r="K499" s="24"/>
      <c r="L499" s="24"/>
      <c r="N499" s="24"/>
      <c r="O499" s="24"/>
      <c r="P499" s="24"/>
      <c r="Q499" s="24"/>
      <c r="V499" s="24"/>
      <c r="W499" s="24"/>
      <c r="X499" s="24"/>
      <c r="Y499" s="24"/>
      <c r="AA499" s="24"/>
      <c r="AB499" s="24"/>
      <c r="AC499" s="24"/>
      <c r="AD499" s="24"/>
      <c r="AF499" s="24"/>
      <c r="AG499" s="24"/>
      <c r="AH499" s="24"/>
      <c r="AI499" s="24"/>
      <c r="AK499" s="24"/>
      <c r="AL499" s="24"/>
      <c r="AM499" s="24"/>
      <c r="AN499" s="24"/>
      <c r="AP499" s="24"/>
      <c r="AQ499" s="24"/>
      <c r="AR499" s="24"/>
      <c r="AS499" s="24"/>
      <c r="AX499" s="24"/>
      <c r="AY499" s="24"/>
      <c r="AZ499" s="24"/>
      <c r="BA499" s="24"/>
      <c r="BC499" s="24"/>
      <c r="BD499" s="24"/>
      <c r="BE499" s="24"/>
      <c r="BF499" s="24"/>
      <c r="BH499" s="24"/>
      <c r="BI499" s="24"/>
      <c r="BJ499" s="24"/>
      <c r="BK499" s="24"/>
      <c r="BM499" s="24"/>
      <c r="BN499" s="24"/>
      <c r="BO499" s="24"/>
      <c r="BP499" s="24"/>
      <c r="BR499" s="24"/>
      <c r="BS499" s="24"/>
      <c r="BT499" s="24"/>
      <c r="BU499" s="24"/>
      <c r="BW499" s="24"/>
      <c r="BX499" s="24"/>
      <c r="BY499" s="24"/>
      <c r="BZ499" s="24"/>
      <c r="CB499" s="24"/>
      <c r="CC499" s="24"/>
      <c r="CE499" s="24"/>
      <c r="CF499" s="24"/>
      <c r="CH499" s="24"/>
      <c r="CI499" s="24"/>
      <c r="CJ499" s="24"/>
      <c r="CK499" s="24"/>
      <c r="DE499" s="24"/>
      <c r="DF499" s="24"/>
      <c r="DG499" s="24"/>
      <c r="DH499" s="24"/>
      <c r="DJ499" t="s">
        <v>149</v>
      </c>
      <c r="DK499" t="s">
        <v>149</v>
      </c>
      <c r="DQ499" t="s">
        <v>1000</v>
      </c>
      <c r="DR499" t="s">
        <v>149</v>
      </c>
      <c r="DS499" s="24">
        <v>46160.384426226854</v>
      </c>
    </row>
    <row r="500" spans="1:123" x14ac:dyDescent="0.3">
      <c r="A500" t="s">
        <v>750</v>
      </c>
      <c r="D500" t="s">
        <v>223</v>
      </c>
      <c r="E500" s="24">
        <v>45797.35833333333</v>
      </c>
      <c r="G500" t="s">
        <v>150</v>
      </c>
      <c r="H500" t="s">
        <v>155</v>
      </c>
      <c r="I500" s="24"/>
      <c r="J500" s="24"/>
      <c r="K500" s="24"/>
      <c r="L500" s="24"/>
      <c r="N500" s="24"/>
      <c r="O500" s="24"/>
      <c r="P500" s="24"/>
      <c r="Q500" s="24"/>
      <c r="V500" s="24"/>
      <c r="W500" s="24"/>
      <c r="X500" s="24"/>
      <c r="Y500" s="24"/>
      <c r="AA500" s="24"/>
      <c r="AB500" s="24"/>
      <c r="AC500" s="24"/>
      <c r="AD500" s="24"/>
      <c r="AF500" s="24"/>
      <c r="AG500" s="24"/>
      <c r="AH500" s="24"/>
      <c r="AI500" s="24"/>
      <c r="AK500" s="24"/>
      <c r="AL500" s="24"/>
      <c r="AM500" s="24"/>
      <c r="AN500" s="24"/>
      <c r="AP500" s="24"/>
      <c r="AQ500" s="24"/>
      <c r="AR500" s="24">
        <v>46127.389428553244</v>
      </c>
      <c r="AS500" s="24">
        <v>46127.389428553244</v>
      </c>
      <c r="AX500" s="24"/>
      <c r="AY500" s="24"/>
      <c r="AZ500" s="24"/>
      <c r="BA500" s="24"/>
      <c r="BC500" s="24"/>
      <c r="BD500" s="24"/>
      <c r="BE500" s="24"/>
      <c r="BF500" s="24"/>
      <c r="BH500" s="24"/>
      <c r="BI500" s="24"/>
      <c r="BJ500" s="24"/>
      <c r="BK500" s="24"/>
      <c r="BM500" s="24"/>
      <c r="BN500" s="24"/>
      <c r="BO500" s="24"/>
      <c r="BP500" s="24"/>
      <c r="BR500" s="24"/>
      <c r="BS500" s="24"/>
      <c r="BT500" s="24"/>
      <c r="BU500" s="24"/>
      <c r="BW500" s="24"/>
      <c r="BX500" s="24"/>
      <c r="BY500" s="24"/>
      <c r="BZ500" s="24"/>
      <c r="CB500" s="24">
        <v>46127.389428553244</v>
      </c>
      <c r="CC500" s="24">
        <v>46127.389428553244</v>
      </c>
      <c r="CD500">
        <v>1</v>
      </c>
      <c r="CE500" s="24"/>
      <c r="CF500" s="24"/>
      <c r="CH500" s="24"/>
      <c r="CI500" s="24"/>
      <c r="CJ500" s="24"/>
      <c r="CK500" s="24"/>
      <c r="DE500" s="24"/>
      <c r="DF500" s="24"/>
      <c r="DG500" s="24"/>
      <c r="DH500" s="24"/>
      <c r="DJ500" t="s">
        <v>149</v>
      </c>
      <c r="DK500" t="s">
        <v>149</v>
      </c>
      <c r="DQ500" t="s">
        <v>1000</v>
      </c>
      <c r="DR500" t="s">
        <v>149</v>
      </c>
      <c r="DS500" s="24">
        <v>46160.384426226854</v>
      </c>
    </row>
    <row r="501" spans="1:123" x14ac:dyDescent="0.3">
      <c r="A501" t="s">
        <v>751</v>
      </c>
      <c r="D501" t="s">
        <v>223</v>
      </c>
      <c r="E501" s="24">
        <v>45797.357557870368</v>
      </c>
      <c r="G501" t="s">
        <v>150</v>
      </c>
      <c r="H501" t="s">
        <v>155</v>
      </c>
      <c r="I501" s="24"/>
      <c r="J501" s="24"/>
      <c r="K501" s="24"/>
      <c r="L501" s="24"/>
      <c r="N501" s="24"/>
      <c r="O501" s="24"/>
      <c r="P501" s="24"/>
      <c r="Q501" s="24"/>
      <c r="V501" s="24"/>
      <c r="W501" s="24"/>
      <c r="X501" s="24"/>
      <c r="Y501" s="24"/>
      <c r="AA501" s="24"/>
      <c r="AB501" s="24"/>
      <c r="AC501" s="24"/>
      <c r="AD501" s="24"/>
      <c r="AF501" s="24"/>
      <c r="AG501" s="24"/>
      <c r="AH501" s="24"/>
      <c r="AI501" s="24"/>
      <c r="AK501" s="24"/>
      <c r="AL501" s="24"/>
      <c r="AM501" s="24"/>
      <c r="AN501" s="24"/>
      <c r="AP501" s="24"/>
      <c r="AQ501" s="24"/>
      <c r="AR501" s="24">
        <v>46127.389727650465</v>
      </c>
      <c r="AS501" s="24">
        <v>46127.389727650465</v>
      </c>
      <c r="AX501" s="24"/>
      <c r="AY501" s="24"/>
      <c r="AZ501" s="24"/>
      <c r="BA501" s="24"/>
      <c r="BC501" s="24"/>
      <c r="BD501" s="24"/>
      <c r="BE501" s="24"/>
      <c r="BF501" s="24"/>
      <c r="BH501" s="24"/>
      <c r="BI501" s="24"/>
      <c r="BJ501" s="24"/>
      <c r="BK501" s="24"/>
      <c r="BM501" s="24"/>
      <c r="BN501" s="24"/>
      <c r="BO501" s="24"/>
      <c r="BP501" s="24"/>
      <c r="BR501" s="24"/>
      <c r="BS501" s="24"/>
      <c r="BT501" s="24"/>
      <c r="BU501" s="24"/>
      <c r="BW501" s="24"/>
      <c r="BX501" s="24"/>
      <c r="BY501" s="24"/>
      <c r="BZ501" s="24"/>
      <c r="CB501" s="24">
        <v>46127.389727650465</v>
      </c>
      <c r="CC501" s="24">
        <v>46127.389727650465</v>
      </c>
      <c r="CD501">
        <v>1</v>
      </c>
      <c r="CE501" s="24"/>
      <c r="CF501" s="24"/>
      <c r="CH501" s="24"/>
      <c r="CI501" s="24"/>
      <c r="CJ501" s="24"/>
      <c r="CK501" s="24"/>
      <c r="DE501" s="24"/>
      <c r="DF501" s="24"/>
      <c r="DG501" s="24"/>
      <c r="DH501" s="24"/>
      <c r="DJ501" t="s">
        <v>149</v>
      </c>
      <c r="DK501" t="s">
        <v>149</v>
      </c>
      <c r="DQ501" t="s">
        <v>1000</v>
      </c>
      <c r="DR501" t="s">
        <v>149</v>
      </c>
      <c r="DS501" s="24">
        <v>46160.384426226854</v>
      </c>
    </row>
    <row r="502" spans="1:123" x14ac:dyDescent="0.3">
      <c r="A502" t="s">
        <v>752</v>
      </c>
      <c r="D502" t="s">
        <v>223</v>
      </c>
      <c r="E502" s="24">
        <v>45796.560104166667</v>
      </c>
      <c r="G502" t="s">
        <v>90</v>
      </c>
      <c r="H502" t="s">
        <v>155</v>
      </c>
      <c r="I502" s="24"/>
      <c r="J502" s="24"/>
      <c r="K502" s="24"/>
      <c r="L502" s="24"/>
      <c r="N502" s="24"/>
      <c r="O502" s="24"/>
      <c r="P502" s="24"/>
      <c r="Q502" s="24"/>
      <c r="V502" s="24"/>
      <c r="W502" s="24"/>
      <c r="X502" s="24"/>
      <c r="Y502" s="24"/>
      <c r="AA502" s="24">
        <v>45798.365939212963</v>
      </c>
      <c r="AB502" s="24">
        <v>45798.365939212963</v>
      </c>
      <c r="AC502" s="24">
        <v>45798.668106747682</v>
      </c>
      <c r="AD502" s="24">
        <v>45798.668106747682</v>
      </c>
      <c r="AE502">
        <v>1</v>
      </c>
      <c r="AF502" s="24"/>
      <c r="AG502" s="24"/>
      <c r="AH502" s="24"/>
      <c r="AI502" s="24"/>
      <c r="AK502" s="24"/>
      <c r="AL502" s="24"/>
      <c r="AM502" s="24"/>
      <c r="AN502" s="24"/>
      <c r="AP502" s="24"/>
      <c r="AQ502" s="24"/>
      <c r="AR502" s="24">
        <v>45798.365732523147</v>
      </c>
      <c r="AS502" s="24">
        <v>45798.365732523147</v>
      </c>
      <c r="AX502" s="24"/>
      <c r="AY502" s="24"/>
      <c r="AZ502" s="24"/>
      <c r="BA502" s="24"/>
      <c r="BC502" s="24"/>
      <c r="BD502" s="24"/>
      <c r="BE502" s="24"/>
      <c r="BF502" s="24"/>
      <c r="BH502" s="24">
        <v>45798.365732523147</v>
      </c>
      <c r="BI502" s="24">
        <v>45798.365732523147</v>
      </c>
      <c r="BJ502" s="24">
        <v>45798.365939212963</v>
      </c>
      <c r="BK502" s="24">
        <v>45798.365939212963</v>
      </c>
      <c r="BL502">
        <v>1</v>
      </c>
      <c r="BM502" s="24"/>
      <c r="BN502" s="24"/>
      <c r="BO502" s="24"/>
      <c r="BP502" s="24"/>
      <c r="BR502" s="24">
        <v>45798.668106747682</v>
      </c>
      <c r="BS502" s="24">
        <v>45798.668106747682</v>
      </c>
      <c r="BT502" s="24">
        <v>45799.413914513891</v>
      </c>
      <c r="BU502" s="24">
        <v>45799.413914513891</v>
      </c>
      <c r="BV502">
        <v>1</v>
      </c>
      <c r="BW502" s="24"/>
      <c r="BX502" s="24"/>
      <c r="BY502" s="24"/>
      <c r="BZ502" s="24"/>
      <c r="CB502" s="24"/>
      <c r="CC502" s="24"/>
      <c r="CE502" s="24">
        <v>45799.413914513891</v>
      </c>
      <c r="CF502" s="24">
        <v>45799.413914513891</v>
      </c>
      <c r="CG502">
        <v>1</v>
      </c>
      <c r="CH502" s="24"/>
      <c r="CI502" s="24"/>
      <c r="CJ502" s="24"/>
      <c r="CK502" s="24"/>
      <c r="DE502" s="24"/>
      <c r="DF502" s="24"/>
      <c r="DG502" s="24"/>
      <c r="DH502" s="24"/>
      <c r="DJ502" t="s">
        <v>149</v>
      </c>
      <c r="DK502" t="s">
        <v>149</v>
      </c>
      <c r="DM502">
        <v>2</v>
      </c>
      <c r="DN502">
        <v>2</v>
      </c>
      <c r="DQ502" t="s">
        <v>1000</v>
      </c>
      <c r="DR502" t="s">
        <v>149</v>
      </c>
      <c r="DS502" s="24">
        <v>46160.384426226854</v>
      </c>
    </row>
    <row r="503" spans="1:123" x14ac:dyDescent="0.3">
      <c r="A503" t="s">
        <v>753</v>
      </c>
      <c r="D503" t="s">
        <v>224</v>
      </c>
      <c r="E503" s="24">
        <v>45793.59101851852</v>
      </c>
      <c r="G503" t="s">
        <v>90</v>
      </c>
      <c r="H503" t="s">
        <v>155</v>
      </c>
      <c r="I503" s="24"/>
      <c r="J503" s="24"/>
      <c r="K503" s="24"/>
      <c r="L503" s="24"/>
      <c r="N503" s="24"/>
      <c r="O503" s="24"/>
      <c r="P503" s="24"/>
      <c r="Q503" s="24"/>
      <c r="V503" s="24"/>
      <c r="W503" s="24"/>
      <c r="X503" s="24"/>
      <c r="Y503" s="24"/>
      <c r="AA503" s="24">
        <v>45793.59390615741</v>
      </c>
      <c r="AB503" s="24">
        <v>45793.59390615741</v>
      </c>
      <c r="AC503" s="24">
        <v>45793.624850555556</v>
      </c>
      <c r="AD503" s="24">
        <v>45793.624850555556</v>
      </c>
      <c r="AE503">
        <v>1</v>
      </c>
      <c r="AF503" s="24">
        <v>45793.624850555556</v>
      </c>
      <c r="AG503" s="24">
        <v>45793.624850555556</v>
      </c>
      <c r="AH503" s="24">
        <v>45793.700699456022</v>
      </c>
      <c r="AI503" s="24">
        <v>45793.700699456022</v>
      </c>
      <c r="AJ503">
        <v>1</v>
      </c>
      <c r="AK503" s="24">
        <v>45793.700699456022</v>
      </c>
      <c r="AL503" s="24">
        <v>45793.700699456022</v>
      </c>
      <c r="AM503" s="24">
        <v>45796.627822037037</v>
      </c>
      <c r="AN503" s="24">
        <v>45796.627822037037</v>
      </c>
      <c r="AO503">
        <v>1</v>
      </c>
      <c r="AP503" s="24"/>
      <c r="AQ503" s="24"/>
      <c r="AR503" s="24">
        <v>45793.593867199073</v>
      </c>
      <c r="AS503" s="24">
        <v>45793.593867199073</v>
      </c>
      <c r="AX503" s="24"/>
      <c r="AY503" s="24"/>
      <c r="AZ503" s="24"/>
      <c r="BA503" s="24"/>
      <c r="BC503" s="24">
        <v>45797.407255069447</v>
      </c>
      <c r="BD503" s="24">
        <v>45797.407255069447</v>
      </c>
      <c r="BE503" s="24">
        <v>45803.643623738426</v>
      </c>
      <c r="BF503" s="24">
        <v>45803.643623738426</v>
      </c>
      <c r="BG503">
        <v>1</v>
      </c>
      <c r="BH503" s="24">
        <v>45793.593867199073</v>
      </c>
      <c r="BI503" s="24">
        <v>45793.593867199073</v>
      </c>
      <c r="BJ503" s="24">
        <v>45793.59390615741</v>
      </c>
      <c r="BK503" s="24">
        <v>45793.59390615741</v>
      </c>
      <c r="BL503">
        <v>1</v>
      </c>
      <c r="BM503" s="24"/>
      <c r="BN503" s="24"/>
      <c r="BO503" s="24"/>
      <c r="BP503" s="24"/>
      <c r="BR503" s="24">
        <v>45796.627822037037</v>
      </c>
      <c r="BS503" s="24">
        <v>45796.627822037037</v>
      </c>
      <c r="BT503" s="24">
        <v>45797.407255069447</v>
      </c>
      <c r="BU503" s="24">
        <v>45797.407255069447</v>
      </c>
      <c r="BV503">
        <v>1</v>
      </c>
      <c r="BW503" s="24"/>
      <c r="BX503" s="24"/>
      <c r="BY503" s="24"/>
      <c r="BZ503" s="24"/>
      <c r="CB503" s="24"/>
      <c r="CC503" s="24"/>
      <c r="CE503" s="24">
        <v>45803.643623738426</v>
      </c>
      <c r="CF503" s="24">
        <v>45803.643623738426</v>
      </c>
      <c r="CG503">
        <v>1</v>
      </c>
      <c r="CH503" s="24"/>
      <c r="CI503" s="24"/>
      <c r="CJ503" s="24"/>
      <c r="CK503" s="24"/>
      <c r="DE503" s="24"/>
      <c r="DF503" s="24"/>
      <c r="DG503" s="24"/>
      <c r="DH503" s="24"/>
      <c r="DJ503" t="s">
        <v>149</v>
      </c>
      <c r="DK503" t="s">
        <v>149</v>
      </c>
      <c r="DM503">
        <v>11</v>
      </c>
      <c r="DN503">
        <v>11</v>
      </c>
      <c r="DQ503" t="s">
        <v>1000</v>
      </c>
      <c r="DR503" t="s">
        <v>149</v>
      </c>
      <c r="DS503" s="24">
        <v>46160.384426226854</v>
      </c>
    </row>
    <row r="504" spans="1:123" x14ac:dyDescent="0.3">
      <c r="A504" t="s">
        <v>754</v>
      </c>
      <c r="D504" t="s">
        <v>225</v>
      </c>
      <c r="E504" s="24">
        <v>45793.475659722222</v>
      </c>
      <c r="G504" t="s">
        <v>150</v>
      </c>
      <c r="H504" t="s">
        <v>155</v>
      </c>
      <c r="I504" s="24"/>
      <c r="J504" s="24"/>
      <c r="K504" s="24"/>
      <c r="L504" s="24"/>
      <c r="N504" s="24"/>
      <c r="O504" s="24"/>
      <c r="P504" s="24"/>
      <c r="Q504" s="24"/>
      <c r="V504" s="24"/>
      <c r="W504" s="24"/>
      <c r="X504" s="24"/>
      <c r="Y504" s="24"/>
      <c r="AA504" s="24"/>
      <c r="AB504" s="24"/>
      <c r="AC504" s="24"/>
      <c r="AD504" s="24"/>
      <c r="AF504" s="24"/>
      <c r="AG504" s="24"/>
      <c r="AH504" s="24"/>
      <c r="AI504" s="24"/>
      <c r="AK504" s="24"/>
      <c r="AL504" s="24"/>
      <c r="AM504" s="24"/>
      <c r="AN504" s="24"/>
      <c r="AP504" s="24"/>
      <c r="AQ504" s="24"/>
      <c r="AR504" s="24">
        <v>45803.553215752312</v>
      </c>
      <c r="AS504" s="24">
        <v>45803.553215752312</v>
      </c>
      <c r="AX504" s="24"/>
      <c r="AY504" s="24"/>
      <c r="AZ504" s="24"/>
      <c r="BA504" s="24"/>
      <c r="BC504" s="24"/>
      <c r="BD504" s="24"/>
      <c r="BE504" s="24"/>
      <c r="BF504" s="24"/>
      <c r="BH504" s="24"/>
      <c r="BI504" s="24"/>
      <c r="BJ504" s="24"/>
      <c r="BK504" s="24"/>
      <c r="BM504" s="24"/>
      <c r="BN504" s="24"/>
      <c r="BO504" s="24"/>
      <c r="BP504" s="24"/>
      <c r="BR504" s="24"/>
      <c r="BS504" s="24"/>
      <c r="BT504" s="24"/>
      <c r="BU504" s="24"/>
      <c r="BW504" s="24"/>
      <c r="BX504" s="24"/>
      <c r="BY504" s="24"/>
      <c r="BZ504" s="24"/>
      <c r="CB504" s="24">
        <v>45803.553215752312</v>
      </c>
      <c r="CC504" s="24">
        <v>45803.553215752312</v>
      </c>
      <c r="CD504">
        <v>1</v>
      </c>
      <c r="CE504" s="24"/>
      <c r="CF504" s="24"/>
      <c r="CH504" s="24"/>
      <c r="CI504" s="24"/>
      <c r="CJ504" s="24"/>
      <c r="CK504" s="24"/>
      <c r="DE504" s="24"/>
      <c r="DF504" s="24"/>
      <c r="DG504" s="24"/>
      <c r="DH504" s="24"/>
      <c r="DJ504" t="s">
        <v>149</v>
      </c>
      <c r="DK504" t="s">
        <v>149</v>
      </c>
      <c r="DQ504" t="s">
        <v>1000</v>
      </c>
      <c r="DR504" t="s">
        <v>149</v>
      </c>
      <c r="DS504" s="24">
        <v>46160.384426226854</v>
      </c>
    </row>
    <row r="505" spans="1:123" x14ac:dyDescent="0.3">
      <c r="A505" t="s">
        <v>755</v>
      </c>
      <c r="D505" t="s">
        <v>223</v>
      </c>
      <c r="E505" s="24">
        <v>45793.472557870373</v>
      </c>
      <c r="G505" t="s">
        <v>90</v>
      </c>
      <c r="H505" t="s">
        <v>155</v>
      </c>
      <c r="I505" s="24"/>
      <c r="J505" s="24"/>
      <c r="K505" s="24"/>
      <c r="L505" s="24"/>
      <c r="N505" s="24"/>
      <c r="O505" s="24"/>
      <c r="P505" s="24"/>
      <c r="Q505" s="24"/>
      <c r="V505" s="24"/>
      <c r="W505" s="24"/>
      <c r="X505" s="24"/>
      <c r="Y505" s="24"/>
      <c r="AA505" s="24">
        <v>45820.312206030096</v>
      </c>
      <c r="AB505" s="24">
        <v>45820.312206030096</v>
      </c>
      <c r="AC505" s="24">
        <v>45824.560706400465</v>
      </c>
      <c r="AD505" s="24">
        <v>45824.560706400465</v>
      </c>
      <c r="AE505">
        <v>1</v>
      </c>
      <c r="AF505" s="24"/>
      <c r="AG505" s="24"/>
      <c r="AH505" s="24"/>
      <c r="AI505" s="24"/>
      <c r="AK505" s="24"/>
      <c r="AL505" s="24"/>
      <c r="AM505" s="24"/>
      <c r="AN505" s="24"/>
      <c r="AP505" s="24"/>
      <c r="AQ505" s="24"/>
      <c r="AR505" s="24">
        <v>45805.487704409723</v>
      </c>
      <c r="AS505" s="24">
        <v>45805.487704409723</v>
      </c>
      <c r="AX505" s="24"/>
      <c r="AY505" s="24"/>
      <c r="AZ505" s="24"/>
      <c r="BA505" s="24"/>
      <c r="BC505" s="24"/>
      <c r="BD505" s="24"/>
      <c r="BE505" s="24"/>
      <c r="BF505" s="24"/>
      <c r="BH505" s="24">
        <v>45805.487704409723</v>
      </c>
      <c r="BI505" s="24">
        <v>45805.487704409723</v>
      </c>
      <c r="BJ505" s="24">
        <v>45820.312206030096</v>
      </c>
      <c r="BK505" s="24">
        <v>45820.312206030096</v>
      </c>
      <c r="BL505">
        <v>1</v>
      </c>
      <c r="BM505" s="24"/>
      <c r="BN505" s="24"/>
      <c r="BO505" s="24"/>
      <c r="BP505" s="24"/>
      <c r="BR505" s="24">
        <v>45824.560706400465</v>
      </c>
      <c r="BS505" s="24">
        <v>45824.560706400465</v>
      </c>
      <c r="BT505" s="24">
        <v>45825.399281018515</v>
      </c>
      <c r="BU505" s="24">
        <v>45825.399281018515</v>
      </c>
      <c r="BV505">
        <v>1</v>
      </c>
      <c r="BW505" s="24"/>
      <c r="BX505" s="24"/>
      <c r="BY505" s="24"/>
      <c r="BZ505" s="24"/>
      <c r="CB505" s="24"/>
      <c r="CC505" s="24"/>
      <c r="CE505" s="24">
        <v>45825.399281018515</v>
      </c>
      <c r="CF505" s="24">
        <v>45825.399281018515</v>
      </c>
      <c r="CG505">
        <v>1</v>
      </c>
      <c r="CH505" s="24"/>
      <c r="CI505" s="24"/>
      <c r="CJ505" s="24"/>
      <c r="CK505" s="24"/>
      <c r="DE505" s="24"/>
      <c r="DF505" s="24"/>
      <c r="DG505" s="24"/>
      <c r="DH505" s="24"/>
      <c r="DJ505" t="s">
        <v>149</v>
      </c>
      <c r="DK505" t="s">
        <v>149</v>
      </c>
      <c r="DM505">
        <v>20</v>
      </c>
      <c r="DN505">
        <v>6</v>
      </c>
      <c r="DQ505" t="s">
        <v>1000</v>
      </c>
      <c r="DR505" t="s">
        <v>149</v>
      </c>
      <c r="DS505" s="24">
        <v>46160.384426226854</v>
      </c>
    </row>
    <row r="506" spans="1:123" x14ac:dyDescent="0.3">
      <c r="A506" t="s">
        <v>756</v>
      </c>
      <c r="D506" t="s">
        <v>223</v>
      </c>
      <c r="E506" s="24">
        <v>45793.327557870369</v>
      </c>
      <c r="G506" t="s">
        <v>90</v>
      </c>
      <c r="H506" t="s">
        <v>155</v>
      </c>
      <c r="I506" s="24"/>
      <c r="J506" s="24"/>
      <c r="K506" s="24"/>
      <c r="L506" s="24"/>
      <c r="N506" s="24"/>
      <c r="O506" s="24"/>
      <c r="P506" s="24"/>
      <c r="Q506" s="24"/>
      <c r="V506" s="24"/>
      <c r="W506" s="24"/>
      <c r="X506" s="24"/>
      <c r="Y506" s="24"/>
      <c r="AA506" s="24">
        <v>45793.329544502318</v>
      </c>
      <c r="AB506" s="24">
        <v>45793.329544502318</v>
      </c>
      <c r="AC506" s="24">
        <v>45793.336194988427</v>
      </c>
      <c r="AD506" s="24">
        <v>45793.336194988427</v>
      </c>
      <c r="AE506">
        <v>1</v>
      </c>
      <c r="AF506" s="24">
        <v>45793.336194988427</v>
      </c>
      <c r="AG506" s="24">
        <v>45793.336194988427</v>
      </c>
      <c r="AH506" s="24">
        <v>45793.408213553237</v>
      </c>
      <c r="AI506" s="24">
        <v>45793.408213553237</v>
      </c>
      <c r="AJ506">
        <v>1</v>
      </c>
      <c r="AK506" s="24"/>
      <c r="AL506" s="24"/>
      <c r="AM506" s="24"/>
      <c r="AN506" s="24"/>
      <c r="AP506" s="24"/>
      <c r="AQ506" s="24"/>
      <c r="AR506" s="24">
        <v>45793.329509988427</v>
      </c>
      <c r="AS506" s="24">
        <v>45793.329509988427</v>
      </c>
      <c r="AX506" s="24"/>
      <c r="AY506" s="24"/>
      <c r="AZ506" s="24"/>
      <c r="BA506" s="24"/>
      <c r="BC506" s="24"/>
      <c r="BD506" s="24"/>
      <c r="BE506" s="24"/>
      <c r="BF506" s="24"/>
      <c r="BH506" s="24">
        <v>45793.329509988427</v>
      </c>
      <c r="BI506" s="24">
        <v>45793.329509988427</v>
      </c>
      <c r="BJ506" s="24">
        <v>45793.329544502318</v>
      </c>
      <c r="BK506" s="24">
        <v>45793.329544502318</v>
      </c>
      <c r="BL506">
        <v>1</v>
      </c>
      <c r="BM506" s="24"/>
      <c r="BN506" s="24"/>
      <c r="BO506" s="24"/>
      <c r="BP506" s="24"/>
      <c r="BR506" s="24">
        <v>45793.408213553237</v>
      </c>
      <c r="BS506" s="24">
        <v>45793.408213553237</v>
      </c>
      <c r="BT506" s="24">
        <v>45793.409417569441</v>
      </c>
      <c r="BU506" s="24">
        <v>45793.409417569441</v>
      </c>
      <c r="BV506">
        <v>1</v>
      </c>
      <c r="BW506" s="24"/>
      <c r="BX506" s="24"/>
      <c r="BY506" s="24"/>
      <c r="BZ506" s="24"/>
      <c r="CB506" s="24"/>
      <c r="CC506" s="24"/>
      <c r="CE506" s="24">
        <v>45793.409417569441</v>
      </c>
      <c r="CF506" s="24">
        <v>45793.409417569441</v>
      </c>
      <c r="CG506">
        <v>1</v>
      </c>
      <c r="CH506" s="24"/>
      <c r="CI506" s="24"/>
      <c r="CJ506" s="24"/>
      <c r="CK506" s="24"/>
      <c r="DE506" s="24"/>
      <c r="DF506" s="24"/>
      <c r="DG506" s="24"/>
      <c r="DH506" s="24"/>
      <c r="DJ506" t="s">
        <v>149</v>
      </c>
      <c r="DK506" t="s">
        <v>149</v>
      </c>
      <c r="DM506">
        <v>1</v>
      </c>
      <c r="DN506">
        <v>1</v>
      </c>
      <c r="DQ506" t="s">
        <v>1000</v>
      </c>
      <c r="DR506" t="s">
        <v>149</v>
      </c>
      <c r="DS506" s="24">
        <v>46160.384426226854</v>
      </c>
    </row>
    <row r="507" spans="1:123" x14ac:dyDescent="0.3">
      <c r="A507" t="s">
        <v>757</v>
      </c>
      <c r="D507" t="s">
        <v>225</v>
      </c>
      <c r="E507" s="24">
        <v>45792.331909722219</v>
      </c>
      <c r="G507" t="s">
        <v>90</v>
      </c>
      <c r="H507" t="s">
        <v>155</v>
      </c>
      <c r="I507" s="24"/>
      <c r="J507" s="24"/>
      <c r="K507" s="24"/>
      <c r="L507" s="24"/>
      <c r="N507" s="24"/>
      <c r="O507" s="24"/>
      <c r="P507" s="24"/>
      <c r="Q507" s="24"/>
      <c r="V507" s="24"/>
      <c r="W507" s="24"/>
      <c r="X507" s="24"/>
      <c r="Y507" s="24"/>
      <c r="AA507" s="24">
        <v>45792.333930659719</v>
      </c>
      <c r="AB507" s="24">
        <v>45792.333930659719</v>
      </c>
      <c r="AC507" s="24">
        <v>45792.392224363422</v>
      </c>
      <c r="AD507" s="24">
        <v>45792.392224363422</v>
      </c>
      <c r="AE507">
        <v>1</v>
      </c>
      <c r="AF507" s="24">
        <v>45792.392224363422</v>
      </c>
      <c r="AG507" s="24">
        <v>45792.392224363422</v>
      </c>
      <c r="AH507" s="24">
        <v>45792.475564409724</v>
      </c>
      <c r="AI507" s="24">
        <v>45792.475564409724</v>
      </c>
      <c r="AJ507">
        <v>1</v>
      </c>
      <c r="AK507" s="24">
        <v>45792.475564409724</v>
      </c>
      <c r="AL507" s="24">
        <v>45792.475564409724</v>
      </c>
      <c r="AM507" s="24">
        <v>45792.562868900466</v>
      </c>
      <c r="AN507" s="24">
        <v>45792.562868900466</v>
      </c>
      <c r="AO507">
        <v>1</v>
      </c>
      <c r="AP507" s="24"/>
      <c r="AQ507" s="24"/>
      <c r="AR507" s="24">
        <v>45792.333896655095</v>
      </c>
      <c r="AS507" s="24">
        <v>45792.333896655095</v>
      </c>
      <c r="AX507" s="24"/>
      <c r="AY507" s="24"/>
      <c r="AZ507" s="24"/>
      <c r="BA507" s="24"/>
      <c r="BC507" s="24">
        <v>45793.407942696758</v>
      </c>
      <c r="BD507" s="24">
        <v>45793.407942696758</v>
      </c>
      <c r="BE507" s="24">
        <v>45803.643624305558</v>
      </c>
      <c r="BF507" s="24">
        <v>45803.643624305558</v>
      </c>
      <c r="BG507">
        <v>1</v>
      </c>
      <c r="BH507" s="24">
        <v>45792.333896655095</v>
      </c>
      <c r="BI507" s="24">
        <v>45792.333896655095</v>
      </c>
      <c r="BJ507" s="24">
        <v>45792.333930659719</v>
      </c>
      <c r="BK507" s="24">
        <v>45792.333930659719</v>
      </c>
      <c r="BL507">
        <v>1</v>
      </c>
      <c r="BM507" s="24"/>
      <c r="BN507" s="24"/>
      <c r="BO507" s="24"/>
      <c r="BP507" s="24"/>
      <c r="BR507" s="24">
        <v>45792.562868900466</v>
      </c>
      <c r="BS507" s="24">
        <v>45792.562868900466</v>
      </c>
      <c r="BT507" s="24">
        <v>45793.407942696758</v>
      </c>
      <c r="BU507" s="24">
        <v>45793.407942696758</v>
      </c>
      <c r="BV507">
        <v>1</v>
      </c>
      <c r="BW507" s="24"/>
      <c r="BX507" s="24"/>
      <c r="BY507" s="24"/>
      <c r="BZ507" s="24"/>
      <c r="CB507" s="24"/>
      <c r="CC507" s="24"/>
      <c r="CE507" s="24">
        <v>45803.643624305558</v>
      </c>
      <c r="CF507" s="24">
        <v>45803.643624305558</v>
      </c>
      <c r="CG507">
        <v>1</v>
      </c>
      <c r="CH507" s="24"/>
      <c r="CI507" s="24"/>
      <c r="CJ507" s="24"/>
      <c r="CK507" s="24"/>
      <c r="DE507" s="24"/>
      <c r="DF507" s="24"/>
      <c r="DG507" s="24"/>
      <c r="DH507" s="24"/>
      <c r="DJ507" t="s">
        <v>149</v>
      </c>
      <c r="DK507" t="s">
        <v>149</v>
      </c>
      <c r="DM507">
        <v>12</v>
      </c>
      <c r="DN507">
        <v>12</v>
      </c>
      <c r="DQ507" t="s">
        <v>1000</v>
      </c>
      <c r="DR507" t="s">
        <v>149</v>
      </c>
      <c r="DS507" s="24">
        <v>46160.384426226854</v>
      </c>
    </row>
    <row r="508" spans="1:123" x14ac:dyDescent="0.3">
      <c r="A508" t="s">
        <v>758</v>
      </c>
      <c r="D508" t="s">
        <v>225</v>
      </c>
      <c r="E508" s="24">
        <v>45791.503437500003</v>
      </c>
      <c r="G508" t="s">
        <v>90</v>
      </c>
      <c r="H508" t="s">
        <v>155</v>
      </c>
      <c r="I508" s="24"/>
      <c r="J508" s="24"/>
      <c r="K508" s="24"/>
      <c r="L508" s="24"/>
      <c r="N508" s="24"/>
      <c r="O508" s="24"/>
      <c r="P508" s="24"/>
      <c r="Q508" s="24"/>
      <c r="V508" s="24"/>
      <c r="W508" s="24"/>
      <c r="X508" s="24"/>
      <c r="Y508" s="24"/>
      <c r="AA508" s="24">
        <v>45791.659682673613</v>
      </c>
      <c r="AB508" s="24">
        <v>45791.659682673613</v>
      </c>
      <c r="AC508" s="24">
        <v>45791.659806516203</v>
      </c>
      <c r="AD508" s="24">
        <v>45791.659806516203</v>
      </c>
      <c r="AE508">
        <v>1</v>
      </c>
      <c r="AF508" s="24">
        <v>45791.660438715277</v>
      </c>
      <c r="AG508" s="24">
        <v>45791.660438715277</v>
      </c>
      <c r="AH508" s="24">
        <v>45791.70920878472</v>
      </c>
      <c r="AI508" s="24">
        <v>45791.70920878472</v>
      </c>
      <c r="AJ508">
        <v>1</v>
      </c>
      <c r="AK508" s="24">
        <v>45791.70920878472</v>
      </c>
      <c r="AL508" s="24">
        <v>45791.70920878472</v>
      </c>
      <c r="AM508" s="24">
        <v>45792.352373136571</v>
      </c>
      <c r="AN508" s="24">
        <v>45792.352373136571</v>
      </c>
      <c r="AO508">
        <v>1</v>
      </c>
      <c r="AP508" s="24"/>
      <c r="AQ508" s="24"/>
      <c r="AR508" s="24">
        <v>45791.659627430556</v>
      </c>
      <c r="AS508" s="24">
        <v>45791.659627430556</v>
      </c>
      <c r="AX508" s="24"/>
      <c r="AY508" s="24"/>
      <c r="AZ508" s="24"/>
      <c r="BA508" s="24"/>
      <c r="BC508" s="24">
        <v>45792.407354027775</v>
      </c>
      <c r="BD508" s="24">
        <v>45792.407354027775</v>
      </c>
      <c r="BE508" s="24">
        <v>45803.643626226854</v>
      </c>
      <c r="BF508" s="24">
        <v>45803.643626226854</v>
      </c>
      <c r="BG508">
        <v>1</v>
      </c>
      <c r="BH508" s="24">
        <v>45791.659627430556</v>
      </c>
      <c r="BI508" s="24">
        <v>45791.659627430556</v>
      </c>
      <c r="BJ508" s="24">
        <v>45791.659682673613</v>
      </c>
      <c r="BK508" s="24">
        <v>45791.659682673613</v>
      </c>
      <c r="BL508">
        <v>1</v>
      </c>
      <c r="BM508" s="24">
        <v>45791.659806516203</v>
      </c>
      <c r="BN508" s="24">
        <v>45791.659806516203</v>
      </c>
      <c r="BO508" s="24">
        <v>45791.660438715277</v>
      </c>
      <c r="BP508" s="24">
        <v>45791.660438715277</v>
      </c>
      <c r="BQ508">
        <v>1</v>
      </c>
      <c r="BR508" s="24">
        <v>45792.352373136571</v>
      </c>
      <c r="BS508" s="24">
        <v>45792.352373136571</v>
      </c>
      <c r="BT508" s="24">
        <v>45792.407354027775</v>
      </c>
      <c r="BU508" s="24">
        <v>45792.407354027775</v>
      </c>
      <c r="BV508">
        <v>1</v>
      </c>
      <c r="BW508" s="24"/>
      <c r="BX508" s="24"/>
      <c r="BY508" s="24"/>
      <c r="BZ508" s="24"/>
      <c r="CB508" s="24"/>
      <c r="CC508" s="24"/>
      <c r="CE508" s="24">
        <v>45803.643626226854</v>
      </c>
      <c r="CF508" s="24">
        <v>45803.643626226854</v>
      </c>
      <c r="CG508">
        <v>1</v>
      </c>
      <c r="CH508" s="24"/>
      <c r="CI508" s="24"/>
      <c r="CJ508" s="24"/>
      <c r="CK508" s="24"/>
      <c r="DE508" s="24"/>
      <c r="DF508" s="24"/>
      <c r="DG508" s="24"/>
      <c r="DH508" s="24"/>
      <c r="DJ508" t="s">
        <v>149</v>
      </c>
      <c r="DK508" t="s">
        <v>149</v>
      </c>
      <c r="DM508">
        <v>12</v>
      </c>
      <c r="DN508">
        <v>12</v>
      </c>
      <c r="DQ508" t="s">
        <v>1000</v>
      </c>
      <c r="DR508" t="s">
        <v>149</v>
      </c>
      <c r="DS508" s="24">
        <v>46160.384426226854</v>
      </c>
    </row>
    <row r="509" spans="1:123" x14ac:dyDescent="0.3">
      <c r="A509" t="s">
        <v>759</v>
      </c>
      <c r="D509" t="s">
        <v>225</v>
      </c>
      <c r="E509" s="24">
        <v>45790.626064814816</v>
      </c>
      <c r="G509" t="s">
        <v>90</v>
      </c>
      <c r="H509" t="s">
        <v>155</v>
      </c>
      <c r="I509" s="24"/>
      <c r="J509" s="24"/>
      <c r="K509" s="24"/>
      <c r="L509" s="24"/>
      <c r="N509" s="24"/>
      <c r="O509" s="24"/>
      <c r="P509" s="24"/>
      <c r="Q509" s="24"/>
      <c r="V509" s="24"/>
      <c r="W509" s="24"/>
      <c r="X509" s="24"/>
      <c r="Y509" s="24"/>
      <c r="AA509" s="24">
        <v>45790.67364400463</v>
      </c>
      <c r="AB509" s="24">
        <v>45790.67364400463</v>
      </c>
      <c r="AC509" s="24">
        <v>45790.673745358799</v>
      </c>
      <c r="AD509" s="24">
        <v>45790.673745358799</v>
      </c>
      <c r="AE509">
        <v>1</v>
      </c>
      <c r="AF509" s="24">
        <v>45790.673745358799</v>
      </c>
      <c r="AG509" s="24">
        <v>45790.673745358799</v>
      </c>
      <c r="AH509" s="24">
        <v>45791.709157280093</v>
      </c>
      <c r="AI509" s="24">
        <v>45791.709157280093</v>
      </c>
      <c r="AJ509">
        <v>1</v>
      </c>
      <c r="AK509" s="24">
        <v>45791.709157280093</v>
      </c>
      <c r="AL509" s="24">
        <v>45791.709157280093</v>
      </c>
      <c r="AM509" s="24">
        <v>45792.363271261573</v>
      </c>
      <c r="AN509" s="24">
        <v>45792.363271261573</v>
      </c>
      <c r="AO509">
        <v>1</v>
      </c>
      <c r="AP509" s="24"/>
      <c r="AQ509" s="24"/>
      <c r="AR509" s="24">
        <v>45790.632412962965</v>
      </c>
      <c r="AS509" s="24">
        <v>45790.632412962965</v>
      </c>
      <c r="AX509" s="24"/>
      <c r="AY509" s="24"/>
      <c r="AZ509" s="24"/>
      <c r="BA509" s="24"/>
      <c r="BC509" s="24">
        <v>45792.407284537039</v>
      </c>
      <c r="BD509" s="24">
        <v>45792.407284537039</v>
      </c>
      <c r="BE509" s="24">
        <v>45803.643630972219</v>
      </c>
      <c r="BF509" s="24">
        <v>45803.643630972219</v>
      </c>
      <c r="BG509">
        <v>1</v>
      </c>
      <c r="BH509" s="24">
        <v>45790.632412962965</v>
      </c>
      <c r="BI509" s="24">
        <v>45790.632412962965</v>
      </c>
      <c r="BJ509" s="24">
        <v>45790.67364400463</v>
      </c>
      <c r="BK509" s="24">
        <v>45790.67364400463</v>
      </c>
      <c r="BL509">
        <v>1</v>
      </c>
      <c r="BM509" s="24"/>
      <c r="BN509" s="24"/>
      <c r="BO509" s="24"/>
      <c r="BP509" s="24"/>
      <c r="BR509" s="24">
        <v>45792.363271261573</v>
      </c>
      <c r="BS509" s="24">
        <v>45792.363271261573</v>
      </c>
      <c r="BT509" s="24">
        <v>45792.407284537039</v>
      </c>
      <c r="BU509" s="24">
        <v>45792.407284537039</v>
      </c>
      <c r="BV509">
        <v>1</v>
      </c>
      <c r="BW509" s="24"/>
      <c r="BX509" s="24"/>
      <c r="BY509" s="24"/>
      <c r="BZ509" s="24"/>
      <c r="CB509" s="24"/>
      <c r="CC509" s="24"/>
      <c r="CE509" s="24">
        <v>45803.643630972219</v>
      </c>
      <c r="CF509" s="24">
        <v>45803.643630972219</v>
      </c>
      <c r="CG509">
        <v>1</v>
      </c>
      <c r="CH509" s="24"/>
      <c r="CI509" s="24"/>
      <c r="CJ509" s="24"/>
      <c r="CK509" s="24"/>
      <c r="DE509" s="24"/>
      <c r="DF509" s="24"/>
      <c r="DG509" s="24"/>
      <c r="DH509" s="24"/>
      <c r="DJ509" t="s">
        <v>149</v>
      </c>
      <c r="DK509" t="s">
        <v>149</v>
      </c>
      <c r="DM509">
        <v>14</v>
      </c>
      <c r="DN509">
        <v>13</v>
      </c>
      <c r="DQ509" t="s">
        <v>1000</v>
      </c>
      <c r="DR509" t="s">
        <v>149</v>
      </c>
      <c r="DS509" s="24">
        <v>46160.384426226854</v>
      </c>
    </row>
    <row r="510" spans="1:123" x14ac:dyDescent="0.3">
      <c r="A510" t="s">
        <v>760</v>
      </c>
      <c r="D510" t="s">
        <v>225</v>
      </c>
      <c r="E510" s="24">
        <v>45790.486458333333</v>
      </c>
      <c r="G510" t="s">
        <v>90</v>
      </c>
      <c r="H510" t="s">
        <v>155</v>
      </c>
      <c r="I510" s="24"/>
      <c r="J510" s="24"/>
      <c r="K510" s="24"/>
      <c r="L510" s="24"/>
      <c r="N510" s="24"/>
      <c r="O510" s="24"/>
      <c r="P510" s="24"/>
      <c r="Q510" s="24"/>
      <c r="V510" s="24"/>
      <c r="W510" s="24"/>
      <c r="X510" s="24"/>
      <c r="Y510" s="24"/>
      <c r="AA510" s="24">
        <v>45793.410807824075</v>
      </c>
      <c r="AB510" s="24">
        <v>45791.40366423611</v>
      </c>
      <c r="AC510" s="24">
        <v>45791.469410347221</v>
      </c>
      <c r="AD510" s="24">
        <v>45793.410847233798</v>
      </c>
      <c r="AE510">
        <v>2</v>
      </c>
      <c r="AF510" s="24">
        <v>45793.410847233798</v>
      </c>
      <c r="AG510" s="24">
        <v>45791.469410347221</v>
      </c>
      <c r="AH510" s="24">
        <v>45793.410711516204</v>
      </c>
      <c r="AI510" s="24">
        <v>45797.474764826387</v>
      </c>
      <c r="AJ510">
        <v>2</v>
      </c>
      <c r="AK510" s="24">
        <v>45797.478304097225</v>
      </c>
      <c r="AL510" s="24">
        <v>45793.410711516204</v>
      </c>
      <c r="AM510" s="24">
        <v>45793.410807824075</v>
      </c>
      <c r="AN510" s="24">
        <v>45797.481720856478</v>
      </c>
      <c r="AO510">
        <v>3</v>
      </c>
      <c r="AP510" s="24"/>
      <c r="AQ510" s="24"/>
      <c r="AR510" s="24">
        <v>45790.536945428241</v>
      </c>
      <c r="AS510" s="24">
        <v>45790.536945428241</v>
      </c>
      <c r="AX510" s="24"/>
      <c r="AY510" s="24"/>
      <c r="AZ510" s="24"/>
      <c r="BA510" s="24"/>
      <c r="BC510" s="24">
        <v>45798.406058842593</v>
      </c>
      <c r="BD510" s="24">
        <v>45798.406058842593</v>
      </c>
      <c r="BE510" s="24">
        <v>45803.643631435189</v>
      </c>
      <c r="BF510" s="24">
        <v>45803.643631435189</v>
      </c>
      <c r="BG510">
        <v>1</v>
      </c>
      <c r="BH510" s="24">
        <v>45790.536945428241</v>
      </c>
      <c r="BI510" s="24">
        <v>45790.536945428241</v>
      </c>
      <c r="BJ510" s="24">
        <v>45791.40366423611</v>
      </c>
      <c r="BK510" s="24">
        <v>45791.40366423611</v>
      </c>
      <c r="BL510">
        <v>1</v>
      </c>
      <c r="BM510" s="24"/>
      <c r="BN510" s="24"/>
      <c r="BO510" s="24"/>
      <c r="BP510" s="24"/>
      <c r="BR510" s="24">
        <v>45797.481720856478</v>
      </c>
      <c r="BS510" s="24">
        <v>45797.477313715281</v>
      </c>
      <c r="BT510" s="24">
        <v>45797.478304097225</v>
      </c>
      <c r="BU510" s="24">
        <v>45798.406058842593</v>
      </c>
      <c r="BV510">
        <v>2</v>
      </c>
      <c r="BW510" s="24"/>
      <c r="BX510" s="24"/>
      <c r="BY510" s="24"/>
      <c r="BZ510" s="24"/>
      <c r="CB510" s="24"/>
      <c r="CC510" s="24"/>
      <c r="CE510" s="24">
        <v>45803.643631435189</v>
      </c>
      <c r="CF510" s="24">
        <v>45803.643631435189</v>
      </c>
      <c r="CG510">
        <v>1</v>
      </c>
      <c r="CH510" s="24"/>
      <c r="CI510" s="24"/>
      <c r="CJ510" s="24"/>
      <c r="CK510" s="24"/>
      <c r="DE510" s="24"/>
      <c r="DF510" s="24"/>
      <c r="DG510" s="24"/>
      <c r="DH510" s="24"/>
      <c r="DJ510" t="s">
        <v>149</v>
      </c>
      <c r="DK510" t="s">
        <v>149</v>
      </c>
      <c r="DM510">
        <v>14</v>
      </c>
      <c r="DN510">
        <v>13</v>
      </c>
      <c r="DQ510" t="s">
        <v>1000</v>
      </c>
      <c r="DR510" t="s">
        <v>149</v>
      </c>
      <c r="DS510" s="24">
        <v>46160.384426226854</v>
      </c>
    </row>
    <row r="511" spans="1:123" x14ac:dyDescent="0.3">
      <c r="A511" t="s">
        <v>761</v>
      </c>
      <c r="D511" t="s">
        <v>223</v>
      </c>
      <c r="E511" s="24">
        <v>45790.450960648152</v>
      </c>
      <c r="G511" t="s">
        <v>90</v>
      </c>
      <c r="H511" t="s">
        <v>155</v>
      </c>
      <c r="I511" s="24"/>
      <c r="J511" s="24"/>
      <c r="K511" s="24"/>
      <c r="L511" s="24"/>
      <c r="N511" s="24">
        <v>45792.700533460651</v>
      </c>
      <c r="O511" s="24">
        <v>45792.700533460651</v>
      </c>
      <c r="P511" s="24">
        <v>45796.356355381948</v>
      </c>
      <c r="Q511" s="24">
        <v>45796.356355381948</v>
      </c>
      <c r="R511">
        <v>1</v>
      </c>
      <c r="V511" s="24"/>
      <c r="W511" s="24"/>
      <c r="X511" s="24"/>
      <c r="Y511" s="24"/>
      <c r="AA511" s="24">
        <v>45796.356355381948</v>
      </c>
      <c r="AB511" s="24">
        <v>45791.376993923608</v>
      </c>
      <c r="AC511" s="24">
        <v>45792.700533460651</v>
      </c>
      <c r="AD511" s="24">
        <v>45797.365076770831</v>
      </c>
      <c r="AE511">
        <v>2</v>
      </c>
      <c r="AF511" s="24"/>
      <c r="AG511" s="24"/>
      <c r="AH511" s="24"/>
      <c r="AI511" s="24"/>
      <c r="AK511" s="24"/>
      <c r="AL511" s="24"/>
      <c r="AM511" s="24"/>
      <c r="AN511" s="24"/>
      <c r="AP511" s="24"/>
      <c r="AQ511" s="24"/>
      <c r="AR511" s="24">
        <v>45791.376946990742</v>
      </c>
      <c r="AS511" s="24">
        <v>45791.376946990742</v>
      </c>
      <c r="AX511" s="24"/>
      <c r="AY511" s="24"/>
      <c r="AZ511" s="24"/>
      <c r="BA511" s="24"/>
      <c r="BC511" s="24"/>
      <c r="BD511" s="24"/>
      <c r="BE511" s="24"/>
      <c r="BF511" s="24"/>
      <c r="BH511" s="24">
        <v>45791.376946990742</v>
      </c>
      <c r="BI511" s="24">
        <v>45791.376946990742</v>
      </c>
      <c r="BJ511" s="24">
        <v>45791.376993923608</v>
      </c>
      <c r="BK511" s="24">
        <v>45791.376993923608</v>
      </c>
      <c r="BL511">
        <v>1</v>
      </c>
      <c r="BM511" s="24"/>
      <c r="BN511" s="24"/>
      <c r="BO511" s="24"/>
      <c r="BP511" s="24"/>
      <c r="BR511" s="24">
        <v>45797.365076770831</v>
      </c>
      <c r="BS511" s="24">
        <v>45797.365076770831</v>
      </c>
      <c r="BT511" s="24">
        <v>45797.548765046296</v>
      </c>
      <c r="BU511" s="24">
        <v>45797.548765046296</v>
      </c>
      <c r="BV511">
        <v>1</v>
      </c>
      <c r="BW511" s="24"/>
      <c r="BX511" s="24"/>
      <c r="BY511" s="24"/>
      <c r="BZ511" s="24"/>
      <c r="CB511" s="24"/>
      <c r="CC511" s="24"/>
      <c r="CE511" s="24">
        <v>45797.548765046296</v>
      </c>
      <c r="CF511" s="24">
        <v>45797.548765046296</v>
      </c>
      <c r="CG511">
        <v>1</v>
      </c>
      <c r="CH511" s="24"/>
      <c r="CI511" s="24"/>
      <c r="CJ511" s="24"/>
      <c r="CK511" s="24"/>
      <c r="DE511" s="24"/>
      <c r="DF511" s="24"/>
      <c r="DG511" s="24"/>
      <c r="DH511" s="24"/>
      <c r="DJ511" t="s">
        <v>149</v>
      </c>
      <c r="DK511" t="s">
        <v>149</v>
      </c>
      <c r="DL511">
        <v>3.655821875</v>
      </c>
      <c r="DM511">
        <v>7</v>
      </c>
      <c r="DN511">
        <v>7</v>
      </c>
      <c r="DQ511" t="s">
        <v>1000</v>
      </c>
      <c r="DR511" t="s">
        <v>149</v>
      </c>
      <c r="DS511" s="24">
        <v>46160.384426226854</v>
      </c>
    </row>
    <row r="512" spans="1:123" x14ac:dyDescent="0.3">
      <c r="A512" t="s">
        <v>762</v>
      </c>
      <c r="D512" t="s">
        <v>223</v>
      </c>
      <c r="E512" s="24">
        <v>45790.418981481482</v>
      </c>
      <c r="G512" t="s">
        <v>90</v>
      </c>
      <c r="H512" t="s">
        <v>155</v>
      </c>
      <c r="I512" s="24"/>
      <c r="J512" s="24"/>
      <c r="K512" s="24"/>
      <c r="L512" s="24"/>
      <c r="N512" s="24"/>
      <c r="O512" s="24"/>
      <c r="P512" s="24"/>
      <c r="Q512" s="24"/>
      <c r="V512" s="24"/>
      <c r="W512" s="24"/>
      <c r="X512" s="24"/>
      <c r="Y512" s="24"/>
      <c r="AA512" s="24">
        <v>45791.394256377316</v>
      </c>
      <c r="AB512" s="24">
        <v>45791.394256377316</v>
      </c>
      <c r="AC512" s="24">
        <v>45805.403563437503</v>
      </c>
      <c r="AD512" s="24">
        <v>45805.403563437503</v>
      </c>
      <c r="AE512">
        <v>1</v>
      </c>
      <c r="AF512" s="24">
        <v>45805.403563437503</v>
      </c>
      <c r="AG512" s="24">
        <v>45805.403563437503</v>
      </c>
      <c r="AH512" s="24">
        <v>45805.446284212965</v>
      </c>
      <c r="AI512" s="24">
        <v>45805.446284212965</v>
      </c>
      <c r="AJ512">
        <v>1</v>
      </c>
      <c r="AK512" s="24"/>
      <c r="AL512" s="24"/>
      <c r="AM512" s="24"/>
      <c r="AN512" s="24"/>
      <c r="AP512" s="24"/>
      <c r="AQ512" s="24"/>
      <c r="AR512" s="24">
        <v>45790.621451539351</v>
      </c>
      <c r="AS512" s="24">
        <v>45790.621451539351</v>
      </c>
      <c r="AX512" s="24"/>
      <c r="AY512" s="24"/>
      <c r="AZ512" s="24"/>
      <c r="BA512" s="24"/>
      <c r="BC512" s="24"/>
      <c r="BD512" s="24"/>
      <c r="BE512" s="24"/>
      <c r="BF512" s="24"/>
      <c r="BH512" s="24">
        <v>45790.621451539351</v>
      </c>
      <c r="BI512" s="24">
        <v>45790.621451539351</v>
      </c>
      <c r="BJ512" s="24">
        <v>45791.394256377316</v>
      </c>
      <c r="BK512" s="24">
        <v>45791.394256377316</v>
      </c>
      <c r="BL512">
        <v>1</v>
      </c>
      <c r="BM512" s="24"/>
      <c r="BN512" s="24"/>
      <c r="BO512" s="24"/>
      <c r="BP512" s="24"/>
      <c r="BR512" s="24"/>
      <c r="BS512" s="24"/>
      <c r="BT512" s="24"/>
      <c r="BU512" s="24"/>
      <c r="BW512" s="24"/>
      <c r="BX512" s="24"/>
      <c r="BY512" s="24"/>
      <c r="BZ512" s="24"/>
      <c r="CB512" s="24"/>
      <c r="CC512" s="24"/>
      <c r="CE512" s="24">
        <v>45805.446284212965</v>
      </c>
      <c r="CF512" s="24">
        <v>45805.446284212965</v>
      </c>
      <c r="CG512">
        <v>1</v>
      </c>
      <c r="CH512" s="24"/>
      <c r="CI512" s="24"/>
      <c r="CJ512" s="24"/>
      <c r="CK512" s="24"/>
      <c r="DE512" s="24"/>
      <c r="DF512" s="24"/>
      <c r="DG512" s="24"/>
      <c r="DH512" s="24"/>
      <c r="DJ512" t="s">
        <v>149</v>
      </c>
      <c r="DK512" t="s">
        <v>149</v>
      </c>
      <c r="DM512">
        <v>15</v>
      </c>
      <c r="DN512">
        <v>15</v>
      </c>
      <c r="DQ512" t="s">
        <v>1000</v>
      </c>
      <c r="DR512" t="s">
        <v>149</v>
      </c>
      <c r="DS512" s="24">
        <v>46160.384426226854</v>
      </c>
    </row>
    <row r="513" spans="1:123" x14ac:dyDescent="0.3">
      <c r="A513" t="s">
        <v>763</v>
      </c>
      <c r="D513" t="s">
        <v>223</v>
      </c>
      <c r="E513" s="24">
        <v>45790.416018518517</v>
      </c>
      <c r="G513" t="s">
        <v>90</v>
      </c>
      <c r="H513" t="s">
        <v>155</v>
      </c>
      <c r="I513" s="24"/>
      <c r="J513" s="24"/>
      <c r="K513" s="24"/>
      <c r="L513" s="24"/>
      <c r="N513" s="24">
        <v>45799.403889097222</v>
      </c>
      <c r="O513" s="24">
        <v>45799.403889097222</v>
      </c>
      <c r="P513" s="24">
        <v>45807.393308067127</v>
      </c>
      <c r="Q513" s="24">
        <v>45807.393308067127</v>
      </c>
      <c r="R513">
        <v>1</v>
      </c>
      <c r="V513" s="24"/>
      <c r="W513" s="24"/>
      <c r="X513" s="24"/>
      <c r="Y513" s="24"/>
      <c r="AA513" s="24">
        <v>45807.393308067127</v>
      </c>
      <c r="AB513" s="24">
        <v>45798.371053703704</v>
      </c>
      <c r="AC513" s="24">
        <v>45799.403889097222</v>
      </c>
      <c r="AD513" s="24">
        <v>45807.495892685183</v>
      </c>
      <c r="AE513">
        <v>2</v>
      </c>
      <c r="AF513" s="24">
        <v>45807.495892685183</v>
      </c>
      <c r="AG513" s="24">
        <v>45807.495892685183</v>
      </c>
      <c r="AH513" s="24">
        <v>45807.495925567127</v>
      </c>
      <c r="AI513" s="24">
        <v>45807.495925567127</v>
      </c>
      <c r="AJ513">
        <v>1</v>
      </c>
      <c r="AK513" s="24"/>
      <c r="AL513" s="24"/>
      <c r="AM513" s="24"/>
      <c r="AN513" s="24"/>
      <c r="AP513" s="24"/>
      <c r="AQ513" s="24"/>
      <c r="AR513" s="24">
        <v>45798.371004305554</v>
      </c>
      <c r="AS513" s="24">
        <v>45798.371004305554</v>
      </c>
      <c r="AX513" s="24"/>
      <c r="AY513" s="24"/>
      <c r="AZ513" s="24"/>
      <c r="BA513" s="24"/>
      <c r="BC513" s="24"/>
      <c r="BD513" s="24"/>
      <c r="BE513" s="24"/>
      <c r="BF513" s="24"/>
      <c r="BH513" s="24">
        <v>45798.371004305554</v>
      </c>
      <c r="BI513" s="24">
        <v>45798.371004305554</v>
      </c>
      <c r="BJ513" s="24">
        <v>45798.371053703704</v>
      </c>
      <c r="BK513" s="24">
        <v>45798.371053703704</v>
      </c>
      <c r="BL513">
        <v>1</v>
      </c>
      <c r="BM513" s="24"/>
      <c r="BN513" s="24"/>
      <c r="BO513" s="24"/>
      <c r="BP513" s="24"/>
      <c r="BR513" s="24">
        <v>45807.495925567127</v>
      </c>
      <c r="BS513" s="24">
        <v>45807.495925567127</v>
      </c>
      <c r="BT513" s="24">
        <v>45810.402586539349</v>
      </c>
      <c r="BU513" s="24">
        <v>45810.402586539349</v>
      </c>
      <c r="BV513">
        <v>1</v>
      </c>
      <c r="BW513" s="24"/>
      <c r="BX513" s="24"/>
      <c r="BY513" s="24"/>
      <c r="BZ513" s="24"/>
      <c r="CB513" s="24"/>
      <c r="CC513" s="24"/>
      <c r="CE513" s="24">
        <v>45810.402586539349</v>
      </c>
      <c r="CF513" s="24">
        <v>45810.402586539349</v>
      </c>
      <c r="CG513">
        <v>1</v>
      </c>
      <c r="CH513" s="24"/>
      <c r="CI513" s="24"/>
      <c r="CJ513" s="24"/>
      <c r="CK513" s="24"/>
      <c r="DE513" s="24"/>
      <c r="DF513" s="24"/>
      <c r="DG513" s="24"/>
      <c r="DH513" s="24"/>
      <c r="DJ513" t="s">
        <v>149</v>
      </c>
      <c r="DK513" t="s">
        <v>149</v>
      </c>
      <c r="DL513">
        <v>7.989418865740741</v>
      </c>
      <c r="DM513">
        <v>13</v>
      </c>
      <c r="DN513">
        <v>13</v>
      </c>
      <c r="DQ513" t="s">
        <v>1000</v>
      </c>
      <c r="DR513" t="s">
        <v>149</v>
      </c>
      <c r="DS513" s="24">
        <v>46160.384426226854</v>
      </c>
    </row>
    <row r="514" spans="1:123" x14ac:dyDescent="0.3">
      <c r="A514" t="s">
        <v>764</v>
      </c>
      <c r="D514" t="s">
        <v>224</v>
      </c>
      <c r="E514" s="24">
        <v>45789.704548611109</v>
      </c>
      <c r="G514" t="s">
        <v>90</v>
      </c>
      <c r="H514" t="s">
        <v>155</v>
      </c>
      <c r="I514" s="24"/>
      <c r="J514" s="24"/>
      <c r="K514" s="24"/>
      <c r="L514" s="24"/>
      <c r="N514" s="24"/>
      <c r="O514" s="24"/>
      <c r="P514" s="24"/>
      <c r="Q514" s="24"/>
      <c r="V514" s="24"/>
      <c r="W514" s="24"/>
      <c r="X514" s="24"/>
      <c r="Y514" s="24"/>
      <c r="AA514" s="24">
        <v>45792.330628796299</v>
      </c>
      <c r="AB514" s="24">
        <v>45792.330628796299</v>
      </c>
      <c r="AC514" s="24">
        <v>45792.437800023145</v>
      </c>
      <c r="AD514" s="24">
        <v>45792.437800023145</v>
      </c>
      <c r="AE514">
        <v>1</v>
      </c>
      <c r="AF514" s="24">
        <v>45792.437800023145</v>
      </c>
      <c r="AG514" s="24">
        <v>45792.437800023145</v>
      </c>
      <c r="AH514" s="24">
        <v>45792.475695682871</v>
      </c>
      <c r="AI514" s="24">
        <v>45792.475695682871</v>
      </c>
      <c r="AJ514">
        <v>1</v>
      </c>
      <c r="AK514" s="24">
        <v>45792.475695682871</v>
      </c>
      <c r="AL514" s="24">
        <v>45792.475695682871</v>
      </c>
      <c r="AM514" s="24">
        <v>45792.686904803239</v>
      </c>
      <c r="AN514" s="24">
        <v>45792.686904803239</v>
      </c>
      <c r="AO514">
        <v>1</v>
      </c>
      <c r="AP514" s="24"/>
      <c r="AQ514" s="24"/>
      <c r="AR514" s="24">
        <v>45790.606802546296</v>
      </c>
      <c r="AS514" s="24">
        <v>45790.606802546296</v>
      </c>
      <c r="AX514" s="24"/>
      <c r="AY514" s="24"/>
      <c r="AZ514" s="24"/>
      <c r="BA514" s="24"/>
      <c r="BC514" s="24">
        <v>45793.408021261574</v>
      </c>
      <c r="BD514" s="24">
        <v>45793.408021261574</v>
      </c>
      <c r="BE514" s="24">
        <v>45803.643631574072</v>
      </c>
      <c r="BF514" s="24">
        <v>45803.643631574072</v>
      </c>
      <c r="BG514">
        <v>1</v>
      </c>
      <c r="BH514" s="24">
        <v>45790.606802546296</v>
      </c>
      <c r="BI514" s="24">
        <v>45790.606802546296</v>
      </c>
      <c r="BJ514" s="24">
        <v>45792.330628796299</v>
      </c>
      <c r="BK514" s="24">
        <v>45792.330628796299</v>
      </c>
      <c r="BL514">
        <v>1</v>
      </c>
      <c r="BM514" s="24"/>
      <c r="BN514" s="24"/>
      <c r="BO514" s="24"/>
      <c r="BP514" s="24"/>
      <c r="BR514" s="24">
        <v>45792.686904803239</v>
      </c>
      <c r="BS514" s="24">
        <v>45792.686904803239</v>
      </c>
      <c r="BT514" s="24">
        <v>45793.408021261574</v>
      </c>
      <c r="BU514" s="24">
        <v>45793.408021261574</v>
      </c>
      <c r="BV514">
        <v>1</v>
      </c>
      <c r="BW514" s="24"/>
      <c r="BX514" s="24"/>
      <c r="BY514" s="24"/>
      <c r="BZ514" s="24"/>
      <c r="CB514" s="24"/>
      <c r="CC514" s="24"/>
      <c r="CE514" s="24">
        <v>45803.643631574072</v>
      </c>
      <c r="CF514" s="24">
        <v>45803.643631574072</v>
      </c>
      <c r="CG514">
        <v>1</v>
      </c>
      <c r="CH514" s="24"/>
      <c r="CI514" s="24"/>
      <c r="CJ514" s="24"/>
      <c r="CK514" s="24"/>
      <c r="DE514" s="24"/>
      <c r="DF514" s="24"/>
      <c r="DG514" s="24"/>
      <c r="DH514" s="24"/>
      <c r="DJ514" t="s">
        <v>149</v>
      </c>
      <c r="DK514" t="s">
        <v>149</v>
      </c>
      <c r="DM514">
        <v>14</v>
      </c>
      <c r="DN514">
        <v>12</v>
      </c>
      <c r="DQ514" t="s">
        <v>1000</v>
      </c>
      <c r="DR514" t="s">
        <v>149</v>
      </c>
      <c r="DS514" s="24">
        <v>46160.384426226854</v>
      </c>
    </row>
    <row r="515" spans="1:123" x14ac:dyDescent="0.3">
      <c r="A515" t="s">
        <v>765</v>
      </c>
      <c r="D515" t="s">
        <v>225</v>
      </c>
      <c r="E515" s="24">
        <v>45789.60050925926</v>
      </c>
      <c r="G515" t="s">
        <v>90</v>
      </c>
      <c r="H515" t="s">
        <v>155</v>
      </c>
      <c r="I515" s="24"/>
      <c r="J515" s="24"/>
      <c r="K515" s="24"/>
      <c r="L515" s="24"/>
      <c r="N515" s="24"/>
      <c r="O515" s="24"/>
      <c r="P515" s="24"/>
      <c r="Q515" s="24"/>
      <c r="V515" s="24"/>
      <c r="W515" s="24"/>
      <c r="X515" s="24"/>
      <c r="Y515" s="24"/>
      <c r="AA515" s="24">
        <v>45811.598630590277</v>
      </c>
      <c r="AB515" s="24">
        <v>45811.598630590277</v>
      </c>
      <c r="AC515" s="24">
        <v>45817.502468981482</v>
      </c>
      <c r="AD515" s="24">
        <v>45817.502468981482</v>
      </c>
      <c r="AE515">
        <v>1</v>
      </c>
      <c r="AF515" s="24">
        <v>45817.502468981482</v>
      </c>
      <c r="AG515" s="24">
        <v>45817.502468981482</v>
      </c>
      <c r="AH515" s="24">
        <v>45818.643880532407</v>
      </c>
      <c r="AI515" s="24">
        <v>45818.643880532407</v>
      </c>
      <c r="AJ515">
        <v>1</v>
      </c>
      <c r="AK515" s="24">
        <v>45818.643880532407</v>
      </c>
      <c r="AL515" s="24">
        <v>45818.643880532407</v>
      </c>
      <c r="AM515" s="24">
        <v>45818.643921678238</v>
      </c>
      <c r="AN515" s="24">
        <v>45818.643921678238</v>
      </c>
      <c r="AO515">
        <v>1</v>
      </c>
      <c r="AP515" s="24"/>
      <c r="AQ515" s="24"/>
      <c r="AR515" s="24">
        <v>45805.487571319441</v>
      </c>
      <c r="AS515" s="24">
        <v>45805.487571319441</v>
      </c>
      <c r="AX515" s="24"/>
      <c r="AY515" s="24"/>
      <c r="AZ515" s="24"/>
      <c r="BA515" s="24"/>
      <c r="BC515" s="24">
        <v>45818.649053194444</v>
      </c>
      <c r="BD515" s="24">
        <v>45818.649053194444</v>
      </c>
      <c r="BE515" s="24">
        <v>45820.432348437498</v>
      </c>
      <c r="BF515" s="24">
        <v>45820.432348437498</v>
      </c>
      <c r="BG515">
        <v>1</v>
      </c>
      <c r="BH515" s="24">
        <v>45805.487571319441</v>
      </c>
      <c r="BI515" s="24">
        <v>45805.487571319441</v>
      </c>
      <c r="BJ515" s="24">
        <v>45811.598630590277</v>
      </c>
      <c r="BK515" s="24">
        <v>45811.598630590277</v>
      </c>
      <c r="BL515">
        <v>1</v>
      </c>
      <c r="BM515" s="24"/>
      <c r="BN515" s="24"/>
      <c r="BO515" s="24"/>
      <c r="BP515" s="24"/>
      <c r="BR515" s="24">
        <v>45818.643921678238</v>
      </c>
      <c r="BS515" s="24">
        <v>45818.643921678238</v>
      </c>
      <c r="BT515" s="24">
        <v>45818.649053194444</v>
      </c>
      <c r="BU515" s="24">
        <v>45818.649053194444</v>
      </c>
      <c r="BV515">
        <v>1</v>
      </c>
      <c r="BW515" s="24"/>
      <c r="BX515" s="24"/>
      <c r="BY515" s="24"/>
      <c r="BZ515" s="24"/>
      <c r="CB515" s="24"/>
      <c r="CC515" s="24"/>
      <c r="CE515" s="24">
        <v>45820.432348437498</v>
      </c>
      <c r="CF515" s="24">
        <v>45820.432348437498</v>
      </c>
      <c r="CG515">
        <v>1</v>
      </c>
      <c r="CH515" s="24"/>
      <c r="CI515" s="24"/>
      <c r="CJ515" s="24"/>
      <c r="CK515" s="24"/>
      <c r="DE515" s="24"/>
      <c r="DF515" s="24"/>
      <c r="DG515" s="24"/>
      <c r="DH515" s="24"/>
      <c r="DJ515" t="s">
        <v>149</v>
      </c>
      <c r="DK515" t="s">
        <v>149</v>
      </c>
      <c r="DM515">
        <v>15</v>
      </c>
      <c r="DN515">
        <v>9</v>
      </c>
      <c r="DQ515" t="s">
        <v>1000</v>
      </c>
      <c r="DR515" t="s">
        <v>149</v>
      </c>
      <c r="DS515" s="24">
        <v>46160.384426226854</v>
      </c>
    </row>
    <row r="516" spans="1:123" x14ac:dyDescent="0.3">
      <c r="A516" t="s">
        <v>766</v>
      </c>
      <c r="D516" t="s">
        <v>223</v>
      </c>
      <c r="E516" s="24">
        <v>45789.377500000002</v>
      </c>
      <c r="G516" t="s">
        <v>90</v>
      </c>
      <c r="H516" t="s">
        <v>155</v>
      </c>
      <c r="I516" s="24"/>
      <c r="J516" s="24"/>
      <c r="K516" s="24"/>
      <c r="L516" s="24"/>
      <c r="N516" s="24">
        <v>45849.551495543979</v>
      </c>
      <c r="O516" s="24">
        <v>45797.365538773149</v>
      </c>
      <c r="P516" s="24">
        <v>45848.408468472226</v>
      </c>
      <c r="Q516" s="24">
        <v>45852.701640011575</v>
      </c>
      <c r="R516">
        <v>2</v>
      </c>
      <c r="V516" s="24"/>
      <c r="W516" s="24"/>
      <c r="X516" s="24"/>
      <c r="Y516" s="24"/>
      <c r="AA516" s="24">
        <v>45852.701640011575</v>
      </c>
      <c r="AB516" s="24">
        <v>45793.395995092593</v>
      </c>
      <c r="AC516" s="24">
        <v>45797.365538773149</v>
      </c>
      <c r="AD516" s="24">
        <v>45852.704926851853</v>
      </c>
      <c r="AE516">
        <v>3</v>
      </c>
      <c r="AF516" s="24">
        <v>45852.704926851853</v>
      </c>
      <c r="AG516" s="24">
        <v>45852.704926851853</v>
      </c>
      <c r="AH516" s="24">
        <v>45853.412358449074</v>
      </c>
      <c r="AI516" s="24">
        <v>45853.412358449074</v>
      </c>
      <c r="AJ516">
        <v>1</v>
      </c>
      <c r="AK516" s="24"/>
      <c r="AL516" s="24"/>
      <c r="AM516" s="24"/>
      <c r="AN516" s="24"/>
      <c r="AP516" s="24"/>
      <c r="AQ516" s="24"/>
      <c r="AR516" s="24">
        <v>45790.604545173614</v>
      </c>
      <c r="AS516" s="24">
        <v>45790.604545173614</v>
      </c>
      <c r="AX516" s="24"/>
      <c r="AY516" s="24"/>
      <c r="AZ516" s="24"/>
      <c r="BA516" s="24"/>
      <c r="BC516" s="24"/>
      <c r="BD516" s="24"/>
      <c r="BE516" s="24"/>
      <c r="BF516" s="24"/>
      <c r="BH516" s="24">
        <v>45790.604545173614</v>
      </c>
      <c r="BI516" s="24">
        <v>45790.604545173614</v>
      </c>
      <c r="BJ516" s="24">
        <v>45793.395995092593</v>
      </c>
      <c r="BK516" s="24">
        <v>45793.395995092593</v>
      </c>
      <c r="BL516">
        <v>1</v>
      </c>
      <c r="BM516" s="24"/>
      <c r="BN516" s="24"/>
      <c r="BO516" s="24"/>
      <c r="BP516" s="24"/>
      <c r="BR516" s="24">
        <v>45853.412358449074</v>
      </c>
      <c r="BS516" s="24">
        <v>45853.412358449074</v>
      </c>
      <c r="BT516" s="24">
        <v>45853.412492372685</v>
      </c>
      <c r="BU516" s="24">
        <v>45853.412492372685</v>
      </c>
      <c r="BV516">
        <v>1</v>
      </c>
      <c r="BW516" s="24"/>
      <c r="BX516" s="24"/>
      <c r="BY516" s="24"/>
      <c r="BZ516" s="24"/>
      <c r="CB516" s="24"/>
      <c r="CC516" s="24"/>
      <c r="CE516" s="24">
        <v>45853.412492372685</v>
      </c>
      <c r="CF516" s="24">
        <v>45853.412492372685</v>
      </c>
      <c r="CG516">
        <v>1</v>
      </c>
      <c r="CH516" s="24"/>
      <c r="CI516" s="24"/>
      <c r="CJ516" s="24"/>
      <c r="CK516" s="24"/>
      <c r="DE516" s="24"/>
      <c r="DF516" s="24"/>
      <c r="DG516" s="24"/>
      <c r="DH516" s="24"/>
      <c r="DJ516" t="s">
        <v>149</v>
      </c>
      <c r="DK516" t="s">
        <v>149</v>
      </c>
      <c r="DL516">
        <v>54.193074074074076</v>
      </c>
      <c r="DM516">
        <v>63</v>
      </c>
      <c r="DN516">
        <v>61</v>
      </c>
      <c r="DQ516" t="s">
        <v>1000</v>
      </c>
      <c r="DR516" t="s">
        <v>149</v>
      </c>
      <c r="DS516" s="24">
        <v>46160.384426226854</v>
      </c>
    </row>
    <row r="517" spans="1:123" x14ac:dyDescent="0.3">
      <c r="A517" t="s">
        <v>767</v>
      </c>
      <c r="D517" t="s">
        <v>223</v>
      </c>
      <c r="E517" s="24">
        <v>45789.369756944441</v>
      </c>
      <c r="G517" t="s">
        <v>90</v>
      </c>
      <c r="H517" t="s">
        <v>155</v>
      </c>
      <c r="I517" s="24"/>
      <c r="J517" s="24"/>
      <c r="K517" s="24"/>
      <c r="L517" s="24"/>
      <c r="N517" s="24"/>
      <c r="O517" s="24"/>
      <c r="P517" s="24"/>
      <c r="Q517" s="24"/>
      <c r="V517" s="24"/>
      <c r="W517" s="24"/>
      <c r="X517" s="24"/>
      <c r="Y517" s="24"/>
      <c r="AA517" s="24">
        <v>45793.40454275463</v>
      </c>
      <c r="AB517" s="24">
        <v>45793.40454275463</v>
      </c>
      <c r="AC517" s="24">
        <v>45800.402475497685</v>
      </c>
      <c r="AD517" s="24">
        <v>45800.402475497685</v>
      </c>
      <c r="AE517">
        <v>1</v>
      </c>
      <c r="AF517" s="24">
        <v>45800.402475497685</v>
      </c>
      <c r="AG517" s="24">
        <v>45800.402475497685</v>
      </c>
      <c r="AH517" s="24">
        <v>45805.431401701389</v>
      </c>
      <c r="AI517" s="24">
        <v>45805.431401701389</v>
      </c>
      <c r="AJ517">
        <v>1</v>
      </c>
      <c r="AK517" s="24"/>
      <c r="AL517" s="24"/>
      <c r="AM517" s="24"/>
      <c r="AN517" s="24"/>
      <c r="AP517" s="24"/>
      <c r="AQ517" s="24"/>
      <c r="AR517" s="24">
        <v>45790.621329560185</v>
      </c>
      <c r="AS517" s="24">
        <v>45790.621329560185</v>
      </c>
      <c r="AX517" s="24"/>
      <c r="AY517" s="24"/>
      <c r="AZ517" s="24"/>
      <c r="BA517" s="24"/>
      <c r="BC517" s="24"/>
      <c r="BD517" s="24"/>
      <c r="BE517" s="24"/>
      <c r="BF517" s="24"/>
      <c r="BH517" s="24">
        <v>45790.621329560185</v>
      </c>
      <c r="BI517" s="24">
        <v>45790.621329560185</v>
      </c>
      <c r="BJ517" s="24">
        <v>45793.40454275463</v>
      </c>
      <c r="BK517" s="24">
        <v>45793.40454275463</v>
      </c>
      <c r="BL517">
        <v>1</v>
      </c>
      <c r="BM517" s="24"/>
      <c r="BN517" s="24"/>
      <c r="BO517" s="24"/>
      <c r="BP517" s="24"/>
      <c r="BR517" s="24"/>
      <c r="BS517" s="24"/>
      <c r="BT517" s="24"/>
      <c r="BU517" s="24"/>
      <c r="BW517" s="24"/>
      <c r="BX517" s="24"/>
      <c r="BY517" s="24"/>
      <c r="BZ517" s="24"/>
      <c r="CB517" s="24"/>
      <c r="CC517" s="24"/>
      <c r="CE517" s="24">
        <v>45805.431401701389</v>
      </c>
      <c r="CF517" s="24">
        <v>45805.431401701389</v>
      </c>
      <c r="CG517">
        <v>1</v>
      </c>
      <c r="CH517" s="24"/>
      <c r="CI517" s="24"/>
      <c r="CJ517" s="24"/>
      <c r="CK517" s="24"/>
      <c r="DE517" s="24"/>
      <c r="DF517" s="24"/>
      <c r="DG517" s="24"/>
      <c r="DH517" s="24"/>
      <c r="DJ517" t="s">
        <v>149</v>
      </c>
      <c r="DK517" t="s">
        <v>149</v>
      </c>
      <c r="DM517">
        <v>15</v>
      </c>
      <c r="DN517">
        <v>13</v>
      </c>
      <c r="DQ517" t="s">
        <v>1000</v>
      </c>
      <c r="DR517" t="s">
        <v>149</v>
      </c>
      <c r="DS517" s="24">
        <v>46160.384426226854</v>
      </c>
    </row>
    <row r="518" spans="1:123" x14ac:dyDescent="0.3">
      <c r="A518" t="s">
        <v>768</v>
      </c>
      <c r="D518" t="s">
        <v>225</v>
      </c>
      <c r="E518" s="24">
        <v>45789.369097222225</v>
      </c>
      <c r="G518" t="s">
        <v>150</v>
      </c>
      <c r="H518" t="s">
        <v>155</v>
      </c>
      <c r="I518" s="24"/>
      <c r="J518" s="24"/>
      <c r="K518" s="24"/>
      <c r="L518" s="24"/>
      <c r="N518" s="24"/>
      <c r="O518" s="24"/>
      <c r="P518" s="24"/>
      <c r="Q518" s="24"/>
      <c r="V518" s="24"/>
      <c r="W518" s="24"/>
      <c r="X518" s="24"/>
      <c r="Y518" s="24"/>
      <c r="AA518" s="24"/>
      <c r="AB518" s="24"/>
      <c r="AC518" s="24"/>
      <c r="AD518" s="24"/>
      <c r="AF518" s="24"/>
      <c r="AG518" s="24"/>
      <c r="AH518" s="24"/>
      <c r="AI518" s="24"/>
      <c r="AK518" s="24"/>
      <c r="AL518" s="24"/>
      <c r="AM518" s="24"/>
      <c r="AN518" s="24"/>
      <c r="AP518" s="24"/>
      <c r="AQ518" s="24"/>
      <c r="AR518" s="24">
        <v>45818.488937442133</v>
      </c>
      <c r="AS518" s="24">
        <v>45818.488937442133</v>
      </c>
      <c r="AX518" s="24"/>
      <c r="AY518" s="24"/>
      <c r="AZ518" s="24"/>
      <c r="BA518" s="24"/>
      <c r="BC518" s="24"/>
      <c r="BD518" s="24"/>
      <c r="BE518" s="24"/>
      <c r="BF518" s="24"/>
      <c r="BH518" s="24">
        <v>45818.488937442133</v>
      </c>
      <c r="BI518" s="24">
        <v>45818.488937442133</v>
      </c>
      <c r="BJ518" s="24">
        <v>45826.418865810185</v>
      </c>
      <c r="BK518" s="24">
        <v>45826.418865810185</v>
      </c>
      <c r="BL518">
        <v>1</v>
      </c>
      <c r="BM518" s="24"/>
      <c r="BN518" s="24"/>
      <c r="BO518" s="24"/>
      <c r="BP518" s="24"/>
      <c r="BR518" s="24"/>
      <c r="BS518" s="24"/>
      <c r="BT518" s="24"/>
      <c r="BU518" s="24"/>
      <c r="BW518" s="24"/>
      <c r="BX518" s="24"/>
      <c r="BY518" s="24"/>
      <c r="BZ518" s="24"/>
      <c r="CB518" s="24">
        <v>45832.529396041667</v>
      </c>
      <c r="CC518" s="24">
        <v>45826.418865810185</v>
      </c>
      <c r="CD518">
        <v>2</v>
      </c>
      <c r="CE518" s="24"/>
      <c r="CF518" s="24"/>
      <c r="CH518" s="24"/>
      <c r="CI518" s="24"/>
      <c r="CJ518" s="24"/>
      <c r="CK518" s="24"/>
      <c r="DE518" s="24"/>
      <c r="DF518" s="24"/>
      <c r="DG518" s="24"/>
      <c r="DH518" s="24"/>
      <c r="DJ518" t="s">
        <v>149</v>
      </c>
      <c r="DK518" t="s">
        <v>149</v>
      </c>
      <c r="DQ518" t="s">
        <v>1000</v>
      </c>
      <c r="DR518" t="s">
        <v>149</v>
      </c>
      <c r="DS518" s="24">
        <v>46160.384426226854</v>
      </c>
    </row>
    <row r="519" spans="1:123" x14ac:dyDescent="0.3">
      <c r="A519" t="s">
        <v>769</v>
      </c>
      <c r="D519" t="s">
        <v>223</v>
      </c>
      <c r="E519" s="24">
        <v>45789.367708333331</v>
      </c>
      <c r="G519" t="s">
        <v>90</v>
      </c>
      <c r="H519" t="s">
        <v>155</v>
      </c>
      <c r="I519" s="24"/>
      <c r="J519" s="24"/>
      <c r="K519" s="24"/>
      <c r="L519" s="24"/>
      <c r="N519" s="24">
        <v>45793.405491319441</v>
      </c>
      <c r="O519" s="24">
        <v>45793.405491319441</v>
      </c>
      <c r="P519" s="24">
        <v>45800.40366640046</v>
      </c>
      <c r="Q519" s="24">
        <v>45800.40366640046</v>
      </c>
      <c r="R519">
        <v>1</v>
      </c>
      <c r="V519" s="24"/>
      <c r="W519" s="24"/>
      <c r="X519" s="24"/>
      <c r="Y519" s="24"/>
      <c r="AA519" s="24">
        <v>45800.40366640046</v>
      </c>
      <c r="AB519" s="24">
        <v>45790.702238460646</v>
      </c>
      <c r="AC519" s="24">
        <v>45793.405491319441</v>
      </c>
      <c r="AD519" s="24">
        <v>45818.4385237963</v>
      </c>
      <c r="AE519">
        <v>2</v>
      </c>
      <c r="AF519" s="24"/>
      <c r="AG519" s="24"/>
      <c r="AH519" s="24"/>
      <c r="AI519" s="24"/>
      <c r="AK519" s="24"/>
      <c r="AL519" s="24"/>
      <c r="AM519" s="24"/>
      <c r="AN519" s="24"/>
      <c r="AP519" s="24"/>
      <c r="AQ519" s="24"/>
      <c r="AR519" s="24">
        <v>45790.62195202546</v>
      </c>
      <c r="AS519" s="24">
        <v>45790.62195202546</v>
      </c>
      <c r="AX519" s="24"/>
      <c r="AY519" s="24"/>
      <c r="AZ519" s="24"/>
      <c r="BA519" s="24"/>
      <c r="BC519" s="24"/>
      <c r="BD519" s="24"/>
      <c r="BE519" s="24"/>
      <c r="BF519" s="24"/>
      <c r="BH519" s="24">
        <v>45790.62195202546</v>
      </c>
      <c r="BI519" s="24">
        <v>45790.62195202546</v>
      </c>
      <c r="BJ519" s="24">
        <v>45790.702238460646</v>
      </c>
      <c r="BK519" s="24">
        <v>45790.702238460646</v>
      </c>
      <c r="BL519">
        <v>1</v>
      </c>
      <c r="BM519" s="24"/>
      <c r="BN519" s="24"/>
      <c r="BO519" s="24"/>
      <c r="BP519" s="24"/>
      <c r="BR519" s="24"/>
      <c r="BS519" s="24"/>
      <c r="BT519" s="24"/>
      <c r="BU519" s="24"/>
      <c r="BW519" s="24"/>
      <c r="BX519" s="24"/>
      <c r="BY519" s="24"/>
      <c r="BZ519" s="24"/>
      <c r="CB519" s="24"/>
      <c r="CC519" s="24"/>
      <c r="CE519" s="24">
        <v>45818.4385237963</v>
      </c>
      <c r="CF519" s="24">
        <v>45818.4385237963</v>
      </c>
      <c r="CG519">
        <v>1</v>
      </c>
      <c r="CH519" s="24"/>
      <c r="CI519" s="24"/>
      <c r="CJ519" s="24"/>
      <c r="CK519" s="24"/>
      <c r="DE519" s="24"/>
      <c r="DF519" s="24"/>
      <c r="DG519" s="24"/>
      <c r="DH519" s="24"/>
      <c r="DJ519" t="s">
        <v>149</v>
      </c>
      <c r="DK519" t="s">
        <v>149</v>
      </c>
      <c r="DL519">
        <v>6.9981749999999998</v>
      </c>
      <c r="DM519">
        <v>28</v>
      </c>
      <c r="DN519">
        <v>28</v>
      </c>
      <c r="DQ519" t="s">
        <v>1000</v>
      </c>
      <c r="DR519" t="s">
        <v>149</v>
      </c>
      <c r="DS519" s="24">
        <v>46160.384426226854</v>
      </c>
    </row>
    <row r="520" spans="1:123" x14ac:dyDescent="0.3">
      <c r="A520" t="s">
        <v>770</v>
      </c>
      <c r="D520" t="s">
        <v>223</v>
      </c>
      <c r="E520" s="24">
        <v>45789.315138888887</v>
      </c>
      <c r="G520" t="s">
        <v>90</v>
      </c>
      <c r="H520" t="s">
        <v>155</v>
      </c>
      <c r="I520" s="24"/>
      <c r="J520" s="24"/>
      <c r="K520" s="24"/>
      <c r="L520" s="24"/>
      <c r="N520" s="24"/>
      <c r="O520" s="24"/>
      <c r="P520" s="24"/>
      <c r="Q520" s="24"/>
      <c r="V520" s="24"/>
      <c r="W520" s="24"/>
      <c r="X520" s="24"/>
      <c r="Y520" s="24"/>
      <c r="AA520" s="24">
        <v>45790.654977500002</v>
      </c>
      <c r="AB520" s="24">
        <v>45790.654977500002</v>
      </c>
      <c r="AC520" s="24">
        <v>45804.381689942129</v>
      </c>
      <c r="AD520" s="24">
        <v>45804.381689942129</v>
      </c>
      <c r="AE520">
        <v>1</v>
      </c>
      <c r="AF520" s="24"/>
      <c r="AG520" s="24"/>
      <c r="AH520" s="24"/>
      <c r="AI520" s="24"/>
      <c r="AK520" s="24"/>
      <c r="AL520" s="24"/>
      <c r="AM520" s="24"/>
      <c r="AN520" s="24"/>
      <c r="AP520" s="24"/>
      <c r="AQ520" s="24"/>
      <c r="AR520" s="24">
        <v>45790.621612268522</v>
      </c>
      <c r="AS520" s="24">
        <v>45790.621612268522</v>
      </c>
      <c r="AX520" s="24"/>
      <c r="AY520" s="24"/>
      <c r="AZ520" s="24"/>
      <c r="BA520" s="24"/>
      <c r="BC520" s="24"/>
      <c r="BD520" s="24"/>
      <c r="BE520" s="24"/>
      <c r="BF520" s="24"/>
      <c r="BH520" s="24">
        <v>45790.621612268522</v>
      </c>
      <c r="BI520" s="24">
        <v>45790.621612268522</v>
      </c>
      <c r="BJ520" s="24">
        <v>45790.654977500002</v>
      </c>
      <c r="BK520" s="24">
        <v>45790.654977500002</v>
      </c>
      <c r="BL520">
        <v>1</v>
      </c>
      <c r="BM520" s="24"/>
      <c r="BN520" s="24"/>
      <c r="BO520" s="24"/>
      <c r="BP520" s="24"/>
      <c r="BR520" s="24">
        <v>45804.381689942129</v>
      </c>
      <c r="BS520" s="24">
        <v>45804.381689942129</v>
      </c>
      <c r="BT520" s="24">
        <v>45804.381777233793</v>
      </c>
      <c r="BU520" s="24">
        <v>45804.381777233793</v>
      </c>
      <c r="BV520">
        <v>1</v>
      </c>
      <c r="BW520" s="24"/>
      <c r="BX520" s="24"/>
      <c r="BY520" s="24"/>
      <c r="BZ520" s="24"/>
      <c r="CB520" s="24"/>
      <c r="CC520" s="24"/>
      <c r="CE520" s="24">
        <v>45804.381777233793</v>
      </c>
      <c r="CF520" s="24">
        <v>45804.381777233793</v>
      </c>
      <c r="CG520">
        <v>1</v>
      </c>
      <c r="CH520" s="24"/>
      <c r="CI520" s="24"/>
      <c r="CJ520" s="24"/>
      <c r="CK520" s="24"/>
      <c r="DE520" s="24"/>
      <c r="DF520" s="24"/>
      <c r="DG520" s="24"/>
      <c r="DH520" s="24"/>
      <c r="DJ520" t="s">
        <v>149</v>
      </c>
      <c r="DK520" t="s">
        <v>149</v>
      </c>
      <c r="DM520">
        <v>14</v>
      </c>
      <c r="DN520">
        <v>14</v>
      </c>
      <c r="DQ520" t="s">
        <v>1000</v>
      </c>
      <c r="DR520" t="s">
        <v>149</v>
      </c>
      <c r="DS520" s="24">
        <v>46160.384426226854</v>
      </c>
    </row>
    <row r="521" spans="1:123" x14ac:dyDescent="0.3">
      <c r="A521" t="s">
        <v>771</v>
      </c>
      <c r="D521" t="s">
        <v>223</v>
      </c>
      <c r="E521" s="24">
        <v>45789.302164351851</v>
      </c>
      <c r="G521" t="s">
        <v>90</v>
      </c>
      <c r="H521" t="s">
        <v>155</v>
      </c>
      <c r="I521" s="24"/>
      <c r="J521" s="24"/>
      <c r="K521" s="24"/>
      <c r="L521" s="24"/>
      <c r="N521" s="24"/>
      <c r="O521" s="24"/>
      <c r="P521" s="24"/>
      <c r="Q521" s="24"/>
      <c r="V521" s="24"/>
      <c r="W521" s="24"/>
      <c r="X521" s="24"/>
      <c r="Y521" s="24"/>
      <c r="AA521" s="24">
        <v>45797.400959398146</v>
      </c>
      <c r="AB521" s="24">
        <v>45797.400959398146</v>
      </c>
      <c r="AC521" s="24">
        <v>45805.326057592596</v>
      </c>
      <c r="AD521" s="24">
        <v>45805.326057592596</v>
      </c>
      <c r="AE521">
        <v>1</v>
      </c>
      <c r="AF521" s="24">
        <v>45805.326057592596</v>
      </c>
      <c r="AG521" s="24">
        <v>45805.326057592596</v>
      </c>
      <c r="AH521" s="24">
        <v>45805.400300462963</v>
      </c>
      <c r="AI521" s="24">
        <v>45805.400300462963</v>
      </c>
      <c r="AJ521">
        <v>1</v>
      </c>
      <c r="AK521" s="24"/>
      <c r="AL521" s="24"/>
      <c r="AM521" s="24"/>
      <c r="AN521" s="24"/>
      <c r="AP521" s="24"/>
      <c r="AQ521" s="24"/>
      <c r="AR521" s="24">
        <v>45790.603286076388</v>
      </c>
      <c r="AS521" s="24">
        <v>45790.603286076388</v>
      </c>
      <c r="AX521" s="24"/>
      <c r="AY521" s="24"/>
      <c r="AZ521" s="24"/>
      <c r="BA521" s="24"/>
      <c r="BC521" s="24"/>
      <c r="BD521" s="24"/>
      <c r="BE521" s="24"/>
      <c r="BF521" s="24"/>
      <c r="BH521" s="24">
        <v>45790.603286076388</v>
      </c>
      <c r="BI521" s="24">
        <v>45790.603286076388</v>
      </c>
      <c r="BJ521" s="24">
        <v>45797.400959398146</v>
      </c>
      <c r="BK521" s="24">
        <v>45797.400959398146</v>
      </c>
      <c r="BL521">
        <v>1</v>
      </c>
      <c r="BM521" s="24"/>
      <c r="BN521" s="24"/>
      <c r="BO521" s="24"/>
      <c r="BP521" s="24"/>
      <c r="BR521" s="24"/>
      <c r="BS521" s="24"/>
      <c r="BT521" s="24"/>
      <c r="BU521" s="24"/>
      <c r="BW521" s="24"/>
      <c r="BX521" s="24"/>
      <c r="BY521" s="24"/>
      <c r="BZ521" s="24"/>
      <c r="CB521" s="24"/>
      <c r="CC521" s="24"/>
      <c r="CE521" s="24">
        <v>45805.400300462963</v>
      </c>
      <c r="CF521" s="24">
        <v>45805.400300462963</v>
      </c>
      <c r="CG521">
        <v>1</v>
      </c>
      <c r="CH521" s="24"/>
      <c r="CI521" s="24"/>
      <c r="CJ521" s="24"/>
      <c r="CK521" s="24"/>
      <c r="DE521" s="24"/>
      <c r="DF521" s="24"/>
      <c r="DG521" s="24"/>
      <c r="DH521" s="24"/>
      <c r="DJ521" t="s">
        <v>149</v>
      </c>
      <c r="DK521" t="s">
        <v>149</v>
      </c>
      <c r="DM521">
        <v>15</v>
      </c>
      <c r="DN521">
        <v>8</v>
      </c>
      <c r="DQ521" t="s">
        <v>1000</v>
      </c>
      <c r="DR521" t="s">
        <v>149</v>
      </c>
      <c r="DS521" s="24">
        <v>46160.384426226854</v>
      </c>
    </row>
    <row r="522" spans="1:123" x14ac:dyDescent="0.3">
      <c r="A522" t="s">
        <v>772</v>
      </c>
      <c r="D522" t="s">
        <v>223</v>
      </c>
      <c r="E522" s="24">
        <v>45786.491863425923</v>
      </c>
      <c r="G522" t="s">
        <v>90</v>
      </c>
      <c r="H522" t="s">
        <v>155</v>
      </c>
      <c r="I522" s="24"/>
      <c r="J522" s="24"/>
      <c r="K522" s="24"/>
      <c r="L522" s="24"/>
      <c r="N522" s="24"/>
      <c r="O522" s="24"/>
      <c r="P522" s="24"/>
      <c r="Q522" s="24"/>
      <c r="V522" s="24"/>
      <c r="W522" s="24"/>
      <c r="X522" s="24"/>
      <c r="Y522" s="24"/>
      <c r="AA522" s="24">
        <v>45786.492593113428</v>
      </c>
      <c r="AB522" s="24">
        <v>45786.492593113428</v>
      </c>
      <c r="AC522" s="24">
        <v>45786.554890810185</v>
      </c>
      <c r="AD522" s="24">
        <v>45786.554890810185</v>
      </c>
      <c r="AE522">
        <v>1</v>
      </c>
      <c r="AF522" s="24">
        <v>45786.554890810185</v>
      </c>
      <c r="AG522" s="24">
        <v>45786.554890810185</v>
      </c>
      <c r="AH522" s="24">
        <v>45793.408165821762</v>
      </c>
      <c r="AI522" s="24">
        <v>45793.408165821762</v>
      </c>
      <c r="AJ522">
        <v>1</v>
      </c>
      <c r="AK522" s="24"/>
      <c r="AL522" s="24"/>
      <c r="AM522" s="24"/>
      <c r="AN522" s="24"/>
      <c r="AP522" s="24"/>
      <c r="AQ522" s="24"/>
      <c r="AR522" s="24">
        <v>45786.492530405092</v>
      </c>
      <c r="AS522" s="24">
        <v>45786.492530405092</v>
      </c>
      <c r="AX522" s="24"/>
      <c r="AY522" s="24"/>
      <c r="AZ522" s="24"/>
      <c r="BA522" s="24"/>
      <c r="BC522" s="24"/>
      <c r="BD522" s="24"/>
      <c r="BE522" s="24"/>
      <c r="BF522" s="24"/>
      <c r="BH522" s="24">
        <v>45786.492530405092</v>
      </c>
      <c r="BI522" s="24">
        <v>45786.492530405092</v>
      </c>
      <c r="BJ522" s="24">
        <v>45786.492593113428</v>
      </c>
      <c r="BK522" s="24">
        <v>45786.492593113428</v>
      </c>
      <c r="BL522">
        <v>1</v>
      </c>
      <c r="BM522" s="24"/>
      <c r="BN522" s="24"/>
      <c r="BO522" s="24"/>
      <c r="BP522" s="24"/>
      <c r="BR522" s="24">
        <v>45793.408165821762</v>
      </c>
      <c r="BS522" s="24">
        <v>45793.408165821762</v>
      </c>
      <c r="BT522" s="24">
        <v>45793.409349166664</v>
      </c>
      <c r="BU522" s="24">
        <v>45793.409349166664</v>
      </c>
      <c r="BV522">
        <v>1</v>
      </c>
      <c r="BW522" s="24"/>
      <c r="BX522" s="24"/>
      <c r="BY522" s="24"/>
      <c r="BZ522" s="24"/>
      <c r="CB522" s="24"/>
      <c r="CC522" s="24"/>
      <c r="CE522" s="24">
        <v>45793.409349166664</v>
      </c>
      <c r="CF522" s="24">
        <v>45793.409349166664</v>
      </c>
      <c r="CG522">
        <v>1</v>
      </c>
      <c r="CH522" s="24"/>
      <c r="CI522" s="24"/>
      <c r="CJ522" s="24"/>
      <c r="CK522" s="24"/>
      <c r="DE522" s="24"/>
      <c r="DF522" s="24"/>
      <c r="DG522" s="24"/>
      <c r="DH522" s="24"/>
      <c r="DJ522" t="s">
        <v>149</v>
      </c>
      <c r="DK522" t="s">
        <v>149</v>
      </c>
      <c r="DM522">
        <v>7</v>
      </c>
      <c r="DN522">
        <v>7</v>
      </c>
      <c r="DQ522" t="s">
        <v>1000</v>
      </c>
      <c r="DR522" t="s">
        <v>149</v>
      </c>
      <c r="DS522" s="24">
        <v>46160.384426226854</v>
      </c>
    </row>
    <row r="523" spans="1:123" x14ac:dyDescent="0.3">
      <c r="A523" t="s">
        <v>773</v>
      </c>
      <c r="D523" t="s">
        <v>223</v>
      </c>
      <c r="E523" s="24">
        <v>45786.34302083333</v>
      </c>
      <c r="G523" t="s">
        <v>90</v>
      </c>
      <c r="H523" t="s">
        <v>155</v>
      </c>
      <c r="I523" s="24"/>
      <c r="J523" s="24"/>
      <c r="K523" s="24"/>
      <c r="L523" s="24"/>
      <c r="N523" s="24"/>
      <c r="O523" s="24"/>
      <c r="P523" s="24"/>
      <c r="Q523" s="24"/>
      <c r="V523" s="24"/>
      <c r="W523" s="24"/>
      <c r="X523" s="24"/>
      <c r="Y523" s="24"/>
      <c r="AA523" s="24">
        <v>45786.347200833334</v>
      </c>
      <c r="AB523" s="24">
        <v>45786.347200833334</v>
      </c>
      <c r="AC523" s="24">
        <v>45786.347504849538</v>
      </c>
      <c r="AD523" s="24">
        <v>45786.347504849538</v>
      </c>
      <c r="AE523">
        <v>1</v>
      </c>
      <c r="AF523" s="24"/>
      <c r="AG523" s="24"/>
      <c r="AH523" s="24"/>
      <c r="AI523" s="24"/>
      <c r="AK523" s="24"/>
      <c r="AL523" s="24"/>
      <c r="AM523" s="24"/>
      <c r="AN523" s="24"/>
      <c r="AP523" s="24"/>
      <c r="AQ523" s="24"/>
      <c r="AR523" s="24">
        <v>45786.346964050928</v>
      </c>
      <c r="AS523" s="24">
        <v>45786.346964050928</v>
      </c>
      <c r="AX523" s="24"/>
      <c r="AY523" s="24"/>
      <c r="AZ523" s="24"/>
      <c r="BA523" s="24"/>
      <c r="BC523" s="24"/>
      <c r="BD523" s="24"/>
      <c r="BE523" s="24"/>
      <c r="BF523" s="24"/>
      <c r="BH523" s="24">
        <v>45786.346964050928</v>
      </c>
      <c r="BI523" s="24">
        <v>45786.346964050928</v>
      </c>
      <c r="BJ523" s="24">
        <v>45786.347200833334</v>
      </c>
      <c r="BK523" s="24">
        <v>45786.347200833334</v>
      </c>
      <c r="BL523">
        <v>1</v>
      </c>
      <c r="BM523" s="24"/>
      <c r="BN523" s="24"/>
      <c r="BO523" s="24"/>
      <c r="BP523" s="24"/>
      <c r="BR523" s="24">
        <v>45786.347504849538</v>
      </c>
      <c r="BS523" s="24">
        <v>45786.347504849538</v>
      </c>
      <c r="BT523" s="24">
        <v>45786.408420613428</v>
      </c>
      <c r="BU523" s="24">
        <v>45786.408420613428</v>
      </c>
      <c r="BV523">
        <v>1</v>
      </c>
      <c r="BW523" s="24"/>
      <c r="BX523" s="24"/>
      <c r="BY523" s="24"/>
      <c r="BZ523" s="24"/>
      <c r="CB523" s="24"/>
      <c r="CC523" s="24"/>
      <c r="CE523" s="24">
        <v>45786.408420613428</v>
      </c>
      <c r="CF523" s="24">
        <v>45786.408420613428</v>
      </c>
      <c r="CG523">
        <v>1</v>
      </c>
      <c r="CH523" s="24"/>
      <c r="CI523" s="24"/>
      <c r="CJ523" s="24"/>
      <c r="CK523" s="24"/>
      <c r="DE523" s="24"/>
      <c r="DF523" s="24"/>
      <c r="DG523" s="24"/>
      <c r="DH523" s="24"/>
      <c r="DJ523" t="s">
        <v>149</v>
      </c>
      <c r="DK523" t="s">
        <v>149</v>
      </c>
      <c r="DM523">
        <v>1</v>
      </c>
      <c r="DN523">
        <v>1</v>
      </c>
      <c r="DQ523" t="s">
        <v>1000</v>
      </c>
      <c r="DR523" t="s">
        <v>149</v>
      </c>
      <c r="DS523" s="24">
        <v>46160.384426226854</v>
      </c>
    </row>
    <row r="524" spans="1:123" x14ac:dyDescent="0.3">
      <c r="A524" t="s">
        <v>774</v>
      </c>
      <c r="D524" t="s">
        <v>223</v>
      </c>
      <c r="E524" s="24">
        <v>45785.558182870373</v>
      </c>
      <c r="G524" t="s">
        <v>90</v>
      </c>
      <c r="H524" t="s">
        <v>155</v>
      </c>
      <c r="I524" s="24"/>
      <c r="J524" s="24"/>
      <c r="K524" s="24"/>
      <c r="L524" s="24"/>
      <c r="N524" s="24"/>
      <c r="O524" s="24"/>
      <c r="P524" s="24"/>
      <c r="Q524" s="24"/>
      <c r="V524" s="24"/>
      <c r="W524" s="24"/>
      <c r="X524" s="24"/>
      <c r="Y524" s="24"/>
      <c r="AA524" s="24">
        <v>45813.672561956017</v>
      </c>
      <c r="AB524" s="24">
        <v>45810.377119687502</v>
      </c>
      <c r="AC524" s="24">
        <v>45812.69940578704</v>
      </c>
      <c r="AD524" s="24">
        <v>45814.466307708331</v>
      </c>
      <c r="AE524">
        <v>2</v>
      </c>
      <c r="AF524" s="24">
        <v>45814.466307708331</v>
      </c>
      <c r="AG524" s="24">
        <v>45812.69940578704</v>
      </c>
      <c r="AH524" s="24">
        <v>45813.672561956017</v>
      </c>
      <c r="AI524" s="24">
        <v>45814.572710879627</v>
      </c>
      <c r="AJ524">
        <v>2</v>
      </c>
      <c r="AK524" s="24"/>
      <c r="AL524" s="24"/>
      <c r="AM524" s="24"/>
      <c r="AN524" s="24"/>
      <c r="AP524" s="24"/>
      <c r="AQ524" s="24"/>
      <c r="AR524" s="24">
        <v>45805.488382291667</v>
      </c>
      <c r="AS524" s="24">
        <v>45805.488382291667</v>
      </c>
      <c r="AX524" s="24"/>
      <c r="AY524" s="24"/>
      <c r="AZ524" s="24"/>
      <c r="BA524" s="24"/>
      <c r="BC524" s="24"/>
      <c r="BD524" s="24"/>
      <c r="BE524" s="24"/>
      <c r="BF524" s="24"/>
      <c r="BH524" s="24">
        <v>45805.488382291667</v>
      </c>
      <c r="BI524" s="24">
        <v>45805.488382291667</v>
      </c>
      <c r="BJ524" s="24">
        <v>45810.377119687502</v>
      </c>
      <c r="BK524" s="24">
        <v>45810.377119687502</v>
      </c>
      <c r="BL524">
        <v>1</v>
      </c>
      <c r="BM524" s="24"/>
      <c r="BN524" s="24"/>
      <c r="BO524" s="24"/>
      <c r="BP524" s="24"/>
      <c r="BR524" s="24">
        <v>45814.572710879627</v>
      </c>
      <c r="BS524" s="24">
        <v>45814.572710879627</v>
      </c>
      <c r="BT524" s="24">
        <v>45814.572770729166</v>
      </c>
      <c r="BU524" s="24">
        <v>45814.572770729166</v>
      </c>
      <c r="BV524">
        <v>1</v>
      </c>
      <c r="BW524" s="24"/>
      <c r="BX524" s="24"/>
      <c r="BY524" s="24"/>
      <c r="BZ524" s="24"/>
      <c r="CB524" s="24"/>
      <c r="CC524" s="24"/>
      <c r="CE524" s="24">
        <v>45814.572770729166</v>
      </c>
      <c r="CF524" s="24">
        <v>45814.572770729166</v>
      </c>
      <c r="CG524">
        <v>1</v>
      </c>
      <c r="CH524" s="24"/>
      <c r="CI524" s="24"/>
      <c r="CJ524" s="24"/>
      <c r="CK524" s="24"/>
      <c r="DE524" s="24"/>
      <c r="DF524" s="24"/>
      <c r="DG524" s="24"/>
      <c r="DH524" s="24"/>
      <c r="DJ524" t="s">
        <v>149</v>
      </c>
      <c r="DK524" t="s">
        <v>149</v>
      </c>
      <c r="DM524">
        <v>10</v>
      </c>
      <c r="DN524">
        <v>5</v>
      </c>
      <c r="DQ524" t="s">
        <v>1000</v>
      </c>
      <c r="DR524" t="s">
        <v>149</v>
      </c>
      <c r="DS524" s="24">
        <v>46160.384426226854</v>
      </c>
    </row>
    <row r="525" spans="1:123" x14ac:dyDescent="0.3">
      <c r="A525" t="s">
        <v>775</v>
      </c>
      <c r="D525" t="s">
        <v>225</v>
      </c>
      <c r="E525" s="24">
        <v>45783.546064814815</v>
      </c>
      <c r="G525" t="s">
        <v>90</v>
      </c>
      <c r="H525" t="s">
        <v>155</v>
      </c>
      <c r="I525" s="24"/>
      <c r="J525" s="24"/>
      <c r="K525" s="24"/>
      <c r="L525" s="24"/>
      <c r="N525" s="24"/>
      <c r="O525" s="24"/>
      <c r="P525" s="24"/>
      <c r="Q525" s="24"/>
      <c r="V525" s="24"/>
      <c r="W525" s="24"/>
      <c r="X525" s="24"/>
      <c r="Y525" s="24"/>
      <c r="AA525" s="24">
        <v>45833.645790428243</v>
      </c>
      <c r="AB525" s="24">
        <v>45833.645790428243</v>
      </c>
      <c r="AC525" s="24">
        <v>45842.42028875</v>
      </c>
      <c r="AD525" s="24">
        <v>45842.42028875</v>
      </c>
      <c r="AE525">
        <v>1</v>
      </c>
      <c r="AF525" s="24">
        <v>45842.42028875</v>
      </c>
      <c r="AG525" s="24">
        <v>45842.42028875</v>
      </c>
      <c r="AH525" s="24">
        <v>45842.42033148148</v>
      </c>
      <c r="AI525" s="24">
        <v>45842.42033148148</v>
      </c>
      <c r="AJ525">
        <v>1</v>
      </c>
      <c r="AK525" s="24">
        <v>45842.42033148148</v>
      </c>
      <c r="AL525" s="24">
        <v>45842.42033148148</v>
      </c>
      <c r="AM525" s="24">
        <v>45842.42040880787</v>
      </c>
      <c r="AN525" s="24">
        <v>45842.42040880787</v>
      </c>
      <c r="AO525">
        <v>1</v>
      </c>
      <c r="AP525" s="24"/>
      <c r="AQ525" s="24"/>
      <c r="AR525" s="24">
        <v>45831.567879097223</v>
      </c>
      <c r="AS525" s="24">
        <v>45831.567879097223</v>
      </c>
      <c r="AX525" s="24"/>
      <c r="AY525" s="24"/>
      <c r="AZ525" s="24"/>
      <c r="BA525" s="24"/>
      <c r="BC525" s="24">
        <v>45842.426959375</v>
      </c>
      <c r="BD525" s="24">
        <v>45842.426959375</v>
      </c>
      <c r="BE525" s="24">
        <v>45846.411207187499</v>
      </c>
      <c r="BF525" s="24">
        <v>45846.411207187499</v>
      </c>
      <c r="BG525">
        <v>1</v>
      </c>
      <c r="BH525" s="24">
        <v>45831.567879097223</v>
      </c>
      <c r="BI525" s="24">
        <v>45831.567879097223</v>
      </c>
      <c r="BJ525" s="24">
        <v>45833.645790428243</v>
      </c>
      <c r="BK525" s="24">
        <v>45833.645790428243</v>
      </c>
      <c r="BL525">
        <v>1</v>
      </c>
      <c r="BM525" s="24"/>
      <c r="BN525" s="24"/>
      <c r="BO525" s="24"/>
      <c r="BP525" s="24"/>
      <c r="BR525" s="24">
        <v>45842.42040880787</v>
      </c>
      <c r="BS525" s="24">
        <v>45842.42040880787</v>
      </c>
      <c r="BT525" s="24">
        <v>45842.426959375</v>
      </c>
      <c r="BU525" s="24">
        <v>45842.426959375</v>
      </c>
      <c r="BV525">
        <v>1</v>
      </c>
      <c r="BW525" s="24"/>
      <c r="BX525" s="24"/>
      <c r="BY525" s="24"/>
      <c r="BZ525" s="24"/>
      <c r="CB525" s="24"/>
      <c r="CC525" s="24"/>
      <c r="CE525" s="24">
        <v>45846.411207187499</v>
      </c>
      <c r="CF525" s="24">
        <v>45846.411207187499</v>
      </c>
      <c r="CG525">
        <v>1</v>
      </c>
      <c r="CH525" s="24"/>
      <c r="CI525" s="24"/>
      <c r="CJ525" s="24"/>
      <c r="CK525" s="24"/>
      <c r="DE525" s="24"/>
      <c r="DF525" s="24"/>
      <c r="DG525" s="24"/>
      <c r="DH525" s="24"/>
      <c r="DJ525" t="s">
        <v>149</v>
      </c>
      <c r="DK525" t="s">
        <v>149</v>
      </c>
      <c r="DM525">
        <v>15</v>
      </c>
      <c r="DN525">
        <v>13</v>
      </c>
      <c r="DQ525" t="s">
        <v>1000</v>
      </c>
      <c r="DR525" t="s">
        <v>149</v>
      </c>
      <c r="DS525" s="24">
        <v>46160.384426226854</v>
      </c>
    </row>
    <row r="526" spans="1:123" x14ac:dyDescent="0.3">
      <c r="A526" t="s">
        <v>776</v>
      </c>
      <c r="D526" t="s">
        <v>224</v>
      </c>
      <c r="E526" s="24">
        <v>45783.425300925926</v>
      </c>
      <c r="G526" t="s">
        <v>90</v>
      </c>
      <c r="H526" t="s">
        <v>155</v>
      </c>
      <c r="I526" s="24"/>
      <c r="J526" s="24"/>
      <c r="K526" s="24"/>
      <c r="L526" s="24"/>
      <c r="N526" s="24"/>
      <c r="O526" s="24"/>
      <c r="P526" s="24"/>
      <c r="Q526" s="24"/>
      <c r="V526" s="24"/>
      <c r="W526" s="24"/>
      <c r="X526" s="24"/>
      <c r="Y526" s="24"/>
      <c r="AA526" s="24">
        <v>45792.683814768519</v>
      </c>
      <c r="AB526" s="24">
        <v>45792.683814768519</v>
      </c>
      <c r="AC526" s="24">
        <v>45793.525365636575</v>
      </c>
      <c r="AD526" s="24">
        <v>45793.525365636575</v>
      </c>
      <c r="AE526">
        <v>1</v>
      </c>
      <c r="AF526" s="24">
        <v>45793.525365636575</v>
      </c>
      <c r="AG526" s="24">
        <v>45793.525365636575</v>
      </c>
      <c r="AH526" s="24">
        <v>45793.681424131944</v>
      </c>
      <c r="AI526" s="24">
        <v>45793.681424131944</v>
      </c>
      <c r="AJ526">
        <v>1</v>
      </c>
      <c r="AK526" s="24">
        <v>45793.681424131944</v>
      </c>
      <c r="AL526" s="24">
        <v>45793.681424131944</v>
      </c>
      <c r="AM526" s="24">
        <v>45796.329778657404</v>
      </c>
      <c r="AN526" s="24">
        <v>45796.329778657404</v>
      </c>
      <c r="AO526">
        <v>1</v>
      </c>
      <c r="AP526" s="24"/>
      <c r="AQ526" s="24"/>
      <c r="AR526" s="24">
        <v>45790.606592187498</v>
      </c>
      <c r="AS526" s="24">
        <v>45790.606592187498</v>
      </c>
      <c r="AX526" s="24"/>
      <c r="AY526" s="24"/>
      <c r="AZ526" s="24"/>
      <c r="BA526" s="24"/>
      <c r="BC526" s="24">
        <v>45796.410057604167</v>
      </c>
      <c r="BD526" s="24">
        <v>45796.410057604167</v>
      </c>
      <c r="BE526" s="24">
        <v>45803.643631736108</v>
      </c>
      <c r="BF526" s="24">
        <v>45803.643631736108</v>
      </c>
      <c r="BG526">
        <v>1</v>
      </c>
      <c r="BH526" s="24">
        <v>45790.606592187498</v>
      </c>
      <c r="BI526" s="24">
        <v>45790.606592187498</v>
      </c>
      <c r="BJ526" s="24">
        <v>45792.683814768519</v>
      </c>
      <c r="BK526" s="24">
        <v>45792.683814768519</v>
      </c>
      <c r="BL526">
        <v>1</v>
      </c>
      <c r="BM526" s="24"/>
      <c r="BN526" s="24"/>
      <c r="BO526" s="24"/>
      <c r="BP526" s="24"/>
      <c r="BR526" s="24">
        <v>45796.329778657404</v>
      </c>
      <c r="BS526" s="24">
        <v>45796.329778657404</v>
      </c>
      <c r="BT526" s="24">
        <v>45796.410057604167</v>
      </c>
      <c r="BU526" s="24">
        <v>45796.410057604167</v>
      </c>
      <c r="BV526">
        <v>1</v>
      </c>
      <c r="BW526" s="24"/>
      <c r="BX526" s="24"/>
      <c r="BY526" s="24"/>
      <c r="BZ526" s="24"/>
      <c r="CB526" s="24"/>
      <c r="CC526" s="24"/>
      <c r="CE526" s="24">
        <v>45803.643631736108</v>
      </c>
      <c r="CF526" s="24">
        <v>45803.643631736108</v>
      </c>
      <c r="CG526">
        <v>1</v>
      </c>
      <c r="CH526" s="24"/>
      <c r="CI526" s="24"/>
      <c r="CJ526" s="24"/>
      <c r="CK526" s="24"/>
      <c r="DE526" s="24"/>
      <c r="DF526" s="24"/>
      <c r="DG526" s="24"/>
      <c r="DH526" s="24"/>
      <c r="DJ526" t="s">
        <v>149</v>
      </c>
      <c r="DK526" t="s">
        <v>149</v>
      </c>
      <c r="DM526">
        <v>14</v>
      </c>
      <c r="DN526">
        <v>11</v>
      </c>
      <c r="DQ526" t="s">
        <v>1000</v>
      </c>
      <c r="DR526" t="s">
        <v>149</v>
      </c>
      <c r="DS526" s="24">
        <v>46160.384426226854</v>
      </c>
    </row>
    <row r="527" spans="1:123" x14ac:dyDescent="0.3">
      <c r="A527" t="s">
        <v>777</v>
      </c>
      <c r="D527" t="s">
        <v>223</v>
      </c>
      <c r="E527" s="24">
        <v>45783.396064814813</v>
      </c>
      <c r="G527" t="s">
        <v>90</v>
      </c>
      <c r="H527" t="s">
        <v>155</v>
      </c>
      <c r="I527" s="24"/>
      <c r="J527" s="24"/>
      <c r="K527" s="24"/>
      <c r="L527" s="24"/>
      <c r="N527" s="24"/>
      <c r="O527" s="24"/>
      <c r="P527" s="24"/>
      <c r="Q527" s="24"/>
      <c r="V527" s="24"/>
      <c r="W527" s="24"/>
      <c r="X527" s="24"/>
      <c r="Y527" s="24"/>
      <c r="AA527" s="24">
        <v>45798.668453321756</v>
      </c>
      <c r="AB527" s="24">
        <v>45798.668453321756</v>
      </c>
      <c r="AC527" s="24">
        <v>45799.689354872688</v>
      </c>
      <c r="AD527" s="24">
        <v>45799.689354872688</v>
      </c>
      <c r="AE527">
        <v>1</v>
      </c>
      <c r="AF527" s="24">
        <v>45799.689354872688</v>
      </c>
      <c r="AG527" s="24">
        <v>45799.689354872688</v>
      </c>
      <c r="AH527" s="24">
        <v>45799.689402465279</v>
      </c>
      <c r="AI527" s="24">
        <v>45799.689402465279</v>
      </c>
      <c r="AJ527">
        <v>1</v>
      </c>
      <c r="AK527" s="24"/>
      <c r="AL527" s="24"/>
      <c r="AM527" s="24"/>
      <c r="AN527" s="24"/>
      <c r="AP527" s="24"/>
      <c r="AQ527" s="24"/>
      <c r="AR527" s="24">
        <v>45790.604079062497</v>
      </c>
      <c r="AS527" s="24">
        <v>45790.604079062497</v>
      </c>
      <c r="AX527" s="24"/>
      <c r="AY527" s="24"/>
      <c r="AZ527" s="24"/>
      <c r="BA527" s="24"/>
      <c r="BC527" s="24"/>
      <c r="BD527" s="24"/>
      <c r="BE527" s="24"/>
      <c r="BF527" s="24"/>
      <c r="BH527" s="24">
        <v>45790.604079062497</v>
      </c>
      <c r="BI527" s="24">
        <v>45790.604079062497</v>
      </c>
      <c r="BJ527" s="24">
        <v>45798.668453321756</v>
      </c>
      <c r="BK527" s="24">
        <v>45798.668453321756</v>
      </c>
      <c r="BL527">
        <v>1</v>
      </c>
      <c r="BM527" s="24"/>
      <c r="BN527" s="24"/>
      <c r="BO527" s="24"/>
      <c r="BP527" s="24"/>
      <c r="BR527" s="24">
        <v>45799.689402465279</v>
      </c>
      <c r="BS527" s="24">
        <v>45799.689402465279</v>
      </c>
      <c r="BT527" s="24">
        <v>45800.401385115743</v>
      </c>
      <c r="BU527" s="24">
        <v>45800.401385115743</v>
      </c>
      <c r="BV527">
        <v>1</v>
      </c>
      <c r="BW527" s="24"/>
      <c r="BX527" s="24"/>
      <c r="BY527" s="24"/>
      <c r="BZ527" s="24"/>
      <c r="CB527" s="24"/>
      <c r="CC527" s="24"/>
      <c r="CE527" s="24">
        <v>45800.401385115743</v>
      </c>
      <c r="CF527" s="24">
        <v>45800.401385115743</v>
      </c>
      <c r="CG527">
        <v>1</v>
      </c>
      <c r="CH527" s="24"/>
      <c r="CI527" s="24"/>
      <c r="CJ527" s="24"/>
      <c r="CK527" s="24"/>
      <c r="DE527" s="24"/>
      <c r="DF527" s="24"/>
      <c r="DG527" s="24"/>
      <c r="DH527" s="24"/>
      <c r="DJ527" t="s">
        <v>149</v>
      </c>
      <c r="DK527" t="s">
        <v>149</v>
      </c>
      <c r="DM527">
        <v>10</v>
      </c>
      <c r="DN527">
        <v>2</v>
      </c>
      <c r="DQ527" t="s">
        <v>1000</v>
      </c>
      <c r="DR527" t="s">
        <v>149</v>
      </c>
      <c r="DS527" s="24">
        <v>46160.384426226854</v>
      </c>
    </row>
    <row r="528" spans="1:123" x14ac:dyDescent="0.3">
      <c r="A528" t="s">
        <v>778</v>
      </c>
      <c r="D528" t="s">
        <v>223</v>
      </c>
      <c r="E528" s="24">
        <v>45783.389710648145</v>
      </c>
      <c r="G528" t="s">
        <v>90</v>
      </c>
      <c r="H528" t="s">
        <v>155</v>
      </c>
      <c r="I528" s="24"/>
      <c r="J528" s="24"/>
      <c r="K528" s="24"/>
      <c r="L528" s="24"/>
      <c r="N528" s="24"/>
      <c r="O528" s="24"/>
      <c r="P528" s="24"/>
      <c r="Q528" s="24"/>
      <c r="V528" s="24"/>
      <c r="W528" s="24"/>
      <c r="X528" s="24"/>
      <c r="Y528" s="24"/>
      <c r="AA528" s="24">
        <v>45791.395327361111</v>
      </c>
      <c r="AB528" s="24">
        <v>45791.395327361111</v>
      </c>
      <c r="AC528" s="24">
        <v>45792.717890231484</v>
      </c>
      <c r="AD528" s="24">
        <v>45792.717890231484</v>
      </c>
      <c r="AE528">
        <v>1</v>
      </c>
      <c r="AF528" s="24">
        <v>45792.717890231484</v>
      </c>
      <c r="AG528" s="24">
        <v>45792.717890231484</v>
      </c>
      <c r="AH528" s="24">
        <v>45793.679527743057</v>
      </c>
      <c r="AI528" s="24">
        <v>45793.679527743057</v>
      </c>
      <c r="AJ528">
        <v>1</v>
      </c>
      <c r="AK528" s="24"/>
      <c r="AL528" s="24"/>
      <c r="AM528" s="24"/>
      <c r="AN528" s="24"/>
      <c r="AP528" s="24"/>
      <c r="AQ528" s="24"/>
      <c r="AR528" s="24">
        <v>45790.60309178241</v>
      </c>
      <c r="AS528" s="24">
        <v>45790.60309178241</v>
      </c>
      <c r="AX528" s="24"/>
      <c r="AY528" s="24"/>
      <c r="AZ528" s="24"/>
      <c r="BA528" s="24"/>
      <c r="BC528" s="24"/>
      <c r="BD528" s="24"/>
      <c r="BE528" s="24"/>
      <c r="BF528" s="24"/>
      <c r="BH528" s="24">
        <v>45790.60309178241</v>
      </c>
      <c r="BI528" s="24">
        <v>45790.60309178241</v>
      </c>
      <c r="BJ528" s="24">
        <v>45791.395327361111</v>
      </c>
      <c r="BK528" s="24">
        <v>45791.395327361111</v>
      </c>
      <c r="BL528">
        <v>1</v>
      </c>
      <c r="BM528" s="24"/>
      <c r="BN528" s="24"/>
      <c r="BO528" s="24"/>
      <c r="BP528" s="24"/>
      <c r="BR528" s="24">
        <v>45793.679527743057</v>
      </c>
      <c r="BS528" s="24">
        <v>45793.679527743057</v>
      </c>
      <c r="BT528" s="24">
        <v>45796.404247627317</v>
      </c>
      <c r="BU528" s="24">
        <v>45796.404247627317</v>
      </c>
      <c r="BV528">
        <v>1</v>
      </c>
      <c r="BW528" s="24"/>
      <c r="BX528" s="24"/>
      <c r="BY528" s="24"/>
      <c r="BZ528" s="24"/>
      <c r="CB528" s="24"/>
      <c r="CC528" s="24"/>
      <c r="CE528" s="24">
        <v>45796.404247627317</v>
      </c>
      <c r="CF528" s="24">
        <v>45796.404247627317</v>
      </c>
      <c r="CG528">
        <v>1</v>
      </c>
      <c r="CH528" s="24"/>
      <c r="CI528" s="24"/>
      <c r="CJ528" s="24"/>
      <c r="CK528" s="24"/>
      <c r="DE528" s="24"/>
      <c r="DF528" s="24"/>
      <c r="DG528" s="24"/>
      <c r="DH528" s="24"/>
      <c r="DJ528" t="s">
        <v>149</v>
      </c>
      <c r="DK528" t="s">
        <v>149</v>
      </c>
      <c r="DM528">
        <v>6</v>
      </c>
      <c r="DN528">
        <v>6</v>
      </c>
      <c r="DQ528" t="s">
        <v>1000</v>
      </c>
      <c r="DR528" t="s">
        <v>149</v>
      </c>
      <c r="DS528" s="24">
        <v>46160.384426226854</v>
      </c>
    </row>
    <row r="529" spans="1:123" x14ac:dyDescent="0.3">
      <c r="A529" t="s">
        <v>779</v>
      </c>
      <c r="D529" t="s">
        <v>223</v>
      </c>
      <c r="E529" s="24">
        <v>45783.38863425926</v>
      </c>
      <c r="G529" t="s">
        <v>90</v>
      </c>
      <c r="H529" t="s">
        <v>155</v>
      </c>
      <c r="I529" s="24"/>
      <c r="J529" s="24"/>
      <c r="K529" s="24"/>
      <c r="L529" s="24"/>
      <c r="N529" s="24"/>
      <c r="O529" s="24"/>
      <c r="P529" s="24"/>
      <c r="Q529" s="24"/>
      <c r="V529" s="24"/>
      <c r="W529" s="24"/>
      <c r="X529" s="24"/>
      <c r="Y529" s="24"/>
      <c r="AA529" s="24">
        <v>45792.719022824072</v>
      </c>
      <c r="AB529" s="24">
        <v>45792.719022824072</v>
      </c>
      <c r="AC529" s="24">
        <v>45793.679566284722</v>
      </c>
      <c r="AD529" s="24">
        <v>45793.679566284722</v>
      </c>
      <c r="AE529">
        <v>1</v>
      </c>
      <c r="AF529" s="24">
        <v>45793.679566284722</v>
      </c>
      <c r="AG529" s="24">
        <v>45793.679566284722</v>
      </c>
      <c r="AH529" s="24">
        <v>45796.436215254631</v>
      </c>
      <c r="AI529" s="24">
        <v>45796.436215254631</v>
      </c>
      <c r="AJ529">
        <v>1</v>
      </c>
      <c r="AK529" s="24"/>
      <c r="AL529" s="24"/>
      <c r="AM529" s="24"/>
      <c r="AN529" s="24"/>
      <c r="AP529" s="24"/>
      <c r="AQ529" s="24"/>
      <c r="AR529" s="24">
        <v>45790.60290597222</v>
      </c>
      <c r="AS529" s="24">
        <v>45790.60290597222</v>
      </c>
      <c r="AX529" s="24"/>
      <c r="AY529" s="24"/>
      <c r="AZ529" s="24"/>
      <c r="BA529" s="24"/>
      <c r="BC529" s="24"/>
      <c r="BD529" s="24"/>
      <c r="BE529" s="24"/>
      <c r="BF529" s="24"/>
      <c r="BH529" s="24">
        <v>45790.60290597222</v>
      </c>
      <c r="BI529" s="24">
        <v>45790.60290597222</v>
      </c>
      <c r="BJ529" s="24">
        <v>45792.719022824072</v>
      </c>
      <c r="BK529" s="24">
        <v>45792.719022824072</v>
      </c>
      <c r="BL529">
        <v>1</v>
      </c>
      <c r="BM529" s="24"/>
      <c r="BN529" s="24"/>
      <c r="BO529" s="24"/>
      <c r="BP529" s="24"/>
      <c r="BR529" s="24">
        <v>45796.436215254631</v>
      </c>
      <c r="BS529" s="24">
        <v>45796.436215254631</v>
      </c>
      <c r="BT529" s="24">
        <v>45797.400044085647</v>
      </c>
      <c r="BU529" s="24">
        <v>45797.400044085647</v>
      </c>
      <c r="BV529">
        <v>1</v>
      </c>
      <c r="BW529" s="24"/>
      <c r="BX529" s="24"/>
      <c r="BY529" s="24"/>
      <c r="BZ529" s="24"/>
      <c r="CB529" s="24"/>
      <c r="CC529" s="24"/>
      <c r="CE529" s="24">
        <v>45797.400044085647</v>
      </c>
      <c r="CF529" s="24">
        <v>45797.400044085647</v>
      </c>
      <c r="CG529">
        <v>1</v>
      </c>
      <c r="CH529" s="24"/>
      <c r="CI529" s="24"/>
      <c r="CJ529" s="24"/>
      <c r="CK529" s="24"/>
      <c r="DE529" s="24"/>
      <c r="DF529" s="24"/>
      <c r="DG529" s="24"/>
      <c r="DH529" s="24"/>
      <c r="DJ529" t="s">
        <v>149</v>
      </c>
      <c r="DK529" t="s">
        <v>149</v>
      </c>
      <c r="DM529">
        <v>7</v>
      </c>
      <c r="DN529">
        <v>5</v>
      </c>
      <c r="DQ529" t="s">
        <v>1000</v>
      </c>
      <c r="DR529" t="s">
        <v>149</v>
      </c>
      <c r="DS529" s="24">
        <v>46160.384426226854</v>
      </c>
    </row>
    <row r="530" spans="1:123" x14ac:dyDescent="0.3">
      <c r="A530" t="s">
        <v>780</v>
      </c>
      <c r="D530" t="s">
        <v>223</v>
      </c>
      <c r="E530" s="24">
        <v>45783.385277777779</v>
      </c>
      <c r="G530" t="s">
        <v>90</v>
      </c>
      <c r="H530" t="s">
        <v>155</v>
      </c>
      <c r="I530" s="24"/>
      <c r="J530" s="24"/>
      <c r="K530" s="24"/>
      <c r="L530" s="24"/>
      <c r="N530" s="24"/>
      <c r="O530" s="24"/>
      <c r="P530" s="24"/>
      <c r="Q530" s="24"/>
      <c r="V530" s="24"/>
      <c r="W530" s="24"/>
      <c r="X530" s="24"/>
      <c r="Y530" s="24"/>
      <c r="AA530" s="24">
        <v>45790.627282141206</v>
      </c>
      <c r="AB530" s="24">
        <v>45790.627282141206</v>
      </c>
      <c r="AC530" s="24">
        <v>45791.393536134259</v>
      </c>
      <c r="AD530" s="24">
        <v>45791.393536134259</v>
      </c>
      <c r="AE530">
        <v>1</v>
      </c>
      <c r="AF530" s="24">
        <v>45791.393536134259</v>
      </c>
      <c r="AG530" s="24">
        <v>45791.393536134259</v>
      </c>
      <c r="AH530" s="24">
        <v>45792.495257314818</v>
      </c>
      <c r="AI530" s="24">
        <v>45792.495257314818</v>
      </c>
      <c r="AJ530">
        <v>1</v>
      </c>
      <c r="AK530" s="24"/>
      <c r="AL530" s="24"/>
      <c r="AM530" s="24"/>
      <c r="AN530" s="24"/>
      <c r="AP530" s="24"/>
      <c r="AQ530" s="24"/>
      <c r="AR530" s="24">
        <v>45790.602760833332</v>
      </c>
      <c r="AS530" s="24">
        <v>45790.602760833332</v>
      </c>
      <c r="AX530" s="24"/>
      <c r="AY530" s="24"/>
      <c r="AZ530" s="24"/>
      <c r="BA530" s="24"/>
      <c r="BC530" s="24"/>
      <c r="BD530" s="24"/>
      <c r="BE530" s="24"/>
      <c r="BF530" s="24"/>
      <c r="BH530" s="24">
        <v>45790.602760833332</v>
      </c>
      <c r="BI530" s="24">
        <v>45790.602760833332</v>
      </c>
      <c r="BJ530" s="24">
        <v>45790.627282141206</v>
      </c>
      <c r="BK530" s="24">
        <v>45790.627282141206</v>
      </c>
      <c r="BL530">
        <v>1</v>
      </c>
      <c r="BM530" s="24"/>
      <c r="BN530" s="24"/>
      <c r="BO530" s="24"/>
      <c r="BP530" s="24"/>
      <c r="BR530" s="24">
        <v>45792.495257314818</v>
      </c>
      <c r="BS530" s="24">
        <v>45792.495257314818</v>
      </c>
      <c r="BT530" s="24">
        <v>45792.495303530093</v>
      </c>
      <c r="BU530" s="24">
        <v>45792.495303530093</v>
      </c>
      <c r="BV530">
        <v>1</v>
      </c>
      <c r="BW530" s="24"/>
      <c r="BX530" s="24"/>
      <c r="BY530" s="24"/>
      <c r="BZ530" s="24"/>
      <c r="CB530" s="24"/>
      <c r="CC530" s="24"/>
      <c r="CE530" s="24">
        <v>45792.495303530093</v>
      </c>
      <c r="CF530" s="24">
        <v>45792.495303530093</v>
      </c>
      <c r="CG530">
        <v>1</v>
      </c>
      <c r="CH530" s="24"/>
      <c r="CI530" s="24"/>
      <c r="CJ530" s="24"/>
      <c r="CK530" s="24"/>
      <c r="DE530" s="24"/>
      <c r="DF530" s="24"/>
      <c r="DG530" s="24"/>
      <c r="DH530" s="24"/>
      <c r="DJ530" t="s">
        <v>149</v>
      </c>
      <c r="DK530" t="s">
        <v>149</v>
      </c>
      <c r="DM530">
        <v>2</v>
      </c>
      <c r="DN530">
        <v>2</v>
      </c>
      <c r="DQ530" t="s">
        <v>1000</v>
      </c>
      <c r="DR530" t="s">
        <v>149</v>
      </c>
      <c r="DS530" s="24">
        <v>46160.384426226854</v>
      </c>
    </row>
    <row r="531" spans="1:123" x14ac:dyDescent="0.3">
      <c r="A531" t="s">
        <v>781</v>
      </c>
      <c r="D531" t="s">
        <v>223</v>
      </c>
      <c r="E531" s="24">
        <v>45783.384120370371</v>
      </c>
      <c r="G531" t="s">
        <v>90</v>
      </c>
      <c r="H531" t="s">
        <v>155</v>
      </c>
      <c r="I531" s="24"/>
      <c r="J531" s="24"/>
      <c r="K531" s="24"/>
      <c r="L531" s="24"/>
      <c r="N531" s="24"/>
      <c r="O531" s="24"/>
      <c r="P531" s="24"/>
      <c r="Q531" s="24"/>
      <c r="V531" s="24"/>
      <c r="W531" s="24"/>
      <c r="X531" s="24"/>
      <c r="Y531" s="24"/>
      <c r="AA531" s="24">
        <v>45793.679609710649</v>
      </c>
      <c r="AB531" s="24">
        <v>45793.679609710649</v>
      </c>
      <c r="AC531" s="24">
        <v>45797.386466354168</v>
      </c>
      <c r="AD531" s="24">
        <v>45797.386466354168</v>
      </c>
      <c r="AE531">
        <v>1</v>
      </c>
      <c r="AF531" s="24"/>
      <c r="AG531" s="24"/>
      <c r="AH531" s="24"/>
      <c r="AI531" s="24"/>
      <c r="AK531" s="24"/>
      <c r="AL531" s="24"/>
      <c r="AM531" s="24"/>
      <c r="AN531" s="24"/>
      <c r="AP531" s="24"/>
      <c r="AQ531" s="24"/>
      <c r="AR531" s="24">
        <v>45790.60233829861</v>
      </c>
      <c r="AS531" s="24">
        <v>45790.60233829861</v>
      </c>
      <c r="AX531" s="24"/>
      <c r="AY531" s="24"/>
      <c r="AZ531" s="24"/>
      <c r="BA531" s="24"/>
      <c r="BC531" s="24"/>
      <c r="BD531" s="24"/>
      <c r="BE531" s="24"/>
      <c r="BF531" s="24"/>
      <c r="BH531" s="24">
        <v>45790.60233829861</v>
      </c>
      <c r="BI531" s="24">
        <v>45790.60233829861</v>
      </c>
      <c r="BJ531" s="24">
        <v>45793.679609710649</v>
      </c>
      <c r="BK531" s="24">
        <v>45793.679609710649</v>
      </c>
      <c r="BL531">
        <v>1</v>
      </c>
      <c r="BM531" s="24"/>
      <c r="BN531" s="24"/>
      <c r="BO531" s="24"/>
      <c r="BP531" s="24"/>
      <c r="BR531" s="24">
        <v>45797.386466354168</v>
      </c>
      <c r="BS531" s="24">
        <v>45797.386466354168</v>
      </c>
      <c r="BT531" s="24">
        <v>45797.40009703704</v>
      </c>
      <c r="BU531" s="24">
        <v>45797.40009703704</v>
      </c>
      <c r="BV531">
        <v>1</v>
      </c>
      <c r="BW531" s="24"/>
      <c r="BX531" s="24"/>
      <c r="BY531" s="24"/>
      <c r="BZ531" s="24"/>
      <c r="CB531" s="24"/>
      <c r="CC531" s="24"/>
      <c r="CE531" s="24">
        <v>45797.40009703704</v>
      </c>
      <c r="CF531" s="24">
        <v>45797.40009703704</v>
      </c>
      <c r="CG531">
        <v>1</v>
      </c>
      <c r="CH531" s="24"/>
      <c r="CI531" s="24"/>
      <c r="CJ531" s="24"/>
      <c r="CK531" s="24"/>
      <c r="DE531" s="24"/>
      <c r="DF531" s="24"/>
      <c r="DG531" s="24"/>
      <c r="DH531" s="24"/>
      <c r="DJ531" t="s">
        <v>149</v>
      </c>
      <c r="DK531" t="s">
        <v>149</v>
      </c>
      <c r="DM531">
        <v>7</v>
      </c>
      <c r="DN531">
        <v>4</v>
      </c>
      <c r="DQ531" t="s">
        <v>1000</v>
      </c>
      <c r="DR531" t="s">
        <v>149</v>
      </c>
      <c r="DS531" s="24">
        <v>46160.384426226854</v>
      </c>
    </row>
    <row r="532" spans="1:123" x14ac:dyDescent="0.3">
      <c r="A532" t="s">
        <v>782</v>
      </c>
      <c r="D532" t="s">
        <v>225</v>
      </c>
      <c r="E532" s="24">
        <v>45783.332719907405</v>
      </c>
      <c r="G532" t="s">
        <v>90</v>
      </c>
      <c r="H532" t="s">
        <v>155</v>
      </c>
      <c r="I532" s="24"/>
      <c r="J532" s="24"/>
      <c r="K532" s="24"/>
      <c r="L532" s="24"/>
      <c r="N532" s="24">
        <v>45813.708672928238</v>
      </c>
      <c r="O532" s="24">
        <v>45793.587330254632</v>
      </c>
      <c r="P532" s="24">
        <v>45805.372235196759</v>
      </c>
      <c r="Q532" s="24">
        <v>45818.386031296293</v>
      </c>
      <c r="R532">
        <v>3</v>
      </c>
      <c r="V532" s="24"/>
      <c r="W532" s="24"/>
      <c r="X532" s="24"/>
      <c r="Y532" s="24"/>
      <c r="AA532" s="24">
        <v>45818.386031296293</v>
      </c>
      <c r="AB532" s="24">
        <v>45792.409700266202</v>
      </c>
      <c r="AC532" s="24">
        <v>45793.587330254632</v>
      </c>
      <c r="AD532" s="24">
        <v>45818.618875462962</v>
      </c>
      <c r="AE532">
        <v>4</v>
      </c>
      <c r="AF532" s="24">
        <v>45818.618875462962</v>
      </c>
      <c r="AG532" s="24">
        <v>45818.618875462962</v>
      </c>
      <c r="AH532" s="24">
        <v>45818.694801134261</v>
      </c>
      <c r="AI532" s="24">
        <v>45818.694801134261</v>
      </c>
      <c r="AJ532">
        <v>1</v>
      </c>
      <c r="AK532" s="24">
        <v>45818.694801134261</v>
      </c>
      <c r="AL532" s="24">
        <v>45818.694801134261</v>
      </c>
      <c r="AM532" s="24">
        <v>45818.694853425928</v>
      </c>
      <c r="AN532" s="24">
        <v>45818.694853425928</v>
      </c>
      <c r="AO532">
        <v>1</v>
      </c>
      <c r="AP532" s="24"/>
      <c r="AQ532" s="24"/>
      <c r="AR532" s="24">
        <v>45790.604676967596</v>
      </c>
      <c r="AS532" s="24">
        <v>45790.604676967596</v>
      </c>
      <c r="AX532" s="24"/>
      <c r="AY532" s="24"/>
      <c r="AZ532" s="24"/>
      <c r="BA532" s="24"/>
      <c r="BC532" s="24">
        <v>45818.694947430558</v>
      </c>
      <c r="BD532" s="24">
        <v>45818.694947430558</v>
      </c>
      <c r="BE532" s="24">
        <v>45820.432348796297</v>
      </c>
      <c r="BF532" s="24">
        <v>45820.432348796297</v>
      </c>
      <c r="BG532">
        <v>1</v>
      </c>
      <c r="BH532" s="24">
        <v>45790.604676967596</v>
      </c>
      <c r="BI532" s="24">
        <v>45790.604676967596</v>
      </c>
      <c r="BJ532" s="24">
        <v>45792.409700266202</v>
      </c>
      <c r="BK532" s="24">
        <v>45792.409700266202</v>
      </c>
      <c r="BL532">
        <v>1</v>
      </c>
      <c r="BM532" s="24"/>
      <c r="BN532" s="24"/>
      <c r="BO532" s="24"/>
      <c r="BP532" s="24"/>
      <c r="BR532" s="24">
        <v>45818.694853425928</v>
      </c>
      <c r="BS532" s="24">
        <v>45818.694853425928</v>
      </c>
      <c r="BT532" s="24">
        <v>45818.694947430558</v>
      </c>
      <c r="BU532" s="24">
        <v>45818.694947430558</v>
      </c>
      <c r="BV532">
        <v>1</v>
      </c>
      <c r="BW532" s="24"/>
      <c r="BX532" s="24"/>
      <c r="BY532" s="24"/>
      <c r="BZ532" s="24"/>
      <c r="CB532" s="24"/>
      <c r="CC532" s="24"/>
      <c r="CE532" s="24">
        <v>45820.432348796297</v>
      </c>
      <c r="CF532" s="24">
        <v>45820.432348796297</v>
      </c>
      <c r="CG532">
        <v>1</v>
      </c>
      <c r="CH532" s="24"/>
      <c r="CI532" s="24"/>
      <c r="CJ532" s="24"/>
      <c r="CK532" s="24"/>
      <c r="DE532" s="24"/>
      <c r="DF532" s="24"/>
      <c r="DG532" s="24"/>
      <c r="DH532" s="24"/>
      <c r="DJ532" t="s">
        <v>149</v>
      </c>
      <c r="DK532" t="s">
        <v>149</v>
      </c>
      <c r="DL532">
        <v>22.356910879629631</v>
      </c>
      <c r="DM532">
        <v>30</v>
      </c>
      <c r="DN532">
        <v>29</v>
      </c>
      <c r="DQ532" t="s">
        <v>1000</v>
      </c>
      <c r="DR532" t="s">
        <v>149</v>
      </c>
      <c r="DS532" s="24">
        <v>46160.384426226854</v>
      </c>
    </row>
    <row r="533" spans="1:123" x14ac:dyDescent="0.3">
      <c r="A533" t="s">
        <v>783</v>
      </c>
      <c r="D533" t="s">
        <v>223</v>
      </c>
      <c r="E533" s="24">
        <v>45782.447465277779</v>
      </c>
      <c r="G533" t="s">
        <v>90</v>
      </c>
      <c r="H533" t="s">
        <v>155</v>
      </c>
      <c r="I533" s="24"/>
      <c r="J533" s="24"/>
      <c r="K533" s="24"/>
      <c r="L533" s="24"/>
      <c r="N533" s="24"/>
      <c r="O533" s="24"/>
      <c r="P533" s="24"/>
      <c r="Q533" s="24"/>
      <c r="V533" s="24"/>
      <c r="W533" s="24"/>
      <c r="X533" s="24"/>
      <c r="Y533" s="24"/>
      <c r="AA533" s="24">
        <v>45783.393343981479</v>
      </c>
      <c r="AB533" s="24">
        <v>45783.393343981479</v>
      </c>
      <c r="AC533" s="24">
        <v>45785.363238252314</v>
      </c>
      <c r="AD533" s="24">
        <v>45785.363238252314</v>
      </c>
      <c r="AE533">
        <v>1</v>
      </c>
      <c r="AF533" s="24">
        <v>45785.363238252314</v>
      </c>
      <c r="AG533" s="24">
        <v>45785.363238252314</v>
      </c>
      <c r="AH533" s="24">
        <v>45789.409802546295</v>
      </c>
      <c r="AI533" s="24">
        <v>45789.409802546295</v>
      </c>
      <c r="AJ533">
        <v>1</v>
      </c>
      <c r="AK533" s="24"/>
      <c r="AL533" s="24"/>
      <c r="AM533" s="24"/>
      <c r="AN533" s="24"/>
      <c r="AP533" s="24"/>
      <c r="AQ533" s="24"/>
      <c r="AR533" s="24">
        <v>45782.45885880787</v>
      </c>
      <c r="AS533" s="24">
        <v>45782.45885880787</v>
      </c>
      <c r="AX533" s="24"/>
      <c r="AY533" s="24"/>
      <c r="AZ533" s="24"/>
      <c r="BA533" s="24"/>
      <c r="BC533" s="24"/>
      <c r="BD533" s="24"/>
      <c r="BE533" s="24"/>
      <c r="BF533" s="24"/>
      <c r="BH533" s="24">
        <v>45782.45885880787</v>
      </c>
      <c r="BI533" s="24">
        <v>45782.45885880787</v>
      </c>
      <c r="BJ533" s="24">
        <v>45783.393343981479</v>
      </c>
      <c r="BK533" s="24">
        <v>45783.393343981479</v>
      </c>
      <c r="BL533">
        <v>1</v>
      </c>
      <c r="BM533" s="24"/>
      <c r="BN533" s="24"/>
      <c r="BO533" s="24"/>
      <c r="BP533" s="24"/>
      <c r="BR533" s="24"/>
      <c r="BS533" s="24"/>
      <c r="BT533" s="24"/>
      <c r="BU533" s="24"/>
      <c r="BW533" s="24"/>
      <c r="BX533" s="24"/>
      <c r="BY533" s="24"/>
      <c r="BZ533" s="24"/>
      <c r="CB533" s="24"/>
      <c r="CC533" s="24"/>
      <c r="CE533" s="24">
        <v>45789.409802546295</v>
      </c>
      <c r="CF533" s="24">
        <v>45789.409802546295</v>
      </c>
      <c r="CG533">
        <v>1</v>
      </c>
      <c r="CH533" s="24"/>
      <c r="CI533" s="24"/>
      <c r="CJ533" s="24"/>
      <c r="CK533" s="24"/>
      <c r="DE533" s="24"/>
      <c r="DF533" s="24"/>
      <c r="DG533" s="24"/>
      <c r="DH533" s="24"/>
      <c r="DJ533" t="s">
        <v>149</v>
      </c>
      <c r="DK533" t="s">
        <v>149</v>
      </c>
      <c r="DM533">
        <v>7</v>
      </c>
      <c r="DN533">
        <v>7</v>
      </c>
      <c r="DQ533" t="s">
        <v>1000</v>
      </c>
      <c r="DR533" t="s">
        <v>149</v>
      </c>
      <c r="DS533" s="24">
        <v>46160.384426226854</v>
      </c>
    </row>
    <row r="534" spans="1:123" x14ac:dyDescent="0.3">
      <c r="A534" t="s">
        <v>784</v>
      </c>
      <c r="D534" t="s">
        <v>223</v>
      </c>
      <c r="E534" s="24">
        <v>45782.387141203704</v>
      </c>
      <c r="G534" t="s">
        <v>90</v>
      </c>
      <c r="H534" t="s">
        <v>155</v>
      </c>
      <c r="I534" s="24"/>
      <c r="J534" s="24"/>
      <c r="K534" s="24"/>
      <c r="L534" s="24"/>
      <c r="N534" s="24"/>
      <c r="O534" s="24"/>
      <c r="P534" s="24"/>
      <c r="Q534" s="24"/>
      <c r="V534" s="24"/>
      <c r="W534" s="24"/>
      <c r="X534" s="24"/>
      <c r="Y534" s="24"/>
      <c r="AA534" s="24">
        <v>45784.418920798613</v>
      </c>
      <c r="AB534" s="24">
        <v>45784.418920798613</v>
      </c>
      <c r="AC534" s="24">
        <v>45785.407072581016</v>
      </c>
      <c r="AD534" s="24">
        <v>45785.407072581016</v>
      </c>
      <c r="AE534">
        <v>1</v>
      </c>
      <c r="AF534" s="24">
        <v>45785.407072581016</v>
      </c>
      <c r="AG534" s="24">
        <v>45785.407072581016</v>
      </c>
      <c r="AH534" s="24">
        <v>45785.407138171293</v>
      </c>
      <c r="AI534" s="24">
        <v>45785.407138171293</v>
      </c>
      <c r="AJ534">
        <v>1</v>
      </c>
      <c r="AK534" s="24"/>
      <c r="AL534" s="24"/>
      <c r="AM534" s="24"/>
      <c r="AN534" s="24"/>
      <c r="AP534" s="24"/>
      <c r="AQ534" s="24"/>
      <c r="AR534" s="24">
        <v>45783.415816250003</v>
      </c>
      <c r="AS534" s="24">
        <v>45783.415816250003</v>
      </c>
      <c r="AX534" s="24"/>
      <c r="AY534" s="24"/>
      <c r="AZ534" s="24"/>
      <c r="BA534" s="24"/>
      <c r="BC534" s="24"/>
      <c r="BD534" s="24"/>
      <c r="BE534" s="24"/>
      <c r="BF534" s="24"/>
      <c r="BH534" s="24">
        <v>45783.415816250003</v>
      </c>
      <c r="BI534" s="24">
        <v>45783.415816250003</v>
      </c>
      <c r="BJ534" s="24">
        <v>45784.418920798613</v>
      </c>
      <c r="BK534" s="24">
        <v>45784.418920798613</v>
      </c>
      <c r="BL534">
        <v>1</v>
      </c>
      <c r="BM534" s="24"/>
      <c r="BN534" s="24"/>
      <c r="BO534" s="24"/>
      <c r="BP534" s="24"/>
      <c r="BR534" s="24">
        <v>45785.407138171293</v>
      </c>
      <c r="BS534" s="24">
        <v>45785.407138171293</v>
      </c>
      <c r="BT534" s="24">
        <v>45785.407230300923</v>
      </c>
      <c r="BU534" s="24">
        <v>45785.407230300923</v>
      </c>
      <c r="BV534">
        <v>1</v>
      </c>
      <c r="BW534" s="24"/>
      <c r="BX534" s="24"/>
      <c r="BY534" s="24"/>
      <c r="BZ534" s="24"/>
      <c r="CB534" s="24"/>
      <c r="CC534" s="24"/>
      <c r="CE534" s="24">
        <v>45785.407230300923</v>
      </c>
      <c r="CF534" s="24">
        <v>45785.407230300923</v>
      </c>
      <c r="CG534">
        <v>1</v>
      </c>
      <c r="CH534" s="24"/>
      <c r="CI534" s="24"/>
      <c r="CJ534" s="24"/>
      <c r="CK534" s="24"/>
      <c r="DE534" s="24"/>
      <c r="DF534" s="24"/>
      <c r="DG534" s="24"/>
      <c r="DH534" s="24"/>
      <c r="DJ534" t="s">
        <v>149</v>
      </c>
      <c r="DK534" t="s">
        <v>149</v>
      </c>
      <c r="DM534">
        <v>2</v>
      </c>
      <c r="DN534">
        <v>1</v>
      </c>
      <c r="DQ534" t="s">
        <v>1000</v>
      </c>
      <c r="DR534" t="s">
        <v>149</v>
      </c>
      <c r="DS534" s="24">
        <v>46160.384426226854</v>
      </c>
    </row>
    <row r="535" spans="1:123" x14ac:dyDescent="0.3">
      <c r="A535" t="s">
        <v>785</v>
      </c>
      <c r="D535" t="s">
        <v>225</v>
      </c>
      <c r="E535" s="24">
        <v>45777.362569444442</v>
      </c>
      <c r="G535" t="s">
        <v>90</v>
      </c>
      <c r="H535" t="s">
        <v>155</v>
      </c>
      <c r="I535" s="24"/>
      <c r="J535" s="24"/>
      <c r="K535" s="24"/>
      <c r="L535" s="24"/>
      <c r="N535" s="24">
        <v>45796.409251192126</v>
      </c>
      <c r="O535" s="24">
        <v>45796.409251192126</v>
      </c>
      <c r="P535" s="24">
        <v>45796.4971997338</v>
      </c>
      <c r="Q535" s="24">
        <v>45796.4971997338</v>
      </c>
      <c r="R535">
        <v>1</v>
      </c>
      <c r="V535" s="24"/>
      <c r="W535" s="24"/>
      <c r="X535" s="24"/>
      <c r="Y535" s="24"/>
      <c r="AA535" s="24">
        <v>45792.434553541665</v>
      </c>
      <c r="AB535" s="24">
        <v>45792.434553541665</v>
      </c>
      <c r="AC535" s="24">
        <v>45792.490535555553</v>
      </c>
      <c r="AD535" s="24">
        <v>45792.490535555553</v>
      </c>
      <c r="AE535">
        <v>1</v>
      </c>
      <c r="AF535" s="24">
        <v>45792.490535555553</v>
      </c>
      <c r="AG535" s="24">
        <v>45792.490535555553</v>
      </c>
      <c r="AH535" s="24">
        <v>45793.65283053241</v>
      </c>
      <c r="AI535" s="24">
        <v>45793.65283053241</v>
      </c>
      <c r="AJ535">
        <v>1</v>
      </c>
      <c r="AK535" s="24">
        <v>45796.4971997338</v>
      </c>
      <c r="AL535" s="24">
        <v>45793.65283053241</v>
      </c>
      <c r="AM535" s="24">
        <v>45796.409251192126</v>
      </c>
      <c r="AN535" s="24">
        <v>45796.497259490738</v>
      </c>
      <c r="AO535">
        <v>2</v>
      </c>
      <c r="AP535" s="24"/>
      <c r="AQ535" s="24"/>
      <c r="AR535" s="24">
        <v>45790.621745601849</v>
      </c>
      <c r="AS535" s="24">
        <v>45790.621745601849</v>
      </c>
      <c r="AX535" s="24"/>
      <c r="AY535" s="24"/>
      <c r="AZ535" s="24"/>
      <c r="BA535" s="24"/>
      <c r="BC535" s="24">
        <v>45797.40535108796</v>
      </c>
      <c r="BD535" s="24">
        <v>45797.40535108796</v>
      </c>
      <c r="BE535" s="24">
        <v>45803.643632210646</v>
      </c>
      <c r="BF535" s="24">
        <v>45803.643632210646</v>
      </c>
      <c r="BG535">
        <v>1</v>
      </c>
      <c r="BH535" s="24">
        <v>45790.621745601849</v>
      </c>
      <c r="BI535" s="24">
        <v>45790.621745601849</v>
      </c>
      <c r="BJ535" s="24">
        <v>45792.434553541665</v>
      </c>
      <c r="BK535" s="24">
        <v>45792.434553541665</v>
      </c>
      <c r="BL535">
        <v>1</v>
      </c>
      <c r="BM535" s="24"/>
      <c r="BN535" s="24"/>
      <c r="BO535" s="24"/>
      <c r="BP535" s="24"/>
      <c r="BR535" s="24">
        <v>45796.497259490738</v>
      </c>
      <c r="BS535" s="24">
        <v>45796.497259490738</v>
      </c>
      <c r="BT535" s="24">
        <v>45797.40535108796</v>
      </c>
      <c r="BU535" s="24">
        <v>45797.40535108796</v>
      </c>
      <c r="BV535">
        <v>1</v>
      </c>
      <c r="BW535" s="24"/>
      <c r="BX535" s="24"/>
      <c r="BY535" s="24"/>
      <c r="BZ535" s="24"/>
      <c r="CB535" s="24"/>
      <c r="CC535" s="24"/>
      <c r="CE535" s="24">
        <v>45803.643632210646</v>
      </c>
      <c r="CF535" s="24">
        <v>45803.643632210646</v>
      </c>
      <c r="CG535">
        <v>1</v>
      </c>
      <c r="CH535" s="24"/>
      <c r="CI535" s="24"/>
      <c r="CJ535" s="24"/>
      <c r="CK535" s="24"/>
      <c r="DE535" s="24"/>
      <c r="DF535" s="24"/>
      <c r="DG535" s="24"/>
      <c r="DH535" s="24"/>
      <c r="DJ535" t="s">
        <v>149</v>
      </c>
      <c r="DK535" t="s">
        <v>149</v>
      </c>
      <c r="DL535">
        <v>8.7948495370370375E-2</v>
      </c>
      <c r="DM535">
        <v>14</v>
      </c>
      <c r="DN535">
        <v>12</v>
      </c>
      <c r="DQ535" t="s">
        <v>1000</v>
      </c>
      <c r="DR535" t="s">
        <v>149</v>
      </c>
      <c r="DS535" s="24">
        <v>46160.384426226854</v>
      </c>
    </row>
    <row r="536" spans="1:123" x14ac:dyDescent="0.3">
      <c r="A536" t="s">
        <v>786</v>
      </c>
      <c r="D536" t="s">
        <v>223</v>
      </c>
      <c r="E536" s="24">
        <v>45776.641388888886</v>
      </c>
      <c r="G536" t="s">
        <v>90</v>
      </c>
      <c r="H536" t="s">
        <v>155</v>
      </c>
      <c r="I536" s="24"/>
      <c r="J536" s="24"/>
      <c r="K536" s="24"/>
      <c r="L536" s="24"/>
      <c r="N536" s="24"/>
      <c r="O536" s="24"/>
      <c r="P536" s="24"/>
      <c r="Q536" s="24"/>
      <c r="V536" s="24"/>
      <c r="W536" s="24"/>
      <c r="X536" s="24"/>
      <c r="Y536" s="24"/>
      <c r="AA536" s="24">
        <v>45776.664628541665</v>
      </c>
      <c r="AB536" s="24">
        <v>45776.664628541665</v>
      </c>
      <c r="AC536" s="24">
        <v>45776.665085474539</v>
      </c>
      <c r="AD536" s="24">
        <v>45776.665085474539</v>
      </c>
      <c r="AE536">
        <v>1</v>
      </c>
      <c r="AF536" s="24">
        <v>45776.665085474539</v>
      </c>
      <c r="AG536" s="24">
        <v>45776.665085474539</v>
      </c>
      <c r="AH536" s="24">
        <v>45782.375246377313</v>
      </c>
      <c r="AI536" s="24">
        <v>45782.375246377313</v>
      </c>
      <c r="AJ536">
        <v>1</v>
      </c>
      <c r="AK536" s="24"/>
      <c r="AL536" s="24"/>
      <c r="AM536" s="24"/>
      <c r="AN536" s="24"/>
      <c r="AP536" s="24"/>
      <c r="AQ536" s="24"/>
      <c r="AR536" s="24">
        <v>45776.664582488425</v>
      </c>
      <c r="AS536" s="24">
        <v>45776.664582488425</v>
      </c>
      <c r="AX536" s="24"/>
      <c r="AY536" s="24"/>
      <c r="AZ536" s="24"/>
      <c r="BA536" s="24"/>
      <c r="BC536" s="24"/>
      <c r="BD536" s="24"/>
      <c r="BE536" s="24"/>
      <c r="BF536" s="24"/>
      <c r="BH536" s="24">
        <v>45776.664582488425</v>
      </c>
      <c r="BI536" s="24">
        <v>45776.664582488425</v>
      </c>
      <c r="BJ536" s="24">
        <v>45776.664628541665</v>
      </c>
      <c r="BK536" s="24">
        <v>45776.664628541665</v>
      </c>
      <c r="BL536">
        <v>1</v>
      </c>
      <c r="BM536" s="24"/>
      <c r="BN536" s="24"/>
      <c r="BO536" s="24"/>
      <c r="BP536" s="24"/>
      <c r="BR536" s="24">
        <v>45782.375246377313</v>
      </c>
      <c r="BS536" s="24">
        <v>45782.375246377313</v>
      </c>
      <c r="BT536" s="24">
        <v>45782.405144837961</v>
      </c>
      <c r="BU536" s="24">
        <v>45782.405144837961</v>
      </c>
      <c r="BV536">
        <v>1</v>
      </c>
      <c r="BW536" s="24"/>
      <c r="BX536" s="24"/>
      <c r="BY536" s="24"/>
      <c r="BZ536" s="24"/>
      <c r="CB536" s="24"/>
      <c r="CC536" s="24"/>
      <c r="CE536" s="24">
        <v>45782.405144837961</v>
      </c>
      <c r="CF536" s="24">
        <v>45782.405144837961</v>
      </c>
      <c r="CG536">
        <v>1</v>
      </c>
      <c r="CH536" s="24"/>
      <c r="CI536" s="24"/>
      <c r="CJ536" s="24"/>
      <c r="CK536" s="24"/>
      <c r="DE536" s="24"/>
      <c r="DF536" s="24"/>
      <c r="DG536" s="24"/>
      <c r="DH536" s="24"/>
      <c r="DJ536" t="s">
        <v>149</v>
      </c>
      <c r="DK536" t="s">
        <v>149</v>
      </c>
      <c r="DM536">
        <v>6</v>
      </c>
      <c r="DN536">
        <v>6</v>
      </c>
      <c r="DQ536" t="s">
        <v>1000</v>
      </c>
      <c r="DR536" t="s">
        <v>149</v>
      </c>
      <c r="DS536" s="24">
        <v>46160.384426226854</v>
      </c>
    </row>
    <row r="537" spans="1:123" x14ac:dyDescent="0.3">
      <c r="A537" t="s">
        <v>787</v>
      </c>
      <c r="D537" t="s">
        <v>225</v>
      </c>
      <c r="E537" s="24">
        <v>45776.63585648148</v>
      </c>
      <c r="G537" t="s">
        <v>90</v>
      </c>
      <c r="H537" t="s">
        <v>155</v>
      </c>
      <c r="I537" s="24"/>
      <c r="J537" s="24"/>
      <c r="K537" s="24"/>
      <c r="L537" s="24"/>
      <c r="N537" s="24"/>
      <c r="O537" s="24"/>
      <c r="P537" s="24"/>
      <c r="Q537" s="24"/>
      <c r="V537" s="24"/>
      <c r="W537" s="24"/>
      <c r="X537" s="24"/>
      <c r="Y537" s="24"/>
      <c r="AA537" s="24">
        <v>45782.549084282407</v>
      </c>
      <c r="AB537" s="24">
        <v>45782.549084282407</v>
      </c>
      <c r="AC537" s="24">
        <v>45782.59943415509</v>
      </c>
      <c r="AD537" s="24">
        <v>45782.59943415509</v>
      </c>
      <c r="AE537">
        <v>1</v>
      </c>
      <c r="AF537" s="24">
        <v>45782.59943415509</v>
      </c>
      <c r="AG537" s="24">
        <v>45782.59943415509</v>
      </c>
      <c r="AH537" s="24">
        <v>45782.623216736109</v>
      </c>
      <c r="AI537" s="24">
        <v>45782.623216736109</v>
      </c>
      <c r="AJ537">
        <v>1</v>
      </c>
      <c r="AK537" s="24">
        <v>45782.623216736109</v>
      </c>
      <c r="AL537" s="24">
        <v>45782.623216736109</v>
      </c>
      <c r="AM537" s="24">
        <v>45783.430782951385</v>
      </c>
      <c r="AN537" s="24">
        <v>45783.430782951385</v>
      </c>
      <c r="AO537">
        <v>1</v>
      </c>
      <c r="AP537" s="24"/>
      <c r="AQ537" s="24"/>
      <c r="AR537" s="24">
        <v>45782.548805810184</v>
      </c>
      <c r="AS537" s="24">
        <v>45782.548805810184</v>
      </c>
      <c r="AX537" s="24"/>
      <c r="AY537" s="24"/>
      <c r="AZ537" s="24"/>
      <c r="BA537" s="24"/>
      <c r="BC537" s="24">
        <v>45783.512119490741</v>
      </c>
      <c r="BD537" s="24">
        <v>45783.512119490741</v>
      </c>
      <c r="BE537" s="24">
        <v>45791.570510196761</v>
      </c>
      <c r="BF537" s="24">
        <v>45791.570510196761</v>
      </c>
      <c r="BG537">
        <v>1</v>
      </c>
      <c r="BH537" s="24">
        <v>45782.548805810184</v>
      </c>
      <c r="BI537" s="24">
        <v>45782.548805810184</v>
      </c>
      <c r="BJ537" s="24">
        <v>45782.549084282407</v>
      </c>
      <c r="BK537" s="24">
        <v>45782.549084282407</v>
      </c>
      <c r="BL537">
        <v>1</v>
      </c>
      <c r="BM537" s="24"/>
      <c r="BN537" s="24"/>
      <c r="BO537" s="24"/>
      <c r="BP537" s="24"/>
      <c r="BR537" s="24">
        <v>45783.430782951385</v>
      </c>
      <c r="BS537" s="24">
        <v>45783.430782951385</v>
      </c>
      <c r="BT537" s="24">
        <v>45783.512119490741</v>
      </c>
      <c r="BU537" s="24">
        <v>45783.512119490741</v>
      </c>
      <c r="BV537">
        <v>1</v>
      </c>
      <c r="BW537" s="24"/>
      <c r="BX537" s="24"/>
      <c r="BY537" s="24"/>
      <c r="BZ537" s="24"/>
      <c r="CB537" s="24"/>
      <c r="CC537" s="24"/>
      <c r="CE537" s="24">
        <v>45791.570510196761</v>
      </c>
      <c r="CF537" s="24">
        <v>45791.570510196761</v>
      </c>
      <c r="CG537">
        <v>1</v>
      </c>
      <c r="CH537" s="24"/>
      <c r="CI537" s="24"/>
      <c r="CJ537" s="24"/>
      <c r="CK537" s="24"/>
      <c r="DE537" s="24"/>
      <c r="DF537" s="24"/>
      <c r="DG537" s="24"/>
      <c r="DH537" s="24"/>
      <c r="DJ537" t="s">
        <v>149</v>
      </c>
      <c r="DK537" t="s">
        <v>149</v>
      </c>
      <c r="DM537">
        <v>10</v>
      </c>
      <c r="DN537">
        <v>10</v>
      </c>
      <c r="DQ537" t="s">
        <v>1000</v>
      </c>
      <c r="DR537" t="s">
        <v>149</v>
      </c>
      <c r="DS537" s="24">
        <v>46160.384426226854</v>
      </c>
    </row>
    <row r="538" spans="1:123" x14ac:dyDescent="0.3">
      <c r="A538" t="s">
        <v>788</v>
      </c>
      <c r="D538" t="s">
        <v>225</v>
      </c>
      <c r="E538" s="24">
        <v>45776.633252314816</v>
      </c>
      <c r="G538" t="s">
        <v>90</v>
      </c>
      <c r="H538" t="s">
        <v>155</v>
      </c>
      <c r="I538" s="24"/>
      <c r="J538" s="24"/>
      <c r="K538" s="24"/>
      <c r="L538" s="24"/>
      <c r="N538" s="24"/>
      <c r="O538" s="24"/>
      <c r="P538" s="24"/>
      <c r="Q538" s="24"/>
      <c r="V538" s="24"/>
      <c r="W538" s="24"/>
      <c r="X538" s="24"/>
      <c r="Y538" s="24"/>
      <c r="AA538" s="24">
        <v>45776.633832974534</v>
      </c>
      <c r="AB538" s="24">
        <v>45776.633832974534</v>
      </c>
      <c r="AC538" s="24">
        <v>45782.556605740741</v>
      </c>
      <c r="AD538" s="24">
        <v>45782.556605740741</v>
      </c>
      <c r="AE538">
        <v>1</v>
      </c>
      <c r="AF538" s="24">
        <v>45782.556605740741</v>
      </c>
      <c r="AG538" s="24">
        <v>45782.556605740741</v>
      </c>
      <c r="AH538" s="24">
        <v>45786.330807280094</v>
      </c>
      <c r="AI538" s="24">
        <v>45786.330807280094</v>
      </c>
      <c r="AJ538">
        <v>1</v>
      </c>
      <c r="AK538" s="24">
        <v>45786.330807280094</v>
      </c>
      <c r="AL538" s="24">
        <v>45786.330807280094</v>
      </c>
      <c r="AM538" s="24">
        <v>45786.330854965279</v>
      </c>
      <c r="AN538" s="24">
        <v>45786.330854965279</v>
      </c>
      <c r="AO538">
        <v>1</v>
      </c>
      <c r="AP538" s="24"/>
      <c r="AQ538" s="24"/>
      <c r="AR538" s="24">
        <v>45776.633800011572</v>
      </c>
      <c r="AS538" s="24">
        <v>45776.633800011572</v>
      </c>
      <c r="AX538" s="24"/>
      <c r="AY538" s="24"/>
      <c r="AZ538" s="24"/>
      <c r="BA538" s="24"/>
      <c r="BC538" s="24">
        <v>45786.412397962966</v>
      </c>
      <c r="BD538" s="24">
        <v>45786.412397962966</v>
      </c>
      <c r="BE538" s="24">
        <v>45791.570510185185</v>
      </c>
      <c r="BF538" s="24">
        <v>45791.570510185185</v>
      </c>
      <c r="BG538">
        <v>1</v>
      </c>
      <c r="BH538" s="24">
        <v>45776.633800011572</v>
      </c>
      <c r="BI538" s="24">
        <v>45776.633800011572</v>
      </c>
      <c r="BJ538" s="24">
        <v>45776.633832974534</v>
      </c>
      <c r="BK538" s="24">
        <v>45776.633832974534</v>
      </c>
      <c r="BL538">
        <v>1</v>
      </c>
      <c r="BM538" s="24"/>
      <c r="BN538" s="24"/>
      <c r="BO538" s="24"/>
      <c r="BP538" s="24"/>
      <c r="BR538" s="24">
        <v>45786.330854965279</v>
      </c>
      <c r="BS538" s="24">
        <v>45786.330854965279</v>
      </c>
      <c r="BT538" s="24">
        <v>45786.412397962966</v>
      </c>
      <c r="BU538" s="24">
        <v>45786.412397962966</v>
      </c>
      <c r="BV538">
        <v>1</v>
      </c>
      <c r="BW538" s="24"/>
      <c r="BX538" s="24"/>
      <c r="BY538" s="24"/>
      <c r="BZ538" s="24"/>
      <c r="CB538" s="24"/>
      <c r="CC538" s="24"/>
      <c r="CE538" s="24">
        <v>45791.570510185185</v>
      </c>
      <c r="CF538" s="24">
        <v>45791.570510185185</v>
      </c>
      <c r="CG538">
        <v>1</v>
      </c>
      <c r="CH538" s="24"/>
      <c r="CI538" s="24"/>
      <c r="CJ538" s="24"/>
      <c r="CK538" s="24"/>
      <c r="DE538" s="24"/>
      <c r="DF538" s="24"/>
      <c r="DG538" s="24"/>
      <c r="DH538" s="24"/>
      <c r="DJ538" t="s">
        <v>149</v>
      </c>
      <c r="DK538" t="s">
        <v>149</v>
      </c>
      <c r="DM538">
        <v>15</v>
      </c>
      <c r="DN538">
        <v>15</v>
      </c>
      <c r="DQ538" t="s">
        <v>1000</v>
      </c>
      <c r="DR538" t="s">
        <v>149</v>
      </c>
      <c r="DS538" s="24">
        <v>46160.384426226854</v>
      </c>
    </row>
    <row r="539" spans="1:123" x14ac:dyDescent="0.3">
      <c r="A539" t="s">
        <v>789</v>
      </c>
      <c r="D539" t="s">
        <v>225</v>
      </c>
      <c r="E539" s="24">
        <v>45776.533865740741</v>
      </c>
      <c r="G539" t="s">
        <v>90</v>
      </c>
      <c r="H539" t="s">
        <v>155</v>
      </c>
      <c r="I539" s="24"/>
      <c r="J539" s="24"/>
      <c r="K539" s="24"/>
      <c r="L539" s="24"/>
      <c r="N539" s="24"/>
      <c r="O539" s="24"/>
      <c r="P539" s="24"/>
      <c r="Q539" s="24"/>
      <c r="V539" s="24"/>
      <c r="W539" s="24"/>
      <c r="X539" s="24"/>
      <c r="Y539" s="24"/>
      <c r="AA539" s="24">
        <v>45776.537359768517</v>
      </c>
      <c r="AB539" s="24">
        <v>45776.537359768517</v>
      </c>
      <c r="AC539" s="24">
        <v>45776.630661331015</v>
      </c>
      <c r="AD539" s="24">
        <v>45776.630661331015</v>
      </c>
      <c r="AE539">
        <v>1</v>
      </c>
      <c r="AF539" s="24">
        <v>45776.630661331015</v>
      </c>
      <c r="AG539" s="24">
        <v>45776.630661331015</v>
      </c>
      <c r="AH539" s="24">
        <v>45782.366066932867</v>
      </c>
      <c r="AI539" s="24">
        <v>45782.366066932867</v>
      </c>
      <c r="AJ539">
        <v>1</v>
      </c>
      <c r="AK539" s="24">
        <v>45782.366066932867</v>
      </c>
      <c r="AL539" s="24">
        <v>45782.366066932867</v>
      </c>
      <c r="AM539" s="24">
        <v>45783.4309434838</v>
      </c>
      <c r="AN539" s="24">
        <v>45783.4309434838</v>
      </c>
      <c r="AO539">
        <v>1</v>
      </c>
      <c r="AP539" s="24"/>
      <c r="AQ539" s="24"/>
      <c r="AR539" s="24">
        <v>45776.5373268287</v>
      </c>
      <c r="AS539" s="24">
        <v>45776.5373268287</v>
      </c>
      <c r="AX539" s="24"/>
      <c r="AY539" s="24"/>
      <c r="AZ539" s="24"/>
      <c r="BA539" s="24"/>
      <c r="BC539" s="24">
        <v>45783.511896655094</v>
      </c>
      <c r="BD539" s="24">
        <v>45783.511896655094</v>
      </c>
      <c r="BE539" s="24">
        <v>45791.570510474536</v>
      </c>
      <c r="BF539" s="24">
        <v>45791.570510474536</v>
      </c>
      <c r="BG539">
        <v>1</v>
      </c>
      <c r="BH539" s="24">
        <v>45776.5373268287</v>
      </c>
      <c r="BI539" s="24">
        <v>45776.5373268287</v>
      </c>
      <c r="BJ539" s="24">
        <v>45776.537359768517</v>
      </c>
      <c r="BK539" s="24">
        <v>45776.537359768517</v>
      </c>
      <c r="BL539">
        <v>1</v>
      </c>
      <c r="BM539" s="24"/>
      <c r="BN539" s="24"/>
      <c r="BO539" s="24"/>
      <c r="BP539" s="24"/>
      <c r="BR539" s="24">
        <v>45783.4309434838</v>
      </c>
      <c r="BS539" s="24">
        <v>45783.4309434838</v>
      </c>
      <c r="BT539" s="24">
        <v>45783.511896655094</v>
      </c>
      <c r="BU539" s="24">
        <v>45783.511896655094</v>
      </c>
      <c r="BV539">
        <v>1</v>
      </c>
      <c r="BW539" s="24"/>
      <c r="BX539" s="24"/>
      <c r="BY539" s="24"/>
      <c r="BZ539" s="24"/>
      <c r="CB539" s="24"/>
      <c r="CC539" s="24"/>
      <c r="CE539" s="24">
        <v>45791.570510474536</v>
      </c>
      <c r="CF539" s="24">
        <v>45791.570510474536</v>
      </c>
      <c r="CG539">
        <v>1</v>
      </c>
      <c r="CH539" s="24"/>
      <c r="CI539" s="24"/>
      <c r="CJ539" s="24"/>
      <c r="CK539" s="24"/>
      <c r="DE539" s="24"/>
      <c r="DF539" s="24"/>
      <c r="DG539" s="24"/>
      <c r="DH539" s="24"/>
      <c r="DJ539" t="s">
        <v>149</v>
      </c>
      <c r="DK539" t="s">
        <v>149</v>
      </c>
      <c r="DM539">
        <v>16</v>
      </c>
      <c r="DN539">
        <v>16</v>
      </c>
      <c r="DQ539" t="s">
        <v>1000</v>
      </c>
      <c r="DR539" t="s">
        <v>149</v>
      </c>
      <c r="DS539" s="24">
        <v>46160.384426226854</v>
      </c>
    </row>
    <row r="540" spans="1:123" x14ac:dyDescent="0.3">
      <c r="A540" t="s">
        <v>790</v>
      </c>
      <c r="D540" t="s">
        <v>223</v>
      </c>
      <c r="E540" s="24">
        <v>45775.90152777778</v>
      </c>
      <c r="G540" t="s">
        <v>90</v>
      </c>
      <c r="H540" t="s">
        <v>155</v>
      </c>
      <c r="I540" s="24"/>
      <c r="J540" s="24"/>
      <c r="K540" s="24"/>
      <c r="L540" s="24"/>
      <c r="N540" s="24">
        <v>45813.384194178238</v>
      </c>
      <c r="O540" s="24">
        <v>45813.384194178238</v>
      </c>
      <c r="P540" s="24">
        <v>45813.710697604169</v>
      </c>
      <c r="Q540" s="24">
        <v>45813.710697604169</v>
      </c>
      <c r="R540">
        <v>1</v>
      </c>
      <c r="V540" s="24"/>
      <c r="W540" s="24"/>
      <c r="X540" s="24"/>
      <c r="Y540" s="24"/>
      <c r="AA540" s="24">
        <v>45813.710697604169</v>
      </c>
      <c r="AB540" s="24">
        <v>45807.372988460651</v>
      </c>
      <c r="AC540" s="24">
        <v>45813.384194178238</v>
      </c>
      <c r="AD540" s="24">
        <v>45813.711482314815</v>
      </c>
      <c r="AE540">
        <v>2</v>
      </c>
      <c r="AF540" s="24"/>
      <c r="AG540" s="24"/>
      <c r="AH540" s="24"/>
      <c r="AI540" s="24"/>
      <c r="AK540" s="24"/>
      <c r="AL540" s="24"/>
      <c r="AM540" s="24"/>
      <c r="AN540" s="24"/>
      <c r="AP540" s="24"/>
      <c r="AQ540" s="24"/>
      <c r="AR540" s="24">
        <v>45805.487865555559</v>
      </c>
      <c r="AS540" s="24">
        <v>45805.487865555559</v>
      </c>
      <c r="AX540" s="24"/>
      <c r="AY540" s="24"/>
      <c r="AZ540" s="24"/>
      <c r="BA540" s="24"/>
      <c r="BC540" s="24"/>
      <c r="BD540" s="24"/>
      <c r="BE540" s="24"/>
      <c r="BF540" s="24"/>
      <c r="BH540" s="24">
        <v>45805.487865555559</v>
      </c>
      <c r="BI540" s="24">
        <v>45805.487865555559</v>
      </c>
      <c r="BJ540" s="24">
        <v>45807.372988460651</v>
      </c>
      <c r="BK540" s="24">
        <v>45807.372988460651</v>
      </c>
      <c r="BL540">
        <v>1</v>
      </c>
      <c r="BM540" s="24"/>
      <c r="BN540" s="24"/>
      <c r="BO540" s="24"/>
      <c r="BP540" s="24"/>
      <c r="BR540" s="24"/>
      <c r="BS540" s="24"/>
      <c r="BT540" s="24"/>
      <c r="BU540" s="24"/>
      <c r="BW540" s="24"/>
      <c r="BX540" s="24"/>
      <c r="BY540" s="24"/>
      <c r="BZ540" s="24"/>
      <c r="CB540" s="24"/>
      <c r="CC540" s="24"/>
      <c r="CE540" s="24">
        <v>45813.711482314815</v>
      </c>
      <c r="CF540" s="24">
        <v>45813.711482314815</v>
      </c>
      <c r="CG540">
        <v>1</v>
      </c>
      <c r="CH540" s="24"/>
      <c r="CI540" s="24"/>
      <c r="CJ540" s="24"/>
      <c r="CK540" s="24"/>
      <c r="DE540" s="24"/>
      <c r="DF540" s="24"/>
      <c r="DG540" s="24"/>
      <c r="DH540" s="24"/>
      <c r="DJ540" t="s">
        <v>149</v>
      </c>
      <c r="DK540" t="s">
        <v>149</v>
      </c>
      <c r="DL540">
        <v>0.32650335648148149</v>
      </c>
      <c r="DM540">
        <v>9</v>
      </c>
      <c r="DN540">
        <v>7</v>
      </c>
      <c r="DQ540" t="s">
        <v>1000</v>
      </c>
      <c r="DR540" t="s">
        <v>149</v>
      </c>
      <c r="DS540" s="24">
        <v>46160.384426226854</v>
      </c>
    </row>
    <row r="541" spans="1:123" x14ac:dyDescent="0.3">
      <c r="A541" t="s">
        <v>791</v>
      </c>
      <c r="D541" t="s">
        <v>223</v>
      </c>
      <c r="E541" s="24">
        <v>45775.901331018518</v>
      </c>
      <c r="G541" t="s">
        <v>90</v>
      </c>
      <c r="H541" t="s">
        <v>155</v>
      </c>
      <c r="I541" s="24"/>
      <c r="J541" s="24"/>
      <c r="K541" s="24"/>
      <c r="L541" s="24"/>
      <c r="N541" s="24">
        <v>45784.702637314818</v>
      </c>
      <c r="O541" s="24">
        <v>45776.613773356483</v>
      </c>
      <c r="P541" s="24">
        <v>45783.401031516201</v>
      </c>
      <c r="Q541" s="24">
        <v>45790.415859791668</v>
      </c>
      <c r="R541">
        <v>2</v>
      </c>
      <c r="V541" s="24"/>
      <c r="W541" s="24"/>
      <c r="X541" s="24"/>
      <c r="Y541" s="24"/>
      <c r="AA541" s="24">
        <v>45790.415859791668</v>
      </c>
      <c r="AB541" s="24">
        <v>45776.613728796299</v>
      </c>
      <c r="AC541" s="24">
        <v>45776.613773356483</v>
      </c>
      <c r="AD541" s="24">
        <v>45790.418469710647</v>
      </c>
      <c r="AE541">
        <v>3</v>
      </c>
      <c r="AF541" s="24">
        <v>45790.418469710647</v>
      </c>
      <c r="AG541" s="24">
        <v>45790.418469710647</v>
      </c>
      <c r="AH541" s="24">
        <v>45790.418511909724</v>
      </c>
      <c r="AI541" s="24">
        <v>45790.418511909724</v>
      </c>
      <c r="AJ541">
        <v>1</v>
      </c>
      <c r="AK541" s="24"/>
      <c r="AL541" s="24"/>
      <c r="AM541" s="24"/>
      <c r="AN541" s="24"/>
      <c r="AP541" s="24"/>
      <c r="AQ541" s="24"/>
      <c r="AR541" s="24">
        <v>45776.613614560185</v>
      </c>
      <c r="AS541" s="24">
        <v>45776.613614560185</v>
      </c>
      <c r="AX541" s="24"/>
      <c r="AY541" s="24"/>
      <c r="AZ541" s="24"/>
      <c r="BA541" s="24"/>
      <c r="BC541" s="24"/>
      <c r="BD541" s="24"/>
      <c r="BE541" s="24"/>
      <c r="BF541" s="24"/>
      <c r="BH541" s="24">
        <v>45776.613614560185</v>
      </c>
      <c r="BI541" s="24">
        <v>45776.613614560185</v>
      </c>
      <c r="BJ541" s="24">
        <v>45776.613728796299</v>
      </c>
      <c r="BK541" s="24">
        <v>45776.613728796299</v>
      </c>
      <c r="BL541">
        <v>1</v>
      </c>
      <c r="BM541" s="24"/>
      <c r="BN541" s="24"/>
      <c r="BO541" s="24"/>
      <c r="BP541" s="24"/>
      <c r="BR541" s="24"/>
      <c r="BS541" s="24"/>
      <c r="BT541" s="24"/>
      <c r="BU541" s="24"/>
      <c r="BW541" s="24"/>
      <c r="BX541" s="24"/>
      <c r="BY541" s="24"/>
      <c r="BZ541" s="24"/>
      <c r="CB541" s="24"/>
      <c r="CC541" s="24"/>
      <c r="CE541" s="24">
        <v>45790.418511909724</v>
      </c>
      <c r="CF541" s="24">
        <v>45790.418511909724</v>
      </c>
      <c r="CG541">
        <v>1</v>
      </c>
      <c r="CH541" s="24"/>
      <c r="CI541" s="24"/>
      <c r="CJ541" s="24"/>
      <c r="CK541" s="24"/>
      <c r="DE541" s="24"/>
      <c r="DF541" s="24"/>
      <c r="DG541" s="24"/>
      <c r="DH541" s="24"/>
      <c r="DJ541" t="s">
        <v>149</v>
      </c>
      <c r="DK541" t="s">
        <v>149</v>
      </c>
      <c r="DL541">
        <v>12.500480555555555</v>
      </c>
      <c r="DM541">
        <v>14</v>
      </c>
      <c r="DN541">
        <v>14</v>
      </c>
      <c r="DQ541" t="s">
        <v>1000</v>
      </c>
      <c r="DR541" t="s">
        <v>149</v>
      </c>
      <c r="DS541" s="24">
        <v>46160.384426226854</v>
      </c>
    </row>
    <row r="542" spans="1:123" x14ac:dyDescent="0.3">
      <c r="A542" t="s">
        <v>792</v>
      </c>
      <c r="D542" t="s">
        <v>225</v>
      </c>
      <c r="E542" s="24">
        <v>45775.359814814816</v>
      </c>
      <c r="G542" t="s">
        <v>90</v>
      </c>
      <c r="H542" t="s">
        <v>155</v>
      </c>
      <c r="I542" s="24"/>
      <c r="J542" s="24"/>
      <c r="K542" s="24"/>
      <c r="L542" s="24"/>
      <c r="N542" s="24">
        <v>45862.669251990737</v>
      </c>
      <c r="O542" s="24">
        <v>45813.361773229168</v>
      </c>
      <c r="P542" s="24">
        <v>45813.384378657407</v>
      </c>
      <c r="Q542" s="24">
        <v>45863.361714305553</v>
      </c>
      <c r="R542">
        <v>5</v>
      </c>
      <c r="V542" s="24"/>
      <c r="W542" s="24"/>
      <c r="X542" s="24"/>
      <c r="Y542" s="24"/>
      <c r="AA542" s="24">
        <v>45863.361714305553</v>
      </c>
      <c r="AB542" s="24">
        <v>45807.373313773147</v>
      </c>
      <c r="AC542" s="24">
        <v>45813.361773229168</v>
      </c>
      <c r="AD542" s="24">
        <v>45870.366985000001</v>
      </c>
      <c r="AE542">
        <v>6</v>
      </c>
      <c r="AF542" s="24">
        <v>45870.366985000001</v>
      </c>
      <c r="AG542" s="24">
        <v>45870.366985000001</v>
      </c>
      <c r="AH542" s="24">
        <v>45870.407569571762</v>
      </c>
      <c r="AI542" s="24">
        <v>45870.407569571762</v>
      </c>
      <c r="AJ542">
        <v>1</v>
      </c>
      <c r="AK542" s="24">
        <v>45870.407569571762</v>
      </c>
      <c r="AL542" s="24">
        <v>45870.407569571762</v>
      </c>
      <c r="AM542" s="24">
        <v>45870.543105625002</v>
      </c>
      <c r="AN542" s="24">
        <v>45870.543105625002</v>
      </c>
      <c r="AO542">
        <v>1</v>
      </c>
      <c r="AP542" s="24"/>
      <c r="AQ542" s="24"/>
      <c r="AR542" s="24">
        <v>45790.606366250002</v>
      </c>
      <c r="AS542" s="24">
        <v>45790.606366250002</v>
      </c>
      <c r="AX542" s="24"/>
      <c r="AY542" s="24"/>
      <c r="AZ542" s="24"/>
      <c r="BA542" s="24"/>
      <c r="BC542" s="24">
        <v>45870.543464456015</v>
      </c>
      <c r="BD542" s="24">
        <v>45870.543464456015</v>
      </c>
      <c r="BE542" s="24">
        <v>45874.669522233795</v>
      </c>
      <c r="BF542" s="24">
        <v>45874.669522233795</v>
      </c>
      <c r="BG542">
        <v>1</v>
      </c>
      <c r="BH542" s="24">
        <v>45790.606366250002</v>
      </c>
      <c r="BI542" s="24">
        <v>45790.606366250002</v>
      </c>
      <c r="BJ542" s="24">
        <v>45807.373313773147</v>
      </c>
      <c r="BK542" s="24">
        <v>45807.373313773147</v>
      </c>
      <c r="BL542">
        <v>1</v>
      </c>
      <c r="BM542" s="24"/>
      <c r="BN542" s="24"/>
      <c r="BO542" s="24"/>
      <c r="BP542" s="24"/>
      <c r="BR542" s="24">
        <v>45870.543105625002</v>
      </c>
      <c r="BS542" s="24">
        <v>45870.543105625002</v>
      </c>
      <c r="BT542" s="24">
        <v>45870.543464456015</v>
      </c>
      <c r="BU542" s="24">
        <v>45870.543464456015</v>
      </c>
      <c r="BV542">
        <v>1</v>
      </c>
      <c r="BW542" s="24"/>
      <c r="BX542" s="24"/>
      <c r="BY542" s="24"/>
      <c r="BZ542" s="24"/>
      <c r="CB542" s="24"/>
      <c r="CC542" s="24"/>
      <c r="CE542" s="24">
        <v>45874.669522233795</v>
      </c>
      <c r="CF542" s="24">
        <v>45874.669522233795</v>
      </c>
      <c r="CG542">
        <v>1</v>
      </c>
      <c r="CH542" s="24"/>
      <c r="CI542" s="24"/>
      <c r="CJ542" s="24"/>
      <c r="CK542" s="24"/>
      <c r="DE542" s="24"/>
      <c r="DF542" s="24"/>
      <c r="DG542" s="24"/>
      <c r="DH542" s="24"/>
      <c r="DJ542" t="s">
        <v>149</v>
      </c>
      <c r="DK542" t="s">
        <v>149</v>
      </c>
      <c r="DL542">
        <v>27.680407060185185</v>
      </c>
      <c r="DM542">
        <v>85</v>
      </c>
      <c r="DN542">
        <v>68</v>
      </c>
      <c r="DQ542" t="s">
        <v>1000</v>
      </c>
      <c r="DR542" t="s">
        <v>149</v>
      </c>
      <c r="DS542" s="24">
        <v>46160.384426226854</v>
      </c>
    </row>
    <row r="543" spans="1:123" x14ac:dyDescent="0.3">
      <c r="A543" t="s">
        <v>793</v>
      </c>
      <c r="D543" t="s">
        <v>223</v>
      </c>
      <c r="E543" s="24">
        <v>45772.672453703701</v>
      </c>
      <c r="G543" t="s">
        <v>90</v>
      </c>
      <c r="H543" t="s">
        <v>155</v>
      </c>
      <c r="I543" s="24"/>
      <c r="J543" s="24"/>
      <c r="K543" s="24"/>
      <c r="L543" s="24"/>
      <c r="N543" s="24">
        <v>45784.702694305553</v>
      </c>
      <c r="O543" s="24">
        <v>45784.702694305553</v>
      </c>
      <c r="P543" s="24">
        <v>45786.36241952546</v>
      </c>
      <c r="Q543" s="24">
        <v>45786.36241952546</v>
      </c>
      <c r="R543">
        <v>1</v>
      </c>
      <c r="V543" s="24"/>
      <c r="W543" s="24"/>
      <c r="X543" s="24"/>
      <c r="Y543" s="24"/>
      <c r="AA543" s="24">
        <v>45786.36241952546</v>
      </c>
      <c r="AB543" s="24">
        <v>45776.613294502313</v>
      </c>
      <c r="AC543" s="24">
        <v>45784.702694305553</v>
      </c>
      <c r="AD543" s="24">
        <v>45790.452271620372</v>
      </c>
      <c r="AE543">
        <v>2</v>
      </c>
      <c r="AF543" s="24"/>
      <c r="AG543" s="24"/>
      <c r="AH543" s="24"/>
      <c r="AI543" s="24"/>
      <c r="AK543" s="24"/>
      <c r="AL543" s="24"/>
      <c r="AM543" s="24"/>
      <c r="AN543" s="24"/>
      <c r="AP543" s="24"/>
      <c r="AQ543" s="24"/>
      <c r="AR543" s="24">
        <v>45775.497839641204</v>
      </c>
      <c r="AS543" s="24">
        <v>45775.497839641204</v>
      </c>
      <c r="AX543" s="24"/>
      <c r="AY543" s="24"/>
      <c r="AZ543" s="24"/>
      <c r="BA543" s="24"/>
      <c r="BC543" s="24"/>
      <c r="BD543" s="24"/>
      <c r="BE543" s="24"/>
      <c r="BF543" s="24"/>
      <c r="BH543" s="24">
        <v>45775.497839641204</v>
      </c>
      <c r="BI543" s="24">
        <v>45775.497839641204</v>
      </c>
      <c r="BJ543" s="24">
        <v>45776.613294502313</v>
      </c>
      <c r="BK543" s="24">
        <v>45776.613294502313</v>
      </c>
      <c r="BL543">
        <v>1</v>
      </c>
      <c r="BM543" s="24"/>
      <c r="BN543" s="24"/>
      <c r="BO543" s="24"/>
      <c r="BP543" s="24"/>
      <c r="BR543" s="24"/>
      <c r="BS543" s="24"/>
      <c r="BT543" s="24"/>
      <c r="BU543" s="24"/>
      <c r="BW543" s="24"/>
      <c r="BX543" s="24"/>
      <c r="BY543" s="24"/>
      <c r="BZ543" s="24"/>
      <c r="CB543" s="24"/>
      <c r="CC543" s="24"/>
      <c r="CE543" s="24">
        <v>45790.452271620372</v>
      </c>
      <c r="CF543" s="24">
        <v>45790.452271620372</v>
      </c>
      <c r="CG543">
        <v>1</v>
      </c>
      <c r="CH543" s="24"/>
      <c r="CI543" s="24"/>
      <c r="CJ543" s="24"/>
      <c r="CK543" s="24"/>
      <c r="DE543" s="24"/>
      <c r="DF543" s="24"/>
      <c r="DG543" s="24"/>
      <c r="DH543" s="24"/>
      <c r="DJ543" t="s">
        <v>149</v>
      </c>
      <c r="DK543" t="s">
        <v>149</v>
      </c>
      <c r="DL543">
        <v>1.6597251157407407</v>
      </c>
      <c r="DM543">
        <v>15</v>
      </c>
      <c r="DN543">
        <v>14</v>
      </c>
      <c r="DQ543" t="s">
        <v>1000</v>
      </c>
      <c r="DR543" t="s">
        <v>149</v>
      </c>
      <c r="DS543" s="24">
        <v>46160.384426226854</v>
      </c>
    </row>
    <row r="544" spans="1:123" x14ac:dyDescent="0.3">
      <c r="A544" t="s">
        <v>794</v>
      </c>
      <c r="D544" t="s">
        <v>223</v>
      </c>
      <c r="E544" s="24">
        <v>45772.5778125</v>
      </c>
      <c r="G544" t="s">
        <v>90</v>
      </c>
      <c r="H544" t="s">
        <v>155</v>
      </c>
      <c r="I544" s="24"/>
      <c r="J544" s="24"/>
      <c r="K544" s="24"/>
      <c r="L544" s="24"/>
      <c r="N544" s="24"/>
      <c r="O544" s="24"/>
      <c r="P544" s="24"/>
      <c r="Q544" s="24"/>
      <c r="V544" s="24"/>
      <c r="W544" s="24"/>
      <c r="X544" s="24"/>
      <c r="Y544" s="24"/>
      <c r="AA544" s="24">
        <v>45777.371420972224</v>
      </c>
      <c r="AB544" s="24">
        <v>45777.371420972224</v>
      </c>
      <c r="AC544" s="24">
        <v>45782.455594780091</v>
      </c>
      <c r="AD544" s="24">
        <v>45782.455594780091</v>
      </c>
      <c r="AE544">
        <v>1</v>
      </c>
      <c r="AF544" s="24">
        <v>45782.455594780091</v>
      </c>
      <c r="AG544" s="24">
        <v>45782.455594780091</v>
      </c>
      <c r="AH544" s="24">
        <v>45782.455641516201</v>
      </c>
      <c r="AI544" s="24">
        <v>45782.455641516201</v>
      </c>
      <c r="AJ544">
        <v>1</v>
      </c>
      <c r="AK544" s="24"/>
      <c r="AL544" s="24"/>
      <c r="AM544" s="24"/>
      <c r="AN544" s="24"/>
      <c r="AP544" s="24"/>
      <c r="AQ544" s="24"/>
      <c r="AR544" s="24">
        <v>45777.357693136575</v>
      </c>
      <c r="AS544" s="24">
        <v>45777.357693136575</v>
      </c>
      <c r="AX544" s="24"/>
      <c r="AY544" s="24"/>
      <c r="AZ544" s="24"/>
      <c r="BA544" s="24"/>
      <c r="BC544" s="24"/>
      <c r="BD544" s="24"/>
      <c r="BE544" s="24"/>
      <c r="BF544" s="24"/>
      <c r="BH544" s="24">
        <v>45777.357693136575</v>
      </c>
      <c r="BI544" s="24">
        <v>45777.357693136575</v>
      </c>
      <c r="BJ544" s="24">
        <v>45777.371420972224</v>
      </c>
      <c r="BK544" s="24">
        <v>45777.371420972224</v>
      </c>
      <c r="BL544">
        <v>1</v>
      </c>
      <c r="BM544" s="24"/>
      <c r="BN544" s="24"/>
      <c r="BO544" s="24"/>
      <c r="BP544" s="24"/>
      <c r="BR544" s="24">
        <v>45782.455641516201</v>
      </c>
      <c r="BS544" s="24">
        <v>45782.455641516201</v>
      </c>
      <c r="BT544" s="24">
        <v>45783.399719317131</v>
      </c>
      <c r="BU544" s="24">
        <v>45783.399719317131</v>
      </c>
      <c r="BV544">
        <v>1</v>
      </c>
      <c r="BW544" s="24"/>
      <c r="BX544" s="24"/>
      <c r="BY544" s="24"/>
      <c r="BZ544" s="24"/>
      <c r="CB544" s="24"/>
      <c r="CC544" s="24"/>
      <c r="CE544" s="24">
        <v>45783.399719317131</v>
      </c>
      <c r="CF544" s="24">
        <v>45783.399719317131</v>
      </c>
      <c r="CG544">
        <v>1</v>
      </c>
      <c r="CH544" s="24"/>
      <c r="CI544" s="24"/>
      <c r="CJ544" s="24"/>
      <c r="CK544" s="24"/>
      <c r="DE544" s="24"/>
      <c r="DF544" s="24"/>
      <c r="DG544" s="24"/>
      <c r="DH544" s="24"/>
      <c r="DJ544" t="s">
        <v>149</v>
      </c>
      <c r="DK544" t="s">
        <v>149</v>
      </c>
      <c r="DM544">
        <v>7</v>
      </c>
      <c r="DN544">
        <v>7</v>
      </c>
      <c r="DQ544" t="s">
        <v>1000</v>
      </c>
      <c r="DR544" t="s">
        <v>149</v>
      </c>
      <c r="DS544" s="24">
        <v>46160.384426226854</v>
      </c>
    </row>
    <row r="545" spans="1:123" x14ac:dyDescent="0.3">
      <c r="A545" t="s">
        <v>795</v>
      </c>
      <c r="D545" t="s">
        <v>223</v>
      </c>
      <c r="E545" s="24">
        <v>45771.525370370371</v>
      </c>
      <c r="G545" t="s">
        <v>90</v>
      </c>
      <c r="H545" t="s">
        <v>155</v>
      </c>
      <c r="I545" s="24"/>
      <c r="J545" s="24"/>
      <c r="K545" s="24"/>
      <c r="L545" s="24"/>
      <c r="N545" s="24">
        <v>45798.396692546296</v>
      </c>
      <c r="O545" s="24">
        <v>45798.396692546296</v>
      </c>
      <c r="P545" s="24">
        <v>45799.339692766203</v>
      </c>
      <c r="Q545" s="24">
        <v>45799.339692766203</v>
      </c>
      <c r="R545">
        <v>1</v>
      </c>
      <c r="V545" s="24"/>
      <c r="W545" s="24"/>
      <c r="X545" s="24"/>
      <c r="Y545" s="24"/>
      <c r="AA545" s="24">
        <v>45799.339692766203</v>
      </c>
      <c r="AB545" s="24">
        <v>45796.464679039353</v>
      </c>
      <c r="AC545" s="24">
        <v>45798.396692546296</v>
      </c>
      <c r="AD545" s="24">
        <v>45799.362326631941</v>
      </c>
      <c r="AE545">
        <v>2</v>
      </c>
      <c r="AF545" s="24">
        <v>45799.362326631941</v>
      </c>
      <c r="AG545" s="24">
        <v>45799.362326631941</v>
      </c>
      <c r="AH545" s="24">
        <v>45799.362423425926</v>
      </c>
      <c r="AI545" s="24">
        <v>45799.362423425926</v>
      </c>
      <c r="AJ545">
        <v>1</v>
      </c>
      <c r="AK545" s="24"/>
      <c r="AL545" s="24"/>
      <c r="AM545" s="24"/>
      <c r="AN545" s="24"/>
      <c r="AP545" s="24"/>
      <c r="AQ545" s="24"/>
      <c r="AR545" s="24">
        <v>45790.606961793979</v>
      </c>
      <c r="AS545" s="24">
        <v>45790.606961793979</v>
      </c>
      <c r="AX545" s="24"/>
      <c r="AY545" s="24"/>
      <c r="AZ545" s="24"/>
      <c r="BA545" s="24"/>
      <c r="BC545" s="24"/>
      <c r="BD545" s="24"/>
      <c r="BE545" s="24"/>
      <c r="BF545" s="24"/>
      <c r="BH545" s="24">
        <v>45790.606961793979</v>
      </c>
      <c r="BI545" s="24">
        <v>45790.606961793979</v>
      </c>
      <c r="BJ545" s="24">
        <v>45796.464679039353</v>
      </c>
      <c r="BK545" s="24">
        <v>45796.464679039353</v>
      </c>
      <c r="BL545">
        <v>1</v>
      </c>
      <c r="BM545" s="24"/>
      <c r="BN545" s="24"/>
      <c r="BO545" s="24"/>
      <c r="BP545" s="24"/>
      <c r="BR545" s="24">
        <v>45799.362423425926</v>
      </c>
      <c r="BS545" s="24">
        <v>45799.362423425926</v>
      </c>
      <c r="BT545" s="24">
        <v>45799.646084224536</v>
      </c>
      <c r="BU545" s="24">
        <v>45799.646084224536</v>
      </c>
      <c r="BV545">
        <v>1</v>
      </c>
      <c r="BW545" s="24"/>
      <c r="BX545" s="24"/>
      <c r="BY545" s="24"/>
      <c r="BZ545" s="24"/>
      <c r="CB545" s="24"/>
      <c r="CC545" s="24"/>
      <c r="CE545" s="24">
        <v>45799.646084224536</v>
      </c>
      <c r="CF545" s="24">
        <v>45799.646084224536</v>
      </c>
      <c r="CG545">
        <v>1</v>
      </c>
      <c r="CH545" s="24"/>
      <c r="CI545" s="24"/>
      <c r="CJ545" s="24"/>
      <c r="CK545" s="24"/>
      <c r="DE545" s="24"/>
      <c r="DF545" s="24"/>
      <c r="DG545" s="24"/>
      <c r="DH545" s="24"/>
      <c r="DJ545" t="s">
        <v>149</v>
      </c>
      <c r="DK545" t="s">
        <v>149</v>
      </c>
      <c r="DL545">
        <v>0.94300011574074072</v>
      </c>
      <c r="DM545">
        <v>10</v>
      </c>
      <c r="DN545">
        <v>4</v>
      </c>
      <c r="DQ545" t="s">
        <v>1000</v>
      </c>
      <c r="DR545" t="s">
        <v>149</v>
      </c>
      <c r="DS545" s="24">
        <v>46160.384426226854</v>
      </c>
    </row>
    <row r="546" spans="1:123" x14ac:dyDescent="0.3">
      <c r="A546" t="s">
        <v>796</v>
      </c>
      <c r="D546" t="s">
        <v>223</v>
      </c>
      <c r="E546" s="24">
        <v>45771.345983796295</v>
      </c>
      <c r="G546" t="s">
        <v>90</v>
      </c>
      <c r="H546" t="s">
        <v>155</v>
      </c>
      <c r="I546" s="24"/>
      <c r="J546" s="24"/>
      <c r="K546" s="24"/>
      <c r="L546" s="24"/>
      <c r="N546" s="24"/>
      <c r="O546" s="24"/>
      <c r="P546" s="24"/>
      <c r="Q546" s="24"/>
      <c r="V546" s="24"/>
      <c r="W546" s="24"/>
      <c r="X546" s="24"/>
      <c r="Y546" s="24"/>
      <c r="AA546" s="24">
        <v>45785.391972997684</v>
      </c>
      <c r="AB546" s="24">
        <v>45785.391972997684</v>
      </c>
      <c r="AC546" s="24">
        <v>45785.675146678244</v>
      </c>
      <c r="AD546" s="24">
        <v>45785.675146678244</v>
      </c>
      <c r="AE546">
        <v>1</v>
      </c>
      <c r="AF546" s="24">
        <v>45785.675146678244</v>
      </c>
      <c r="AG546" s="24">
        <v>45785.675146678244</v>
      </c>
      <c r="AH546" s="24">
        <v>45789.390536701387</v>
      </c>
      <c r="AI546" s="24">
        <v>45789.390536701387</v>
      </c>
      <c r="AJ546">
        <v>1</v>
      </c>
      <c r="AK546" s="24"/>
      <c r="AL546" s="24"/>
      <c r="AM546" s="24"/>
      <c r="AN546" s="24"/>
      <c r="AP546" s="24"/>
      <c r="AQ546" s="24"/>
      <c r="AR546" s="24">
        <v>45775.490663206016</v>
      </c>
      <c r="AS546" s="24">
        <v>45775.490663206016</v>
      </c>
      <c r="AX546" s="24"/>
      <c r="AY546" s="24"/>
      <c r="AZ546" s="24"/>
      <c r="BA546" s="24"/>
      <c r="BC546" s="24"/>
      <c r="BD546" s="24"/>
      <c r="BE546" s="24"/>
      <c r="BF546" s="24"/>
      <c r="BH546" s="24">
        <v>45775.490663206016</v>
      </c>
      <c r="BI546" s="24">
        <v>45775.490663206016</v>
      </c>
      <c r="BJ546" s="24">
        <v>45785.391972997684</v>
      </c>
      <c r="BK546" s="24">
        <v>45785.391972997684</v>
      </c>
      <c r="BL546">
        <v>1</v>
      </c>
      <c r="BM546" s="24"/>
      <c r="BN546" s="24"/>
      <c r="BO546" s="24"/>
      <c r="BP546" s="24"/>
      <c r="BR546" s="24">
        <v>45789.390536701387</v>
      </c>
      <c r="BS546" s="24">
        <v>45789.390536701387</v>
      </c>
      <c r="BT546" s="24">
        <v>45789.400640185188</v>
      </c>
      <c r="BU546" s="24">
        <v>45789.400640185188</v>
      </c>
      <c r="BV546">
        <v>1</v>
      </c>
      <c r="BW546" s="24"/>
      <c r="BX546" s="24"/>
      <c r="BY546" s="24"/>
      <c r="BZ546" s="24"/>
      <c r="CB546" s="24"/>
      <c r="CC546" s="24"/>
      <c r="CE546" s="24">
        <v>45789.400640185188</v>
      </c>
      <c r="CF546" s="24">
        <v>45789.400640185188</v>
      </c>
      <c r="CG546">
        <v>1</v>
      </c>
      <c r="CH546" s="24"/>
      <c r="CI546" s="24"/>
      <c r="CJ546" s="24"/>
      <c r="CK546" s="24"/>
      <c r="DE546" s="24"/>
      <c r="DF546" s="24"/>
      <c r="DG546" s="24"/>
      <c r="DH546" s="24"/>
      <c r="DJ546" t="s">
        <v>149</v>
      </c>
      <c r="DK546" t="s">
        <v>149</v>
      </c>
      <c r="DM546">
        <v>14</v>
      </c>
      <c r="DN546">
        <v>5</v>
      </c>
      <c r="DQ546" t="s">
        <v>1000</v>
      </c>
      <c r="DR546" t="s">
        <v>149</v>
      </c>
      <c r="DS546" s="24">
        <v>46160.384426226854</v>
      </c>
    </row>
    <row r="547" spans="1:123" x14ac:dyDescent="0.3">
      <c r="A547" t="s">
        <v>797</v>
      </c>
      <c r="D547" t="s">
        <v>224</v>
      </c>
      <c r="E547" s="24">
        <v>45770.66611111111</v>
      </c>
      <c r="G547" t="s">
        <v>90</v>
      </c>
      <c r="H547" t="s">
        <v>155</v>
      </c>
      <c r="I547" s="24"/>
      <c r="J547" s="24"/>
      <c r="K547" s="24"/>
      <c r="L547" s="24"/>
      <c r="N547" s="24"/>
      <c r="O547" s="24"/>
      <c r="P547" s="24"/>
      <c r="Q547" s="24"/>
      <c r="V547" s="24"/>
      <c r="W547" s="24"/>
      <c r="X547" s="24"/>
      <c r="Y547" s="24"/>
      <c r="AA547" s="24">
        <v>45776.526719895832</v>
      </c>
      <c r="AB547" s="24">
        <v>45776.526719895832</v>
      </c>
      <c r="AC547" s="24">
        <v>45777.356432905093</v>
      </c>
      <c r="AD547" s="24">
        <v>45777.356432905093</v>
      </c>
      <c r="AE547">
        <v>1</v>
      </c>
      <c r="AF547" s="24">
        <v>45777.356432905093</v>
      </c>
      <c r="AG547" s="24">
        <v>45777.356432905093</v>
      </c>
      <c r="AH547" s="24">
        <v>45782.452386168981</v>
      </c>
      <c r="AI547" s="24">
        <v>45782.452386168981</v>
      </c>
      <c r="AJ547">
        <v>1</v>
      </c>
      <c r="AK547" s="24">
        <v>45782.452386168981</v>
      </c>
      <c r="AL547" s="24">
        <v>45782.452386168981</v>
      </c>
      <c r="AM547" s="24">
        <v>45783.424586805559</v>
      </c>
      <c r="AN547" s="24">
        <v>45783.424586805559</v>
      </c>
      <c r="AO547">
        <v>1</v>
      </c>
      <c r="AP547" s="24"/>
      <c r="AQ547" s="24"/>
      <c r="AR547" s="24">
        <v>45775.501317789349</v>
      </c>
      <c r="AS547" s="24">
        <v>45775.501317789349</v>
      </c>
      <c r="AX547" s="24"/>
      <c r="AY547" s="24"/>
      <c r="AZ547" s="24"/>
      <c r="BA547" s="24"/>
      <c r="BC547" s="24">
        <v>45785.691902407409</v>
      </c>
      <c r="BD547" s="24">
        <v>45783.512359120374</v>
      </c>
      <c r="BE547" s="24">
        <v>45785.691800821762</v>
      </c>
      <c r="BF547" s="24">
        <v>45791.570510162041</v>
      </c>
      <c r="BG547">
        <v>2</v>
      </c>
      <c r="BH547" s="24">
        <v>45775.501317789349</v>
      </c>
      <c r="BI547" s="24">
        <v>45775.501317789349</v>
      </c>
      <c r="BJ547" s="24">
        <v>45776.526719895832</v>
      </c>
      <c r="BK547" s="24">
        <v>45776.526719895832</v>
      </c>
      <c r="BL547">
        <v>1</v>
      </c>
      <c r="BM547" s="24"/>
      <c r="BN547" s="24"/>
      <c r="BO547" s="24"/>
      <c r="BP547" s="24"/>
      <c r="BR547" s="24">
        <v>45785.691800821762</v>
      </c>
      <c r="BS547" s="24">
        <v>45783.424586805559</v>
      </c>
      <c r="BT547" s="24">
        <v>45783.512359120374</v>
      </c>
      <c r="BU547" s="24">
        <v>45785.691902407409</v>
      </c>
      <c r="BV547">
        <v>2</v>
      </c>
      <c r="BW547" s="24"/>
      <c r="BX547" s="24"/>
      <c r="BY547" s="24"/>
      <c r="BZ547" s="24"/>
      <c r="CB547" s="24"/>
      <c r="CC547" s="24"/>
      <c r="CE547" s="24">
        <v>45791.570510162041</v>
      </c>
      <c r="CF547" s="24">
        <v>45791.570510162041</v>
      </c>
      <c r="CG547">
        <v>1</v>
      </c>
      <c r="CH547" s="24"/>
      <c r="CI547" s="24"/>
      <c r="CJ547" s="24"/>
      <c r="CK547" s="24"/>
      <c r="DE547" s="24"/>
      <c r="DF547" s="24"/>
      <c r="DG547" s="24"/>
      <c r="DH547" s="24"/>
      <c r="DJ547" t="s">
        <v>149</v>
      </c>
      <c r="DK547" t="s">
        <v>149</v>
      </c>
      <c r="DM547">
        <v>17</v>
      </c>
      <c r="DN547">
        <v>16</v>
      </c>
      <c r="DQ547" t="s">
        <v>1000</v>
      </c>
      <c r="DR547" t="s">
        <v>149</v>
      </c>
      <c r="DS547" s="24">
        <v>46160.384426226854</v>
      </c>
    </row>
    <row r="548" spans="1:123" x14ac:dyDescent="0.3">
      <c r="A548" t="s">
        <v>798</v>
      </c>
      <c r="D548" t="s">
        <v>225</v>
      </c>
      <c r="E548" s="24">
        <v>45770.432858796295</v>
      </c>
      <c r="G548" t="s">
        <v>90</v>
      </c>
      <c r="H548" t="s">
        <v>155</v>
      </c>
      <c r="I548" s="24"/>
      <c r="J548" s="24"/>
      <c r="K548" s="24"/>
      <c r="L548" s="24"/>
      <c r="N548" s="24"/>
      <c r="O548" s="24"/>
      <c r="P548" s="24"/>
      <c r="Q548" s="24"/>
      <c r="V548" s="24"/>
      <c r="W548" s="24"/>
      <c r="X548" s="24"/>
      <c r="Y548" s="24"/>
      <c r="AA548" s="24">
        <v>45777.329268229165</v>
      </c>
      <c r="AB548" s="24">
        <v>45777.329268229165</v>
      </c>
      <c r="AC548" s="24">
        <v>45786.458174907406</v>
      </c>
      <c r="AD548" s="24">
        <v>45786.458174907406</v>
      </c>
      <c r="AE548">
        <v>1</v>
      </c>
      <c r="AF548" s="24"/>
      <c r="AG548" s="24"/>
      <c r="AH548" s="24"/>
      <c r="AI548" s="24"/>
      <c r="AK548" s="24">
        <v>45786.458174907406</v>
      </c>
      <c r="AL548" s="24">
        <v>45786.458174907406</v>
      </c>
      <c r="AM548" s="24">
        <v>45786.547540405096</v>
      </c>
      <c r="AN548" s="24">
        <v>45786.547540405096</v>
      </c>
      <c r="AO548">
        <v>1</v>
      </c>
      <c r="AP548" s="24"/>
      <c r="AQ548" s="24"/>
      <c r="AR548" s="24">
        <v>45777.329190277778</v>
      </c>
      <c r="AS548" s="24">
        <v>45777.329190277778</v>
      </c>
      <c r="AX548" s="24"/>
      <c r="AY548" s="24"/>
      <c r="AZ548" s="24"/>
      <c r="BA548" s="24"/>
      <c r="BC548" s="24">
        <v>45789.404591493054</v>
      </c>
      <c r="BD548" s="24">
        <v>45789.404591493054</v>
      </c>
      <c r="BE548" s="24">
        <v>45791.570510717589</v>
      </c>
      <c r="BF548" s="24">
        <v>45791.570510717589</v>
      </c>
      <c r="BG548">
        <v>1</v>
      </c>
      <c r="BH548" s="24">
        <v>45777.329190277778</v>
      </c>
      <c r="BI548" s="24">
        <v>45777.329190277778</v>
      </c>
      <c r="BJ548" s="24">
        <v>45777.329268229165</v>
      </c>
      <c r="BK548" s="24">
        <v>45777.329268229165</v>
      </c>
      <c r="BL548">
        <v>1</v>
      </c>
      <c r="BM548" s="24"/>
      <c r="BN548" s="24"/>
      <c r="BO548" s="24"/>
      <c r="BP548" s="24"/>
      <c r="BR548" s="24">
        <v>45786.547540405096</v>
      </c>
      <c r="BS548" s="24">
        <v>45786.547540405096</v>
      </c>
      <c r="BT548" s="24">
        <v>45789.404591493054</v>
      </c>
      <c r="BU548" s="24">
        <v>45789.404591493054</v>
      </c>
      <c r="BV548">
        <v>1</v>
      </c>
      <c r="BW548" s="24"/>
      <c r="BX548" s="24"/>
      <c r="BY548" s="24"/>
      <c r="BZ548" s="24"/>
      <c r="CB548" s="24"/>
      <c r="CC548" s="24"/>
      <c r="CE548" s="24">
        <v>45791.570510717589</v>
      </c>
      <c r="CF548" s="24">
        <v>45791.570510717589</v>
      </c>
      <c r="CG548">
        <v>1</v>
      </c>
      <c r="CH548" s="24"/>
      <c r="CI548" s="24"/>
      <c r="CJ548" s="24"/>
      <c r="CK548" s="24"/>
      <c r="DE548" s="24"/>
      <c r="DF548" s="24"/>
      <c r="DG548" s="24"/>
      <c r="DH548" s="24"/>
      <c r="DJ548" t="s">
        <v>149</v>
      </c>
      <c r="DK548" t="s">
        <v>149</v>
      </c>
      <c r="DM548">
        <v>15</v>
      </c>
      <c r="DN548">
        <v>15</v>
      </c>
      <c r="DQ548" t="s">
        <v>1000</v>
      </c>
      <c r="DR548" t="s">
        <v>149</v>
      </c>
      <c r="DS548" s="24">
        <v>46160.384426226854</v>
      </c>
    </row>
    <row r="549" spans="1:123" x14ac:dyDescent="0.3">
      <c r="A549" t="s">
        <v>799</v>
      </c>
      <c r="D549" t="s">
        <v>223</v>
      </c>
      <c r="E549" s="24">
        <v>45769.598935185182</v>
      </c>
      <c r="G549" t="s">
        <v>90</v>
      </c>
      <c r="H549" t="s">
        <v>155</v>
      </c>
      <c r="I549" s="24"/>
      <c r="J549" s="24"/>
      <c r="K549" s="24"/>
      <c r="L549" s="24"/>
      <c r="N549" s="24"/>
      <c r="O549" s="24"/>
      <c r="P549" s="24"/>
      <c r="Q549" s="24"/>
      <c r="V549" s="24"/>
      <c r="W549" s="24"/>
      <c r="X549" s="24"/>
      <c r="Y549" s="24"/>
      <c r="AA549" s="24">
        <v>45776.58192582176</v>
      </c>
      <c r="AB549" s="24">
        <v>45776.58192582176</v>
      </c>
      <c r="AC549" s="24">
        <v>45789.598781967594</v>
      </c>
      <c r="AD549" s="24">
        <v>45789.598781967594</v>
      </c>
      <c r="AE549">
        <v>1</v>
      </c>
      <c r="AF549" s="24"/>
      <c r="AG549" s="24"/>
      <c r="AH549" s="24"/>
      <c r="AI549" s="24"/>
      <c r="AK549" s="24"/>
      <c r="AL549" s="24"/>
      <c r="AM549" s="24"/>
      <c r="AN549" s="24"/>
      <c r="AP549" s="24"/>
      <c r="AQ549" s="24"/>
      <c r="AR549" s="24">
        <v>45776.581783472226</v>
      </c>
      <c r="AS549" s="24">
        <v>45776.581783472226</v>
      </c>
      <c r="AX549" s="24"/>
      <c r="AY549" s="24"/>
      <c r="AZ549" s="24"/>
      <c r="BA549" s="24"/>
      <c r="BC549" s="24"/>
      <c r="BD549" s="24"/>
      <c r="BE549" s="24"/>
      <c r="BF549" s="24"/>
      <c r="BH549" s="24">
        <v>45776.581783472226</v>
      </c>
      <c r="BI549" s="24">
        <v>45776.581783472226</v>
      </c>
      <c r="BJ549" s="24">
        <v>45776.58192582176</v>
      </c>
      <c r="BK549" s="24">
        <v>45776.58192582176</v>
      </c>
      <c r="BL549">
        <v>1</v>
      </c>
      <c r="BM549" s="24"/>
      <c r="BN549" s="24"/>
      <c r="BO549" s="24"/>
      <c r="BP549" s="24"/>
      <c r="BR549" s="24">
        <v>45789.598781967594</v>
      </c>
      <c r="BS549" s="24">
        <v>45789.598781967594</v>
      </c>
      <c r="BT549" s="24">
        <v>45789.598823368055</v>
      </c>
      <c r="BU549" s="24">
        <v>45789.598823368055</v>
      </c>
      <c r="BV549">
        <v>1</v>
      </c>
      <c r="BW549" s="24"/>
      <c r="BX549" s="24"/>
      <c r="BY549" s="24"/>
      <c r="BZ549" s="24"/>
      <c r="CB549" s="24"/>
      <c r="CC549" s="24"/>
      <c r="CE549" s="24">
        <v>45789.598823368055</v>
      </c>
      <c r="CF549" s="24">
        <v>45789.598823368055</v>
      </c>
      <c r="CG549">
        <v>1</v>
      </c>
      <c r="CH549" s="24"/>
      <c r="CI549" s="24"/>
      <c r="CJ549" s="24"/>
      <c r="CK549" s="24"/>
      <c r="DE549" s="24"/>
      <c r="DF549" s="24"/>
      <c r="DG549" s="24"/>
      <c r="DH549" s="24"/>
      <c r="DJ549" t="s">
        <v>149</v>
      </c>
      <c r="DK549" t="s">
        <v>149</v>
      </c>
      <c r="DM549">
        <v>14</v>
      </c>
      <c r="DN549">
        <v>14</v>
      </c>
      <c r="DQ549" t="s">
        <v>1000</v>
      </c>
      <c r="DR549" t="s">
        <v>149</v>
      </c>
      <c r="DS549" s="24">
        <v>46160.384426226854</v>
      </c>
    </row>
    <row r="550" spans="1:123" x14ac:dyDescent="0.3">
      <c r="A550" t="s">
        <v>800</v>
      </c>
      <c r="D550" t="s">
        <v>223</v>
      </c>
      <c r="E550" s="24">
        <v>45769.448564814818</v>
      </c>
      <c r="G550" t="s">
        <v>102</v>
      </c>
      <c r="H550" t="s">
        <v>154</v>
      </c>
      <c r="I550" s="24"/>
      <c r="J550" s="24"/>
      <c r="K550" s="24"/>
      <c r="L550" s="24"/>
      <c r="N550" s="24"/>
      <c r="O550" s="24"/>
      <c r="P550" s="24"/>
      <c r="Q550" s="24"/>
      <c r="V550" s="24"/>
      <c r="W550" s="24"/>
      <c r="X550" s="24"/>
      <c r="Y550" s="24"/>
      <c r="AA550" s="24"/>
      <c r="AB550" s="24"/>
      <c r="AC550" s="24"/>
      <c r="AD550" s="24"/>
      <c r="AF550" s="24"/>
      <c r="AG550" s="24"/>
      <c r="AH550" s="24"/>
      <c r="AI550" s="24"/>
      <c r="AK550" s="24"/>
      <c r="AL550" s="24"/>
      <c r="AM550" s="24"/>
      <c r="AN550" s="24"/>
      <c r="AP550" s="24">
        <v>45813.709603796298</v>
      </c>
      <c r="AQ550" s="24">
        <v>45813.709603796298</v>
      </c>
      <c r="AR550" s="24"/>
      <c r="AS550" s="24"/>
      <c r="AT550">
        <v>1</v>
      </c>
      <c r="AX550" s="24"/>
      <c r="AY550" s="24"/>
      <c r="AZ550" s="24"/>
      <c r="BA550" s="24"/>
      <c r="BC550" s="24"/>
      <c r="BD550" s="24"/>
      <c r="BE550" s="24"/>
      <c r="BF550" s="24"/>
      <c r="BH550" s="24"/>
      <c r="BI550" s="24"/>
      <c r="BJ550" s="24"/>
      <c r="BK550" s="24"/>
      <c r="BM550" s="24"/>
      <c r="BN550" s="24"/>
      <c r="BO550" s="24"/>
      <c r="BP550" s="24"/>
      <c r="BR550" s="24"/>
      <c r="BS550" s="24"/>
      <c r="BT550" s="24"/>
      <c r="BU550" s="24"/>
      <c r="BW550" s="24"/>
      <c r="BX550" s="24"/>
      <c r="BY550" s="24"/>
      <c r="BZ550" s="24"/>
      <c r="CB550" s="24"/>
      <c r="CC550" s="24"/>
      <c r="CE550" s="24"/>
      <c r="CF550" s="24"/>
      <c r="CH550" s="24"/>
      <c r="CI550" s="24"/>
      <c r="CJ550" s="24"/>
      <c r="CK550" s="24"/>
      <c r="DE550" s="24"/>
      <c r="DF550" s="24"/>
      <c r="DG550" s="24"/>
      <c r="DH550" s="24"/>
      <c r="DJ550" t="s">
        <v>149</v>
      </c>
      <c r="DK550" t="s">
        <v>149</v>
      </c>
      <c r="DP550">
        <v>347</v>
      </c>
      <c r="DQ550" t="s">
        <v>1000</v>
      </c>
      <c r="DR550" t="s">
        <v>149</v>
      </c>
      <c r="DS550" s="24">
        <v>46160.384426226854</v>
      </c>
    </row>
    <row r="551" spans="1:123" x14ac:dyDescent="0.3">
      <c r="A551" t="s">
        <v>801</v>
      </c>
      <c r="D551" t="s">
        <v>225</v>
      </c>
      <c r="E551" s="24">
        <v>45763.647800925923</v>
      </c>
      <c r="G551" t="s">
        <v>90</v>
      </c>
      <c r="H551" t="s">
        <v>155</v>
      </c>
      <c r="I551" s="24"/>
      <c r="J551" s="24"/>
      <c r="K551" s="24"/>
      <c r="L551" s="24"/>
      <c r="N551" s="24"/>
      <c r="O551" s="24"/>
      <c r="P551" s="24"/>
      <c r="Q551" s="24"/>
      <c r="V551" s="24"/>
      <c r="W551" s="24"/>
      <c r="X551" s="24"/>
      <c r="Y551" s="24"/>
      <c r="AA551" s="24">
        <v>45791.687827175927</v>
      </c>
      <c r="AB551" s="24">
        <v>45791.687827175927</v>
      </c>
      <c r="AC551" s="24">
        <v>45792.658914837964</v>
      </c>
      <c r="AD551" s="24">
        <v>45792.658914837964</v>
      </c>
      <c r="AE551">
        <v>1</v>
      </c>
      <c r="AF551" s="24">
        <v>45792.658914837964</v>
      </c>
      <c r="AG551" s="24">
        <v>45792.658914837964</v>
      </c>
      <c r="AH551" s="24">
        <v>45793.402992662035</v>
      </c>
      <c r="AI551" s="24">
        <v>45793.402992662035</v>
      </c>
      <c r="AJ551">
        <v>1</v>
      </c>
      <c r="AK551" s="24">
        <v>45793.402992662035</v>
      </c>
      <c r="AL551" s="24">
        <v>45793.402992662035</v>
      </c>
      <c r="AM551" s="24">
        <v>45793.403057488424</v>
      </c>
      <c r="AN551" s="24">
        <v>45793.403057488424</v>
      </c>
      <c r="AO551">
        <v>1</v>
      </c>
      <c r="AP551" s="24"/>
      <c r="AQ551" s="24"/>
      <c r="AR551" s="24">
        <v>45776.468667534726</v>
      </c>
      <c r="AS551" s="24">
        <v>45776.468667534726</v>
      </c>
      <c r="AX551" s="24"/>
      <c r="AY551" s="24"/>
      <c r="AZ551" s="24"/>
      <c r="BA551" s="24"/>
      <c r="BC551" s="24">
        <v>45793.403270486109</v>
      </c>
      <c r="BD551" s="24">
        <v>45793.403270486109</v>
      </c>
      <c r="BE551" s="24">
        <v>45803.643641770832</v>
      </c>
      <c r="BF551" s="24">
        <v>45803.643641770832</v>
      </c>
      <c r="BG551">
        <v>1</v>
      </c>
      <c r="BH551" s="24">
        <v>45776.468667534726</v>
      </c>
      <c r="BI551" s="24">
        <v>45776.468667534726</v>
      </c>
      <c r="BJ551" s="24">
        <v>45791.687827175927</v>
      </c>
      <c r="BK551" s="24">
        <v>45791.687827175927</v>
      </c>
      <c r="BL551">
        <v>1</v>
      </c>
      <c r="BM551" s="24"/>
      <c r="BN551" s="24"/>
      <c r="BO551" s="24"/>
      <c r="BP551" s="24"/>
      <c r="BR551" s="24">
        <v>45793.403057488424</v>
      </c>
      <c r="BS551" s="24">
        <v>45793.403057488424</v>
      </c>
      <c r="BT551" s="24">
        <v>45793.403270486109</v>
      </c>
      <c r="BU551" s="24">
        <v>45793.403270486109</v>
      </c>
      <c r="BV551">
        <v>1</v>
      </c>
      <c r="BW551" s="24"/>
      <c r="BX551" s="24"/>
      <c r="BY551" s="24"/>
      <c r="BZ551" s="24"/>
      <c r="CB551" s="24"/>
      <c r="CC551" s="24"/>
      <c r="CE551" s="24">
        <v>45803.643641770832</v>
      </c>
      <c r="CF551" s="24">
        <v>45803.643641770832</v>
      </c>
      <c r="CG551">
        <v>1</v>
      </c>
      <c r="CH551" s="24"/>
      <c r="CI551" s="24"/>
      <c r="CJ551" s="24"/>
      <c r="CK551" s="24"/>
      <c r="DE551" s="24"/>
      <c r="DF551" s="24"/>
      <c r="DG551" s="24"/>
      <c r="DH551" s="24"/>
      <c r="DJ551" t="s">
        <v>149</v>
      </c>
      <c r="DK551" t="s">
        <v>149</v>
      </c>
      <c r="DM551">
        <v>28</v>
      </c>
      <c r="DN551">
        <v>12</v>
      </c>
      <c r="DQ551" t="s">
        <v>1000</v>
      </c>
      <c r="DR551" t="s">
        <v>149</v>
      </c>
      <c r="DS551" s="24">
        <v>46160.384426226854</v>
      </c>
    </row>
    <row r="552" spans="1:123" x14ac:dyDescent="0.3">
      <c r="A552" t="s">
        <v>802</v>
      </c>
      <c r="D552" t="s">
        <v>225</v>
      </c>
      <c r="E552" s="24">
        <v>45762.353912037041</v>
      </c>
      <c r="G552" t="s">
        <v>90</v>
      </c>
      <c r="H552" t="s">
        <v>155</v>
      </c>
      <c r="I552" s="24"/>
      <c r="J552" s="24"/>
      <c r="K552" s="24"/>
      <c r="L552" s="24"/>
      <c r="N552" s="24"/>
      <c r="O552" s="24"/>
      <c r="P552" s="24"/>
      <c r="Q552" s="24"/>
      <c r="V552" s="24"/>
      <c r="W552" s="24"/>
      <c r="X552" s="24"/>
      <c r="Y552" s="24"/>
      <c r="AA552" s="24">
        <v>45763.34201695602</v>
      </c>
      <c r="AB552" s="24">
        <v>45763.34201695602</v>
      </c>
      <c r="AC552" s="24">
        <v>45769.407024918983</v>
      </c>
      <c r="AD552" s="24">
        <v>45769.407024918983</v>
      </c>
      <c r="AE552">
        <v>1</v>
      </c>
      <c r="AF552" s="24">
        <v>45769.407024918983</v>
      </c>
      <c r="AG552" s="24">
        <v>45769.407024918983</v>
      </c>
      <c r="AH552" s="24">
        <v>45789.427749756942</v>
      </c>
      <c r="AI552" s="24">
        <v>45789.427749756942</v>
      </c>
      <c r="AJ552">
        <v>1</v>
      </c>
      <c r="AK552" s="24">
        <v>45789.427749756942</v>
      </c>
      <c r="AL552" s="24">
        <v>45789.427749756942</v>
      </c>
      <c r="AM552" s="24">
        <v>45789.427807175925</v>
      </c>
      <c r="AN552" s="24">
        <v>45789.427807175925</v>
      </c>
      <c r="AO552">
        <v>1</v>
      </c>
      <c r="AP552" s="24"/>
      <c r="AQ552" s="24"/>
      <c r="AR552" s="24">
        <v>45763.326755381946</v>
      </c>
      <c r="AS552" s="24">
        <v>45763.326755381946</v>
      </c>
      <c r="AX552" s="24"/>
      <c r="AY552" s="24"/>
      <c r="AZ552" s="24"/>
      <c r="BA552" s="24"/>
      <c r="BC552" s="24">
        <v>45789.580442673614</v>
      </c>
      <c r="BD552" s="24">
        <v>45789.580442673614</v>
      </c>
      <c r="BE552" s="24">
        <v>45791.570512939812</v>
      </c>
      <c r="BF552" s="24">
        <v>45791.570512939812</v>
      </c>
      <c r="BG552">
        <v>1</v>
      </c>
      <c r="BH552" s="24">
        <v>45763.326755381946</v>
      </c>
      <c r="BI552" s="24">
        <v>45763.326755381946</v>
      </c>
      <c r="BJ552" s="24">
        <v>45763.34201695602</v>
      </c>
      <c r="BK552" s="24">
        <v>45763.34201695602</v>
      </c>
      <c r="BL552">
        <v>1</v>
      </c>
      <c r="BM552" s="24"/>
      <c r="BN552" s="24"/>
      <c r="BO552" s="24"/>
      <c r="BP552" s="24"/>
      <c r="BR552" s="24">
        <v>45789.427807175925</v>
      </c>
      <c r="BS552" s="24">
        <v>45789.427807175925</v>
      </c>
      <c r="BT552" s="24">
        <v>45789.580442673614</v>
      </c>
      <c r="BU552" s="24">
        <v>45789.580442673614</v>
      </c>
      <c r="BV552">
        <v>1</v>
      </c>
      <c r="BW552" s="24"/>
      <c r="BX552" s="24"/>
      <c r="BY552" s="24"/>
      <c r="BZ552" s="24"/>
      <c r="CB552" s="24"/>
      <c r="CC552" s="24"/>
      <c r="CE552" s="24">
        <v>45791.570512939812</v>
      </c>
      <c r="CF552" s="24">
        <v>45791.570512939812</v>
      </c>
      <c r="CG552">
        <v>1</v>
      </c>
      <c r="CH552" s="24"/>
      <c r="CI552" s="24"/>
      <c r="CJ552" s="24"/>
      <c r="CK552" s="24"/>
      <c r="DE552" s="24"/>
      <c r="DF552" s="24"/>
      <c r="DG552" s="24"/>
      <c r="DH552" s="24"/>
      <c r="DJ552" t="s">
        <v>149</v>
      </c>
      <c r="DK552" t="s">
        <v>149</v>
      </c>
      <c r="DM552">
        <v>29</v>
      </c>
      <c r="DN552">
        <v>29</v>
      </c>
      <c r="DQ552" t="s">
        <v>1000</v>
      </c>
      <c r="DR552" t="s">
        <v>149</v>
      </c>
      <c r="DS552" s="24">
        <v>46160.384426226854</v>
      </c>
    </row>
    <row r="553" spans="1:123" x14ac:dyDescent="0.3">
      <c r="A553" t="s">
        <v>803</v>
      </c>
      <c r="D553" t="s">
        <v>223</v>
      </c>
      <c r="E553" s="24">
        <v>45762.346736111111</v>
      </c>
      <c r="G553" t="s">
        <v>90</v>
      </c>
      <c r="H553" t="s">
        <v>155</v>
      </c>
      <c r="I553" s="24"/>
      <c r="J553" s="24"/>
      <c r="K553" s="24"/>
      <c r="L553" s="24"/>
      <c r="N553" s="24"/>
      <c r="O553" s="24"/>
      <c r="P553" s="24"/>
      <c r="Q553" s="24"/>
      <c r="V553" s="24"/>
      <c r="W553" s="24"/>
      <c r="X553" s="24"/>
      <c r="Y553" s="24"/>
      <c r="AA553" s="24">
        <v>45782.361680879629</v>
      </c>
      <c r="AB553" s="24">
        <v>45782.361680879629</v>
      </c>
      <c r="AC553" s="24">
        <v>45790.425376539351</v>
      </c>
      <c r="AD553" s="24">
        <v>45790.425376539351</v>
      </c>
      <c r="AE553">
        <v>1</v>
      </c>
      <c r="AF553" s="24"/>
      <c r="AG553" s="24"/>
      <c r="AH553" s="24"/>
      <c r="AI553" s="24"/>
      <c r="AK553" s="24"/>
      <c r="AL553" s="24"/>
      <c r="AM553" s="24"/>
      <c r="AN553" s="24"/>
      <c r="AP553" s="24"/>
      <c r="AQ553" s="24"/>
      <c r="AR553" s="24">
        <v>45782.361571273148</v>
      </c>
      <c r="AS553" s="24">
        <v>45782.361571273148</v>
      </c>
      <c r="AX553" s="24"/>
      <c r="AY553" s="24"/>
      <c r="AZ553" s="24"/>
      <c r="BA553" s="24"/>
      <c r="BC553" s="24"/>
      <c r="BD553" s="24"/>
      <c r="BE553" s="24"/>
      <c r="BF553" s="24"/>
      <c r="BH553" s="24">
        <v>45782.361571273148</v>
      </c>
      <c r="BI553" s="24">
        <v>45782.361571273148</v>
      </c>
      <c r="BJ553" s="24">
        <v>45782.361680879629</v>
      </c>
      <c r="BK553" s="24">
        <v>45782.361680879629</v>
      </c>
      <c r="BL553">
        <v>1</v>
      </c>
      <c r="BM553" s="24"/>
      <c r="BN553" s="24"/>
      <c r="BO553" s="24"/>
      <c r="BP553" s="24"/>
      <c r="BR553" s="24"/>
      <c r="BS553" s="24"/>
      <c r="BT553" s="24"/>
      <c r="BU553" s="24"/>
      <c r="BW553" s="24"/>
      <c r="BX553" s="24"/>
      <c r="BY553" s="24"/>
      <c r="BZ553" s="24"/>
      <c r="CB553" s="24"/>
      <c r="CC553" s="24"/>
      <c r="CE553" s="24">
        <v>45790.425376539351</v>
      </c>
      <c r="CF553" s="24">
        <v>45790.425376539351</v>
      </c>
      <c r="CG553">
        <v>1</v>
      </c>
      <c r="CH553" s="24"/>
      <c r="CI553" s="24"/>
      <c r="CJ553" s="24"/>
      <c r="CK553" s="24"/>
      <c r="DE553" s="24"/>
      <c r="DF553" s="24"/>
      <c r="DG553" s="24"/>
      <c r="DH553" s="24"/>
      <c r="DJ553" t="s">
        <v>149</v>
      </c>
      <c r="DK553" t="s">
        <v>149</v>
      </c>
      <c r="DM553">
        <v>9</v>
      </c>
      <c r="DN553">
        <v>9</v>
      </c>
      <c r="DQ553" t="s">
        <v>1000</v>
      </c>
      <c r="DR553" t="s">
        <v>149</v>
      </c>
      <c r="DS553" s="24">
        <v>46160.384426226854</v>
      </c>
    </row>
    <row r="554" spans="1:123" x14ac:dyDescent="0.3">
      <c r="A554" t="s">
        <v>804</v>
      </c>
      <c r="D554" t="s">
        <v>225</v>
      </c>
      <c r="E554" s="24">
        <v>45757.597858796296</v>
      </c>
      <c r="G554" t="s">
        <v>102</v>
      </c>
      <c r="H554" t="s">
        <v>154</v>
      </c>
      <c r="I554" s="24"/>
      <c r="J554" s="24"/>
      <c r="K554" s="24"/>
      <c r="L554" s="24"/>
      <c r="N554" s="24"/>
      <c r="O554" s="24"/>
      <c r="P554" s="24"/>
      <c r="Q554" s="24"/>
      <c r="V554" s="24"/>
      <c r="W554" s="24"/>
      <c r="X554" s="24"/>
      <c r="Y554" s="24"/>
      <c r="AA554" s="24"/>
      <c r="AB554" s="24"/>
      <c r="AC554" s="24"/>
      <c r="AD554" s="24"/>
      <c r="AF554" s="24"/>
      <c r="AG554" s="24"/>
      <c r="AH554" s="24"/>
      <c r="AI554" s="24"/>
      <c r="AK554" s="24"/>
      <c r="AL554" s="24"/>
      <c r="AM554" s="24"/>
      <c r="AN554" s="24"/>
      <c r="AP554" s="24"/>
      <c r="AQ554" s="24"/>
      <c r="AR554" s="24"/>
      <c r="AS554" s="24"/>
      <c r="AX554" s="24"/>
      <c r="AY554" s="24"/>
      <c r="AZ554" s="24"/>
      <c r="BA554" s="24"/>
      <c r="BC554" s="24"/>
      <c r="BD554" s="24"/>
      <c r="BE554" s="24"/>
      <c r="BF554" s="24"/>
      <c r="BH554" s="24"/>
      <c r="BI554" s="24"/>
      <c r="BJ554" s="24"/>
      <c r="BK554" s="24"/>
      <c r="BM554" s="24"/>
      <c r="BN554" s="24"/>
      <c r="BO554" s="24"/>
      <c r="BP554" s="24"/>
      <c r="BR554" s="24"/>
      <c r="BS554" s="24"/>
      <c r="BT554" s="24"/>
      <c r="BU554" s="24"/>
      <c r="BW554" s="24"/>
      <c r="BX554" s="24"/>
      <c r="BY554" s="24"/>
      <c r="BZ554" s="24"/>
      <c r="CB554" s="24"/>
      <c r="CC554" s="24"/>
      <c r="CE554" s="24"/>
      <c r="CF554" s="24"/>
      <c r="CH554" s="24"/>
      <c r="CI554" s="24"/>
      <c r="CJ554" s="24"/>
      <c r="CK554" s="24"/>
      <c r="DE554" s="24"/>
      <c r="DF554" s="24"/>
      <c r="DG554" s="24"/>
      <c r="DH554" s="24"/>
      <c r="DJ554" t="s">
        <v>149</v>
      </c>
      <c r="DK554" t="s">
        <v>149</v>
      </c>
      <c r="DQ554" t="s">
        <v>1000</v>
      </c>
      <c r="DR554" t="s">
        <v>149</v>
      </c>
      <c r="DS554" s="24">
        <v>46160.384426226854</v>
      </c>
    </row>
    <row r="555" spans="1:123" x14ac:dyDescent="0.3">
      <c r="A555" t="s">
        <v>805</v>
      </c>
      <c r="D555" t="s">
        <v>225</v>
      </c>
      <c r="E555" s="24">
        <v>45757.596412037034</v>
      </c>
      <c r="G555" t="s">
        <v>102</v>
      </c>
      <c r="H555" t="s">
        <v>154</v>
      </c>
      <c r="I555" s="24"/>
      <c r="J555" s="24"/>
      <c r="K555" s="24"/>
      <c r="L555" s="24"/>
      <c r="N555" s="24"/>
      <c r="O555" s="24"/>
      <c r="P555" s="24"/>
      <c r="Q555" s="24"/>
      <c r="V555" s="24"/>
      <c r="W555" s="24"/>
      <c r="X555" s="24"/>
      <c r="Y555" s="24"/>
      <c r="AA555" s="24"/>
      <c r="AB555" s="24"/>
      <c r="AC555" s="24"/>
      <c r="AD555" s="24"/>
      <c r="AF555" s="24"/>
      <c r="AG555" s="24"/>
      <c r="AH555" s="24"/>
      <c r="AI555" s="24"/>
      <c r="AK555" s="24"/>
      <c r="AL555" s="24"/>
      <c r="AM555" s="24"/>
      <c r="AN555" s="24"/>
      <c r="AP555" s="24"/>
      <c r="AQ555" s="24"/>
      <c r="AR555" s="24"/>
      <c r="AS555" s="24"/>
      <c r="AX555" s="24"/>
      <c r="AY555" s="24"/>
      <c r="AZ555" s="24"/>
      <c r="BA555" s="24"/>
      <c r="BC555" s="24"/>
      <c r="BD555" s="24"/>
      <c r="BE555" s="24"/>
      <c r="BF555" s="24"/>
      <c r="BH555" s="24"/>
      <c r="BI555" s="24"/>
      <c r="BJ555" s="24"/>
      <c r="BK555" s="24"/>
      <c r="BM555" s="24"/>
      <c r="BN555" s="24"/>
      <c r="BO555" s="24"/>
      <c r="BP555" s="24"/>
      <c r="BR555" s="24"/>
      <c r="BS555" s="24"/>
      <c r="BT555" s="24"/>
      <c r="BU555" s="24"/>
      <c r="BW555" s="24"/>
      <c r="BX555" s="24"/>
      <c r="BY555" s="24"/>
      <c r="BZ555" s="24"/>
      <c r="CB555" s="24"/>
      <c r="CC555" s="24"/>
      <c r="CE555" s="24"/>
      <c r="CF555" s="24"/>
      <c r="CH555" s="24"/>
      <c r="CI555" s="24"/>
      <c r="CJ555" s="24"/>
      <c r="CK555" s="24"/>
      <c r="DE555" s="24"/>
      <c r="DF555" s="24"/>
      <c r="DG555" s="24"/>
      <c r="DH555" s="24"/>
      <c r="DJ555" t="s">
        <v>149</v>
      </c>
      <c r="DK555" t="s">
        <v>149</v>
      </c>
      <c r="DQ555" t="s">
        <v>1000</v>
      </c>
      <c r="DR555" t="s">
        <v>149</v>
      </c>
      <c r="DS555" s="24">
        <v>46160.384426226854</v>
      </c>
    </row>
    <row r="556" spans="1:123" x14ac:dyDescent="0.3">
      <c r="A556" t="s">
        <v>806</v>
      </c>
      <c r="D556" t="s">
        <v>225</v>
      </c>
      <c r="E556" s="24">
        <v>45757.594097222223</v>
      </c>
      <c r="G556" t="s">
        <v>102</v>
      </c>
      <c r="H556" t="s">
        <v>154</v>
      </c>
      <c r="I556" s="24"/>
      <c r="J556" s="24"/>
      <c r="K556" s="24"/>
      <c r="L556" s="24"/>
      <c r="N556" s="24"/>
      <c r="O556" s="24"/>
      <c r="P556" s="24"/>
      <c r="Q556" s="24"/>
      <c r="V556" s="24"/>
      <c r="W556" s="24"/>
      <c r="X556" s="24"/>
      <c r="Y556" s="24"/>
      <c r="AA556" s="24"/>
      <c r="AB556" s="24"/>
      <c r="AC556" s="24"/>
      <c r="AD556" s="24"/>
      <c r="AF556" s="24"/>
      <c r="AG556" s="24"/>
      <c r="AH556" s="24"/>
      <c r="AI556" s="24"/>
      <c r="AK556" s="24"/>
      <c r="AL556" s="24"/>
      <c r="AM556" s="24"/>
      <c r="AN556" s="24"/>
      <c r="AP556" s="24"/>
      <c r="AQ556" s="24"/>
      <c r="AR556" s="24"/>
      <c r="AS556" s="24"/>
      <c r="AX556" s="24"/>
      <c r="AY556" s="24"/>
      <c r="AZ556" s="24"/>
      <c r="BA556" s="24"/>
      <c r="BC556" s="24"/>
      <c r="BD556" s="24"/>
      <c r="BE556" s="24"/>
      <c r="BF556" s="24"/>
      <c r="BH556" s="24"/>
      <c r="BI556" s="24"/>
      <c r="BJ556" s="24"/>
      <c r="BK556" s="24"/>
      <c r="BM556" s="24"/>
      <c r="BN556" s="24"/>
      <c r="BO556" s="24"/>
      <c r="BP556" s="24"/>
      <c r="BR556" s="24"/>
      <c r="BS556" s="24"/>
      <c r="BT556" s="24"/>
      <c r="BU556" s="24"/>
      <c r="BW556" s="24"/>
      <c r="BX556" s="24"/>
      <c r="BY556" s="24"/>
      <c r="BZ556" s="24"/>
      <c r="CB556" s="24"/>
      <c r="CC556" s="24"/>
      <c r="CE556" s="24"/>
      <c r="CF556" s="24"/>
      <c r="CH556" s="24"/>
      <c r="CI556" s="24"/>
      <c r="CJ556" s="24"/>
      <c r="CK556" s="24"/>
      <c r="DE556" s="24"/>
      <c r="DF556" s="24"/>
      <c r="DG556" s="24"/>
      <c r="DH556" s="24"/>
      <c r="DJ556" t="s">
        <v>149</v>
      </c>
      <c r="DK556" t="s">
        <v>149</v>
      </c>
      <c r="DQ556" t="s">
        <v>1000</v>
      </c>
      <c r="DR556" t="s">
        <v>149</v>
      </c>
      <c r="DS556" s="24">
        <v>46160.384426226854</v>
      </c>
    </row>
    <row r="557" spans="1:123" x14ac:dyDescent="0.3">
      <c r="A557" t="s">
        <v>807</v>
      </c>
      <c r="D557" t="s">
        <v>225</v>
      </c>
      <c r="E557" s="24">
        <v>45757.586365740739</v>
      </c>
      <c r="G557" t="s">
        <v>102</v>
      </c>
      <c r="H557" t="s">
        <v>154</v>
      </c>
      <c r="I557" s="24"/>
      <c r="J557" s="24"/>
      <c r="K557" s="24"/>
      <c r="L557" s="24"/>
      <c r="N557" s="24"/>
      <c r="O557" s="24"/>
      <c r="P557" s="24"/>
      <c r="Q557" s="24"/>
      <c r="V557" s="24"/>
      <c r="W557" s="24"/>
      <c r="X557" s="24"/>
      <c r="Y557" s="24"/>
      <c r="AA557" s="24"/>
      <c r="AB557" s="24"/>
      <c r="AC557" s="24"/>
      <c r="AD557" s="24"/>
      <c r="AF557" s="24"/>
      <c r="AG557" s="24"/>
      <c r="AH557" s="24"/>
      <c r="AI557" s="24"/>
      <c r="AK557" s="24"/>
      <c r="AL557" s="24"/>
      <c r="AM557" s="24"/>
      <c r="AN557" s="24"/>
      <c r="AP557" s="24"/>
      <c r="AQ557" s="24"/>
      <c r="AR557" s="24"/>
      <c r="AS557" s="24"/>
      <c r="AX557" s="24"/>
      <c r="AY557" s="24"/>
      <c r="AZ557" s="24"/>
      <c r="BA557" s="24"/>
      <c r="BC557" s="24"/>
      <c r="BD557" s="24"/>
      <c r="BE557" s="24"/>
      <c r="BF557" s="24"/>
      <c r="BH557" s="24"/>
      <c r="BI557" s="24"/>
      <c r="BJ557" s="24"/>
      <c r="BK557" s="24"/>
      <c r="BM557" s="24"/>
      <c r="BN557" s="24"/>
      <c r="BO557" s="24"/>
      <c r="BP557" s="24"/>
      <c r="BR557" s="24"/>
      <c r="BS557" s="24"/>
      <c r="BT557" s="24"/>
      <c r="BU557" s="24"/>
      <c r="BW557" s="24"/>
      <c r="BX557" s="24"/>
      <c r="BY557" s="24"/>
      <c r="BZ557" s="24"/>
      <c r="CB557" s="24"/>
      <c r="CC557" s="24"/>
      <c r="CE557" s="24"/>
      <c r="CF557" s="24"/>
      <c r="CH557" s="24"/>
      <c r="CI557" s="24"/>
      <c r="CJ557" s="24"/>
      <c r="CK557" s="24"/>
      <c r="DE557" s="24"/>
      <c r="DF557" s="24"/>
      <c r="DG557" s="24"/>
      <c r="DH557" s="24"/>
      <c r="DJ557" t="s">
        <v>149</v>
      </c>
      <c r="DK557" t="s">
        <v>149</v>
      </c>
      <c r="DQ557" t="s">
        <v>1000</v>
      </c>
      <c r="DR557" t="s">
        <v>149</v>
      </c>
      <c r="DS557" s="24">
        <v>46160.384426226854</v>
      </c>
    </row>
    <row r="558" spans="1:123" x14ac:dyDescent="0.3">
      <c r="A558" t="s">
        <v>808</v>
      </c>
      <c r="D558" t="s">
        <v>225</v>
      </c>
      <c r="E558" s="24">
        <v>45757.487037037034</v>
      </c>
      <c r="G558" t="s">
        <v>150</v>
      </c>
      <c r="H558" t="s">
        <v>155</v>
      </c>
      <c r="I558" s="24"/>
      <c r="J558" s="24"/>
      <c r="K558" s="24"/>
      <c r="L558" s="24"/>
      <c r="N558" s="24"/>
      <c r="O558" s="24"/>
      <c r="P558" s="24"/>
      <c r="Q558" s="24"/>
      <c r="V558" s="24"/>
      <c r="W558" s="24"/>
      <c r="X558" s="24"/>
      <c r="Y558" s="24"/>
      <c r="AA558" s="24"/>
      <c r="AB558" s="24"/>
      <c r="AC558" s="24"/>
      <c r="AD558" s="24"/>
      <c r="AF558" s="24"/>
      <c r="AG558" s="24"/>
      <c r="AH558" s="24"/>
      <c r="AI558" s="24"/>
      <c r="AK558" s="24"/>
      <c r="AL558" s="24"/>
      <c r="AM558" s="24"/>
      <c r="AN558" s="24"/>
      <c r="AP558" s="24"/>
      <c r="AQ558" s="24"/>
      <c r="AR558" s="24">
        <v>45995.568892939817</v>
      </c>
      <c r="AS558" s="24">
        <v>45995.568892939817</v>
      </c>
      <c r="AX558" s="24"/>
      <c r="AY558" s="24"/>
      <c r="AZ558" s="24"/>
      <c r="BA558" s="24"/>
      <c r="BC558" s="24"/>
      <c r="BD558" s="24"/>
      <c r="BE558" s="24"/>
      <c r="BF558" s="24"/>
      <c r="BH558" s="24"/>
      <c r="BI558" s="24"/>
      <c r="BJ558" s="24"/>
      <c r="BK558" s="24"/>
      <c r="BM558" s="24"/>
      <c r="BN558" s="24"/>
      <c r="BO558" s="24"/>
      <c r="BP558" s="24"/>
      <c r="BR558" s="24"/>
      <c r="BS558" s="24"/>
      <c r="BT558" s="24"/>
      <c r="BU558" s="24"/>
      <c r="BW558" s="24"/>
      <c r="BX558" s="24"/>
      <c r="BY558" s="24"/>
      <c r="BZ558" s="24"/>
      <c r="CB558" s="24">
        <v>45995.568892939817</v>
      </c>
      <c r="CC558" s="24">
        <v>45995.568892939817</v>
      </c>
      <c r="CD558">
        <v>1</v>
      </c>
      <c r="CE558" s="24"/>
      <c r="CF558" s="24"/>
      <c r="CH558" s="24"/>
      <c r="CI558" s="24"/>
      <c r="CJ558" s="24"/>
      <c r="CK558" s="24"/>
      <c r="DE558" s="24"/>
      <c r="DF558" s="24"/>
      <c r="DG558" s="24"/>
      <c r="DH558" s="24"/>
      <c r="DJ558" t="s">
        <v>149</v>
      </c>
      <c r="DK558" t="s">
        <v>149</v>
      </c>
      <c r="DQ558" t="s">
        <v>1000</v>
      </c>
      <c r="DR558" t="s">
        <v>149</v>
      </c>
      <c r="DS558" s="24">
        <v>46160.384426226854</v>
      </c>
    </row>
    <row r="559" spans="1:123" x14ac:dyDescent="0.3">
      <c r="A559" t="s">
        <v>809</v>
      </c>
      <c r="D559" t="s">
        <v>225</v>
      </c>
      <c r="E559" s="24">
        <v>45757.437881944446</v>
      </c>
      <c r="G559" t="s">
        <v>90</v>
      </c>
      <c r="H559" t="s">
        <v>155</v>
      </c>
      <c r="I559" s="24"/>
      <c r="J559" s="24"/>
      <c r="K559" s="24"/>
      <c r="L559" s="24"/>
      <c r="N559" s="24"/>
      <c r="O559" s="24"/>
      <c r="P559" s="24"/>
      <c r="Q559" s="24"/>
      <c r="V559" s="24"/>
      <c r="W559" s="24"/>
      <c r="X559" s="24"/>
      <c r="Y559" s="24"/>
      <c r="AA559" s="24">
        <v>45782.486019618053</v>
      </c>
      <c r="AB559" s="24">
        <v>45782.486019618053</v>
      </c>
      <c r="AC559" s="24">
        <v>45789.592819710648</v>
      </c>
      <c r="AD559" s="24">
        <v>45789.592819710648</v>
      </c>
      <c r="AE559">
        <v>1</v>
      </c>
      <c r="AF559" s="24"/>
      <c r="AG559" s="24"/>
      <c r="AH559" s="24"/>
      <c r="AI559" s="24"/>
      <c r="AK559" s="24"/>
      <c r="AL559" s="24"/>
      <c r="AM559" s="24"/>
      <c r="AN559" s="24"/>
      <c r="AP559" s="24">
        <v>45771.566972094908</v>
      </c>
      <c r="AQ559" s="24">
        <v>45771.566972094908</v>
      </c>
      <c r="AR559" s="24">
        <v>45776.466032997683</v>
      </c>
      <c r="AS559" s="24">
        <v>45776.466032997683</v>
      </c>
      <c r="AT559">
        <v>1</v>
      </c>
      <c r="AX559" s="24"/>
      <c r="AY559" s="24"/>
      <c r="AZ559" s="24"/>
      <c r="BA559" s="24"/>
      <c r="BC559" s="24">
        <v>45789.595442268517</v>
      </c>
      <c r="BD559" s="24">
        <v>45789.595442268517</v>
      </c>
      <c r="BE559" s="24">
        <v>45791.570517997687</v>
      </c>
      <c r="BF559" s="24">
        <v>45791.570517997687</v>
      </c>
      <c r="BG559">
        <v>1</v>
      </c>
      <c r="BH559" s="24">
        <v>45776.466032997683</v>
      </c>
      <c r="BI559" s="24">
        <v>45776.466032997683</v>
      </c>
      <c r="BJ559" s="24">
        <v>45782.486019618053</v>
      </c>
      <c r="BK559" s="24">
        <v>45782.486019618053</v>
      </c>
      <c r="BL559">
        <v>1</v>
      </c>
      <c r="BM559" s="24"/>
      <c r="BN559" s="24"/>
      <c r="BO559" s="24"/>
      <c r="BP559" s="24"/>
      <c r="BR559" s="24">
        <v>45789.592819710648</v>
      </c>
      <c r="BS559" s="24">
        <v>45789.592819710648</v>
      </c>
      <c r="BT559" s="24">
        <v>45789.595442268517</v>
      </c>
      <c r="BU559" s="24">
        <v>45789.595442268517</v>
      </c>
      <c r="BV559">
        <v>1</v>
      </c>
      <c r="BW559" s="24"/>
      <c r="BX559" s="24"/>
      <c r="BY559" s="24"/>
      <c r="BZ559" s="24"/>
      <c r="CB559" s="24"/>
      <c r="CC559" s="24"/>
      <c r="CE559" s="24">
        <v>45791.570517997687</v>
      </c>
      <c r="CF559" s="24">
        <v>45791.570517997687</v>
      </c>
      <c r="CG559">
        <v>1</v>
      </c>
      <c r="CH559" s="24"/>
      <c r="CI559" s="24"/>
      <c r="CJ559" s="24"/>
      <c r="CK559" s="24"/>
      <c r="DE559" s="24"/>
      <c r="DF559" s="24"/>
      <c r="DG559" s="24"/>
      <c r="DH559" s="24"/>
      <c r="DJ559" t="s">
        <v>149</v>
      </c>
      <c r="DK559" t="s">
        <v>149</v>
      </c>
      <c r="DM559">
        <v>16</v>
      </c>
      <c r="DN559">
        <v>10</v>
      </c>
      <c r="DQ559" t="s">
        <v>1000</v>
      </c>
      <c r="DR559" t="s">
        <v>149</v>
      </c>
      <c r="DS559" s="24">
        <v>46160.384426226854</v>
      </c>
    </row>
    <row r="560" spans="1:123" x14ac:dyDescent="0.3">
      <c r="A560" t="s">
        <v>810</v>
      </c>
      <c r="D560" t="s">
        <v>223</v>
      </c>
      <c r="E560" s="24">
        <v>45757.389861111114</v>
      </c>
      <c r="G560" t="s">
        <v>90</v>
      </c>
      <c r="H560" t="s">
        <v>155</v>
      </c>
      <c r="I560" s="24"/>
      <c r="J560" s="24"/>
      <c r="K560" s="24"/>
      <c r="L560" s="24"/>
      <c r="N560" s="24"/>
      <c r="O560" s="24"/>
      <c r="P560" s="24"/>
      <c r="Q560" s="24"/>
      <c r="V560" s="24"/>
      <c r="W560" s="24"/>
      <c r="X560" s="24"/>
      <c r="Y560" s="24"/>
      <c r="AA560" s="24">
        <v>45782.455681226849</v>
      </c>
      <c r="AB560" s="24">
        <v>45782.455681226849</v>
      </c>
      <c r="AC560" s="24">
        <v>45785.391924039352</v>
      </c>
      <c r="AD560" s="24">
        <v>45785.391924039352</v>
      </c>
      <c r="AE560">
        <v>1</v>
      </c>
      <c r="AF560" s="24">
        <v>45785.391924039352</v>
      </c>
      <c r="AG560" s="24">
        <v>45785.391924039352</v>
      </c>
      <c r="AH560" s="24">
        <v>45785.495591469909</v>
      </c>
      <c r="AI560" s="24">
        <v>45785.495591469909</v>
      </c>
      <c r="AJ560">
        <v>1</v>
      </c>
      <c r="AK560" s="24"/>
      <c r="AL560" s="24"/>
      <c r="AM560" s="24"/>
      <c r="AN560" s="24"/>
      <c r="AP560" s="24"/>
      <c r="AQ560" s="24"/>
      <c r="AR560" s="24">
        <v>45775.490214780089</v>
      </c>
      <c r="AS560" s="24">
        <v>45775.490214780089</v>
      </c>
      <c r="AX560" s="24"/>
      <c r="AY560" s="24"/>
      <c r="AZ560" s="24"/>
      <c r="BA560" s="24"/>
      <c r="BC560" s="24"/>
      <c r="BD560" s="24"/>
      <c r="BE560" s="24"/>
      <c r="BF560" s="24"/>
      <c r="BH560" s="24">
        <v>45775.490214780089</v>
      </c>
      <c r="BI560" s="24">
        <v>45775.490214780089</v>
      </c>
      <c r="BJ560" s="24">
        <v>45782.455681226849</v>
      </c>
      <c r="BK560" s="24">
        <v>45782.455681226849</v>
      </c>
      <c r="BL560">
        <v>1</v>
      </c>
      <c r="BM560" s="24"/>
      <c r="BN560" s="24"/>
      <c r="BO560" s="24"/>
      <c r="BP560" s="24"/>
      <c r="BR560" s="24">
        <v>45785.495591469909</v>
      </c>
      <c r="BS560" s="24">
        <v>45785.495591469909</v>
      </c>
      <c r="BT560" s="24">
        <v>45785.495785081017</v>
      </c>
      <c r="BU560" s="24">
        <v>45785.495785081017</v>
      </c>
      <c r="BV560">
        <v>1</v>
      </c>
      <c r="BW560" s="24"/>
      <c r="BX560" s="24"/>
      <c r="BY560" s="24"/>
      <c r="BZ560" s="24"/>
      <c r="CB560" s="24"/>
      <c r="CC560" s="24"/>
      <c r="CE560" s="24">
        <v>45785.495785081017</v>
      </c>
      <c r="CF560" s="24">
        <v>45785.495785081017</v>
      </c>
      <c r="CG560">
        <v>1</v>
      </c>
      <c r="CH560" s="24"/>
      <c r="CI560" s="24"/>
      <c r="CJ560" s="24"/>
      <c r="CK560" s="24"/>
      <c r="DE560" s="24"/>
      <c r="DF560" s="24"/>
      <c r="DG560" s="24"/>
      <c r="DH560" s="24"/>
      <c r="DJ560" t="s">
        <v>149</v>
      </c>
      <c r="DK560" t="s">
        <v>149</v>
      </c>
      <c r="DM560">
        <v>11</v>
      </c>
      <c r="DN560">
        <v>4</v>
      </c>
      <c r="DQ560" t="s">
        <v>1000</v>
      </c>
      <c r="DR560" t="s">
        <v>149</v>
      </c>
      <c r="DS560" s="24">
        <v>46160.384426226854</v>
      </c>
    </row>
    <row r="561" spans="1:123" x14ac:dyDescent="0.3">
      <c r="A561" t="s">
        <v>811</v>
      </c>
      <c r="D561" t="s">
        <v>223</v>
      </c>
      <c r="E561" s="24">
        <v>45756.588020833333</v>
      </c>
      <c r="G561" t="s">
        <v>90</v>
      </c>
      <c r="H561" t="s">
        <v>155</v>
      </c>
      <c r="I561" s="24"/>
      <c r="J561" s="24"/>
      <c r="K561" s="24"/>
      <c r="L561" s="24"/>
      <c r="N561" s="24"/>
      <c r="O561" s="24"/>
      <c r="P561" s="24"/>
      <c r="Q561" s="24"/>
      <c r="V561" s="24"/>
      <c r="W561" s="24"/>
      <c r="X561" s="24"/>
      <c r="Y561" s="24"/>
      <c r="AA561" s="24">
        <v>45789.511372361114</v>
      </c>
      <c r="AB561" s="24">
        <v>45789.511372361114</v>
      </c>
      <c r="AC561" s="24">
        <v>45803.358055416669</v>
      </c>
      <c r="AD561" s="24">
        <v>45803.358055416669</v>
      </c>
      <c r="AE561">
        <v>1</v>
      </c>
      <c r="AF561" s="24">
        <v>45803.358055416669</v>
      </c>
      <c r="AG561" s="24">
        <v>45803.358055416669</v>
      </c>
      <c r="AH561" s="24">
        <v>45803.358191331019</v>
      </c>
      <c r="AI561" s="24">
        <v>45803.358191331019</v>
      </c>
      <c r="AJ561">
        <v>1</v>
      </c>
      <c r="AK561" s="24"/>
      <c r="AL561" s="24"/>
      <c r="AM561" s="24"/>
      <c r="AN561" s="24"/>
      <c r="AP561" s="24"/>
      <c r="AQ561" s="24"/>
      <c r="AR561" s="24">
        <v>45789.511241053238</v>
      </c>
      <c r="AS561" s="24">
        <v>45789.511241053238</v>
      </c>
      <c r="AX561" s="24"/>
      <c r="AY561" s="24"/>
      <c r="AZ561" s="24"/>
      <c r="BA561" s="24"/>
      <c r="BC561" s="24"/>
      <c r="BD561" s="24"/>
      <c r="BE561" s="24"/>
      <c r="BF561" s="24"/>
      <c r="BH561" s="24">
        <v>45789.511241053238</v>
      </c>
      <c r="BI561" s="24">
        <v>45789.511241053238</v>
      </c>
      <c r="BJ561" s="24">
        <v>45789.511372361114</v>
      </c>
      <c r="BK561" s="24">
        <v>45789.511372361114</v>
      </c>
      <c r="BL561">
        <v>1</v>
      </c>
      <c r="BM561" s="24"/>
      <c r="BN561" s="24"/>
      <c r="BO561" s="24"/>
      <c r="BP561" s="24"/>
      <c r="BR561" s="24">
        <v>45803.358191331019</v>
      </c>
      <c r="BS561" s="24">
        <v>45803.358191331019</v>
      </c>
      <c r="BT561" s="24">
        <v>45803.402318680557</v>
      </c>
      <c r="BU561" s="24">
        <v>45803.402318680557</v>
      </c>
      <c r="BV561">
        <v>1</v>
      </c>
      <c r="BW561" s="24"/>
      <c r="BX561" s="24"/>
      <c r="BY561" s="24"/>
      <c r="BZ561" s="24"/>
      <c r="CB561" s="24"/>
      <c r="CC561" s="24"/>
      <c r="CE561" s="24">
        <v>45803.402318680557</v>
      </c>
      <c r="CF561" s="24">
        <v>45803.402318680557</v>
      </c>
      <c r="CG561">
        <v>1</v>
      </c>
      <c r="CH561" s="24"/>
      <c r="CI561" s="24"/>
      <c r="CJ561" s="24"/>
      <c r="CK561" s="24"/>
      <c r="DE561" s="24"/>
      <c r="DF561" s="24"/>
      <c r="DG561" s="24"/>
      <c r="DH561" s="24"/>
      <c r="DJ561" t="s">
        <v>149</v>
      </c>
      <c r="DK561" t="s">
        <v>149</v>
      </c>
      <c r="DM561">
        <v>14</v>
      </c>
      <c r="DN561">
        <v>14</v>
      </c>
      <c r="DQ561" t="s">
        <v>1000</v>
      </c>
      <c r="DR561" t="s">
        <v>149</v>
      </c>
      <c r="DS561" s="24">
        <v>46160.384426226854</v>
      </c>
    </row>
    <row r="562" spans="1:123" x14ac:dyDescent="0.3">
      <c r="A562" t="s">
        <v>812</v>
      </c>
      <c r="D562" t="s">
        <v>223</v>
      </c>
      <c r="E562" s="24">
        <v>45755.598020833335</v>
      </c>
      <c r="G562" t="s">
        <v>90</v>
      </c>
      <c r="H562" t="s">
        <v>155</v>
      </c>
      <c r="I562" s="24"/>
      <c r="J562" s="24"/>
      <c r="K562" s="24"/>
      <c r="L562" s="24"/>
      <c r="N562" s="24">
        <v>45825.457245868056</v>
      </c>
      <c r="O562" s="24">
        <v>45825.457245868056</v>
      </c>
      <c r="P562" s="24">
        <v>45826.386393078705</v>
      </c>
      <c r="Q562" s="24">
        <v>45826.386393078705</v>
      </c>
      <c r="R562">
        <v>1</v>
      </c>
      <c r="V562" s="24"/>
      <c r="W562" s="24"/>
      <c r="X562" s="24"/>
      <c r="Y562" s="24"/>
      <c r="AA562" s="24">
        <v>45826.386393078705</v>
      </c>
      <c r="AB562" s="24">
        <v>45820.668042407407</v>
      </c>
      <c r="AC562" s="24">
        <v>45825.457245868056</v>
      </c>
      <c r="AD562" s="24">
        <v>45826.386464224539</v>
      </c>
      <c r="AE562">
        <v>2</v>
      </c>
      <c r="AF562" s="24"/>
      <c r="AG562" s="24"/>
      <c r="AH562" s="24"/>
      <c r="AI562" s="24"/>
      <c r="AK562" s="24"/>
      <c r="AL562" s="24"/>
      <c r="AM562" s="24"/>
      <c r="AN562" s="24"/>
      <c r="AP562" s="24"/>
      <c r="AQ562" s="24"/>
      <c r="AR562" s="24">
        <v>45805.489204745369</v>
      </c>
      <c r="AS562" s="24">
        <v>45805.489204745369</v>
      </c>
      <c r="AX562" s="24"/>
      <c r="AY562" s="24"/>
      <c r="AZ562" s="24"/>
      <c r="BA562" s="24"/>
      <c r="BC562" s="24"/>
      <c r="BD562" s="24"/>
      <c r="BE562" s="24"/>
      <c r="BF562" s="24"/>
      <c r="BH562" s="24">
        <v>45805.489204745369</v>
      </c>
      <c r="BI562" s="24">
        <v>45805.489204745369</v>
      </c>
      <c r="BJ562" s="24">
        <v>45820.668042407407</v>
      </c>
      <c r="BK562" s="24">
        <v>45820.668042407407</v>
      </c>
      <c r="BL562">
        <v>1</v>
      </c>
      <c r="BM562" s="24"/>
      <c r="BN562" s="24"/>
      <c r="BO562" s="24"/>
      <c r="BP562" s="24"/>
      <c r="BR562" s="24"/>
      <c r="BS562" s="24"/>
      <c r="BT562" s="24"/>
      <c r="BU562" s="24"/>
      <c r="BW562" s="24"/>
      <c r="BX562" s="24"/>
      <c r="BY562" s="24"/>
      <c r="BZ562" s="24"/>
      <c r="CB562" s="24"/>
      <c r="CC562" s="24"/>
      <c r="CE562" s="24">
        <v>45826.386464224539</v>
      </c>
      <c r="CF562" s="24">
        <v>45826.386464224539</v>
      </c>
      <c r="CG562">
        <v>1</v>
      </c>
      <c r="CH562" s="24"/>
      <c r="CI562" s="24"/>
      <c r="CJ562" s="24"/>
      <c r="CK562" s="24"/>
      <c r="DE562" s="24"/>
      <c r="DF562" s="24"/>
      <c r="DG562" s="24"/>
      <c r="DH562" s="24"/>
      <c r="DJ562" t="s">
        <v>149</v>
      </c>
      <c r="DK562" t="s">
        <v>149</v>
      </c>
      <c r="DL562">
        <v>0.92914710648148147</v>
      </c>
      <c r="DM562">
        <v>21</v>
      </c>
      <c r="DN562">
        <v>6</v>
      </c>
      <c r="DQ562" t="s">
        <v>1000</v>
      </c>
      <c r="DR562" t="s">
        <v>149</v>
      </c>
      <c r="DS562" s="24">
        <v>46160.384426226854</v>
      </c>
    </row>
    <row r="563" spans="1:123" x14ac:dyDescent="0.3">
      <c r="A563" t="s">
        <v>813</v>
      </c>
      <c r="D563" t="s">
        <v>225</v>
      </c>
      <c r="E563" s="24">
        <v>45755.597615740742</v>
      </c>
      <c r="G563" t="s">
        <v>90</v>
      </c>
      <c r="H563" t="s">
        <v>155</v>
      </c>
      <c r="I563" s="24"/>
      <c r="J563" s="24"/>
      <c r="K563" s="24"/>
      <c r="L563" s="24"/>
      <c r="N563" s="24"/>
      <c r="O563" s="24"/>
      <c r="P563" s="24"/>
      <c r="Q563" s="24"/>
      <c r="V563" s="24"/>
      <c r="W563" s="24"/>
      <c r="X563" s="24"/>
      <c r="Y563" s="24"/>
      <c r="AA563" s="24">
        <v>45831.392180243056</v>
      </c>
      <c r="AB563" s="24">
        <v>45831.392180243056</v>
      </c>
      <c r="AC563" s="24">
        <v>45831.767780300928</v>
      </c>
      <c r="AD563" s="24">
        <v>45831.767780300928</v>
      </c>
      <c r="AE563">
        <v>1</v>
      </c>
      <c r="AF563" s="24"/>
      <c r="AG563" s="24"/>
      <c r="AH563" s="24"/>
      <c r="AI563" s="24"/>
      <c r="AK563" s="24"/>
      <c r="AL563" s="24"/>
      <c r="AM563" s="24"/>
      <c r="AN563" s="24"/>
      <c r="AP563" s="24"/>
      <c r="AQ563" s="24"/>
      <c r="AR563" s="24">
        <v>45818.614973518517</v>
      </c>
      <c r="AS563" s="24">
        <v>45818.614973518517</v>
      </c>
      <c r="AX563" s="24"/>
      <c r="AY563" s="24"/>
      <c r="AZ563" s="24"/>
      <c r="BA563" s="24"/>
      <c r="BC563" s="24">
        <v>45833.404100879627</v>
      </c>
      <c r="BD563" s="24">
        <v>45833.404100879627</v>
      </c>
      <c r="BE563" s="24">
        <v>45846.411207708334</v>
      </c>
      <c r="BF563" s="24">
        <v>45846.411207708334</v>
      </c>
      <c r="BG563">
        <v>1</v>
      </c>
      <c r="BH563" s="24">
        <v>45818.614973518517</v>
      </c>
      <c r="BI563" s="24">
        <v>45818.614973518517</v>
      </c>
      <c r="BJ563" s="24">
        <v>45831.392180243056</v>
      </c>
      <c r="BK563" s="24">
        <v>45831.392180243056</v>
      </c>
      <c r="BL563">
        <v>1</v>
      </c>
      <c r="BM563" s="24"/>
      <c r="BN563" s="24"/>
      <c r="BO563" s="24"/>
      <c r="BP563" s="24"/>
      <c r="BR563" s="24">
        <v>45831.767780300928</v>
      </c>
      <c r="BS563" s="24">
        <v>45831.767780300928</v>
      </c>
      <c r="BT563" s="24">
        <v>45833.404100879627</v>
      </c>
      <c r="BU563" s="24">
        <v>45833.404100879627</v>
      </c>
      <c r="BV563">
        <v>1</v>
      </c>
      <c r="BW563" s="24"/>
      <c r="BX563" s="24"/>
      <c r="BY563" s="24"/>
      <c r="BZ563" s="24"/>
      <c r="CB563" s="24"/>
      <c r="CC563" s="24"/>
      <c r="CE563" s="24">
        <v>45846.411207708334</v>
      </c>
      <c r="CF563" s="24">
        <v>45846.411207708334</v>
      </c>
      <c r="CG563">
        <v>1</v>
      </c>
      <c r="CH563" s="24"/>
      <c r="CI563" s="24"/>
      <c r="CJ563" s="24"/>
      <c r="CK563" s="24"/>
      <c r="DE563" s="24"/>
      <c r="DF563" s="24"/>
      <c r="DG563" s="24"/>
      <c r="DH563" s="24"/>
      <c r="DJ563" t="s">
        <v>149</v>
      </c>
      <c r="DK563" t="s">
        <v>149</v>
      </c>
      <c r="DM563">
        <v>28</v>
      </c>
      <c r="DN563">
        <v>16</v>
      </c>
      <c r="DQ563" t="s">
        <v>1000</v>
      </c>
      <c r="DR563" t="s">
        <v>149</v>
      </c>
      <c r="DS563" s="24">
        <v>46160.384426226854</v>
      </c>
    </row>
    <row r="564" spans="1:123" x14ac:dyDescent="0.3">
      <c r="A564" t="s">
        <v>814</v>
      </c>
      <c r="D564" t="s">
        <v>223</v>
      </c>
      <c r="E564" s="24">
        <v>45755.430567129632</v>
      </c>
      <c r="G564" t="s">
        <v>90</v>
      </c>
      <c r="H564" t="s">
        <v>155</v>
      </c>
      <c r="I564" s="24"/>
      <c r="J564" s="24"/>
      <c r="K564" s="24"/>
      <c r="L564" s="24"/>
      <c r="N564" s="24">
        <v>45771.436016203705</v>
      </c>
      <c r="O564" s="24">
        <v>45756.425218611112</v>
      </c>
      <c r="P564" s="24">
        <v>45771.344620185184</v>
      </c>
      <c r="Q564" s="24">
        <v>45789.464773194442</v>
      </c>
      <c r="R564">
        <v>2</v>
      </c>
      <c r="V564" s="24"/>
      <c r="W564" s="24"/>
      <c r="X564" s="24"/>
      <c r="Y564" s="24"/>
      <c r="AA564" s="24">
        <v>45789.464773194442</v>
      </c>
      <c r="AB564" s="24">
        <v>45755.434419803241</v>
      </c>
      <c r="AC564" s="24">
        <v>45756.425218611112</v>
      </c>
      <c r="AD564" s="24">
        <v>45789.468140636571</v>
      </c>
      <c r="AE564">
        <v>3</v>
      </c>
      <c r="AF564" s="24"/>
      <c r="AG564" s="24"/>
      <c r="AH564" s="24"/>
      <c r="AI564" s="24"/>
      <c r="AK564" s="24"/>
      <c r="AL564" s="24"/>
      <c r="AM564" s="24"/>
      <c r="AN564" s="24"/>
      <c r="AP564" s="24"/>
      <c r="AQ564" s="24"/>
      <c r="AR564" s="24">
        <v>45755.434372430558</v>
      </c>
      <c r="AS564" s="24">
        <v>45755.434372430558</v>
      </c>
      <c r="AX564" s="24"/>
      <c r="AY564" s="24"/>
      <c r="AZ564" s="24"/>
      <c r="BA564" s="24"/>
      <c r="BC564" s="24"/>
      <c r="BD564" s="24"/>
      <c r="BE564" s="24"/>
      <c r="BF564" s="24"/>
      <c r="BH564" s="24">
        <v>45755.434372430558</v>
      </c>
      <c r="BI564" s="24">
        <v>45755.434372430558</v>
      </c>
      <c r="BJ564" s="24">
        <v>45755.434419803241</v>
      </c>
      <c r="BK564" s="24">
        <v>45755.434419803241</v>
      </c>
      <c r="BL564">
        <v>1</v>
      </c>
      <c r="BM564" s="24"/>
      <c r="BN564" s="24"/>
      <c r="BO564" s="24"/>
      <c r="BP564" s="24"/>
      <c r="BR564" s="24">
        <v>45789.468140636571</v>
      </c>
      <c r="BS564" s="24">
        <v>45789.468140636571</v>
      </c>
      <c r="BT564" s="24">
        <v>45789.58023550926</v>
      </c>
      <c r="BU564" s="24">
        <v>45789.58023550926</v>
      </c>
      <c r="BV564">
        <v>1</v>
      </c>
      <c r="BW564" s="24"/>
      <c r="BX564" s="24"/>
      <c r="BY564" s="24"/>
      <c r="BZ564" s="24"/>
      <c r="CB564" s="24"/>
      <c r="CC564" s="24"/>
      <c r="CE564" s="24">
        <v>45789.58023550926</v>
      </c>
      <c r="CF564" s="24">
        <v>45789.58023550926</v>
      </c>
      <c r="CG564">
        <v>1</v>
      </c>
      <c r="CH564" s="24"/>
      <c r="CI564" s="24"/>
      <c r="CJ564" s="24"/>
      <c r="CK564" s="24"/>
      <c r="DE564" s="24"/>
      <c r="DF564" s="24"/>
      <c r="DG564" s="24"/>
      <c r="DH564" s="24"/>
      <c r="DJ564" t="s">
        <v>149</v>
      </c>
      <c r="DK564" t="s">
        <v>149</v>
      </c>
      <c r="DL564">
        <v>32.948158564814818</v>
      </c>
      <c r="DM564">
        <v>35</v>
      </c>
      <c r="DN564">
        <v>35</v>
      </c>
      <c r="DQ564" t="s">
        <v>1000</v>
      </c>
      <c r="DR564" t="s">
        <v>149</v>
      </c>
      <c r="DS564" s="24">
        <v>46160.384426226854</v>
      </c>
    </row>
    <row r="565" spans="1:123" x14ac:dyDescent="0.3">
      <c r="A565" t="s">
        <v>815</v>
      </c>
      <c r="D565" t="s">
        <v>223</v>
      </c>
      <c r="E565" s="24">
        <v>45754.712893518517</v>
      </c>
      <c r="G565" t="s">
        <v>102</v>
      </c>
      <c r="H565" t="s">
        <v>154</v>
      </c>
      <c r="I565" s="24"/>
      <c r="J565" s="24"/>
      <c r="K565" s="24"/>
      <c r="L565" s="24"/>
      <c r="N565" s="24"/>
      <c r="O565" s="24"/>
      <c r="P565" s="24"/>
      <c r="Q565" s="24"/>
      <c r="V565" s="24"/>
      <c r="W565" s="24"/>
      <c r="X565" s="24"/>
      <c r="Y565" s="24"/>
      <c r="AA565" s="24"/>
      <c r="AB565" s="24"/>
      <c r="AC565" s="24"/>
      <c r="AD565" s="24"/>
      <c r="AF565" s="24"/>
      <c r="AG565" s="24"/>
      <c r="AH565" s="24"/>
      <c r="AI565" s="24"/>
      <c r="AK565" s="24"/>
      <c r="AL565" s="24"/>
      <c r="AM565" s="24"/>
      <c r="AN565" s="24"/>
      <c r="AP565" s="24"/>
      <c r="AQ565" s="24"/>
      <c r="AR565" s="24"/>
      <c r="AS565" s="24"/>
      <c r="AX565" s="24"/>
      <c r="AY565" s="24"/>
      <c r="AZ565" s="24"/>
      <c r="BA565" s="24"/>
      <c r="BC565" s="24"/>
      <c r="BD565" s="24"/>
      <c r="BE565" s="24"/>
      <c r="BF565" s="24"/>
      <c r="BH565" s="24"/>
      <c r="BI565" s="24"/>
      <c r="BJ565" s="24"/>
      <c r="BK565" s="24"/>
      <c r="BM565" s="24"/>
      <c r="BN565" s="24"/>
      <c r="BO565" s="24"/>
      <c r="BP565" s="24"/>
      <c r="BR565" s="24"/>
      <c r="BS565" s="24"/>
      <c r="BT565" s="24"/>
      <c r="BU565" s="24"/>
      <c r="BW565" s="24"/>
      <c r="BX565" s="24"/>
      <c r="BY565" s="24"/>
      <c r="BZ565" s="24"/>
      <c r="CB565" s="24"/>
      <c r="CC565" s="24"/>
      <c r="CE565" s="24"/>
      <c r="CF565" s="24"/>
      <c r="CH565" s="24"/>
      <c r="CI565" s="24"/>
      <c r="CJ565" s="24"/>
      <c r="CK565" s="24"/>
      <c r="DE565" s="24"/>
      <c r="DF565" s="24"/>
      <c r="DG565" s="24"/>
      <c r="DH565" s="24"/>
      <c r="DJ565" t="s">
        <v>149</v>
      </c>
      <c r="DK565" t="s">
        <v>149</v>
      </c>
      <c r="DQ565" t="s">
        <v>1000</v>
      </c>
      <c r="DR565" t="s">
        <v>149</v>
      </c>
      <c r="DS565" s="24">
        <v>46160.384426226854</v>
      </c>
    </row>
    <row r="566" spans="1:123" x14ac:dyDescent="0.3">
      <c r="A566" t="s">
        <v>816</v>
      </c>
      <c r="D566" t="s">
        <v>223</v>
      </c>
      <c r="E566" s="24">
        <v>45751.640393518515</v>
      </c>
      <c r="G566" t="s">
        <v>90</v>
      </c>
      <c r="H566" t="s">
        <v>155</v>
      </c>
      <c r="I566" s="24"/>
      <c r="J566" s="24"/>
      <c r="K566" s="24"/>
      <c r="L566" s="24"/>
      <c r="N566" s="24"/>
      <c r="O566" s="24"/>
      <c r="P566" s="24"/>
      <c r="Q566" s="24"/>
      <c r="V566" s="24"/>
      <c r="W566" s="24"/>
      <c r="X566" s="24"/>
      <c r="Y566" s="24"/>
      <c r="AA566" s="24">
        <v>45786.311039039349</v>
      </c>
      <c r="AB566" s="24">
        <v>45786.311039039349</v>
      </c>
      <c r="AC566" s="24">
        <v>45786.312593391202</v>
      </c>
      <c r="AD566" s="24">
        <v>45786.312593391202</v>
      </c>
      <c r="AE566">
        <v>1</v>
      </c>
      <c r="AF566" s="24"/>
      <c r="AG566" s="24"/>
      <c r="AH566" s="24"/>
      <c r="AI566" s="24"/>
      <c r="AK566" s="24"/>
      <c r="AL566" s="24"/>
      <c r="AM566" s="24"/>
      <c r="AN566" s="24"/>
      <c r="AP566" s="24"/>
      <c r="AQ566" s="24"/>
      <c r="AR566" s="24">
        <v>45785.401042743055</v>
      </c>
      <c r="AS566" s="24">
        <v>45785.401042743055</v>
      </c>
      <c r="AX566" s="24"/>
      <c r="AY566" s="24"/>
      <c r="AZ566" s="24"/>
      <c r="BA566" s="24"/>
      <c r="BC566" s="24"/>
      <c r="BD566" s="24"/>
      <c r="BE566" s="24"/>
      <c r="BF566" s="24"/>
      <c r="BH566" s="24">
        <v>45785.401042743055</v>
      </c>
      <c r="BI566" s="24">
        <v>45785.401042743055</v>
      </c>
      <c r="BJ566" s="24">
        <v>45786.311039039349</v>
      </c>
      <c r="BK566" s="24">
        <v>45786.311039039349</v>
      </c>
      <c r="BL566">
        <v>1</v>
      </c>
      <c r="BM566" s="24"/>
      <c r="BN566" s="24"/>
      <c r="BO566" s="24"/>
      <c r="BP566" s="24"/>
      <c r="BR566" s="24">
        <v>45786.312593391202</v>
      </c>
      <c r="BS566" s="24">
        <v>45786.312593391202</v>
      </c>
      <c r="BT566" s="24">
        <v>45786.400119618054</v>
      </c>
      <c r="BU566" s="24">
        <v>45786.400119618054</v>
      </c>
      <c r="BV566">
        <v>1</v>
      </c>
      <c r="BW566" s="24"/>
      <c r="BX566" s="24"/>
      <c r="BY566" s="24"/>
      <c r="BZ566" s="24"/>
      <c r="CB566" s="24"/>
      <c r="CC566" s="24"/>
      <c r="CE566" s="24">
        <v>45786.400119618054</v>
      </c>
      <c r="CF566" s="24">
        <v>45786.400119618054</v>
      </c>
      <c r="CG566">
        <v>1</v>
      </c>
      <c r="CH566" s="24"/>
      <c r="CI566" s="24"/>
      <c r="CJ566" s="24"/>
      <c r="CK566" s="24"/>
      <c r="DE566" s="24"/>
      <c r="DF566" s="24"/>
      <c r="DG566" s="24"/>
      <c r="DH566" s="24"/>
      <c r="DJ566" t="s">
        <v>149</v>
      </c>
      <c r="DK566" t="s">
        <v>149</v>
      </c>
      <c r="DM566">
        <v>1</v>
      </c>
      <c r="DN566">
        <v>1</v>
      </c>
      <c r="DQ566" t="s">
        <v>1000</v>
      </c>
      <c r="DR566" t="s">
        <v>149</v>
      </c>
      <c r="DS566" s="24">
        <v>46160.384426226854</v>
      </c>
    </row>
    <row r="567" spans="1:123" x14ac:dyDescent="0.3">
      <c r="A567" t="s">
        <v>817</v>
      </c>
      <c r="D567" t="s">
        <v>225</v>
      </c>
      <c r="E567" s="24">
        <v>45749.566805555558</v>
      </c>
      <c r="G567" t="s">
        <v>102</v>
      </c>
      <c r="H567" t="s">
        <v>154</v>
      </c>
      <c r="I567" s="24"/>
      <c r="J567" s="24"/>
      <c r="K567" s="24"/>
      <c r="L567" s="24"/>
      <c r="N567" s="24"/>
      <c r="O567" s="24"/>
      <c r="P567" s="24"/>
      <c r="Q567" s="24"/>
      <c r="V567" s="24"/>
      <c r="W567" s="24"/>
      <c r="X567" s="24"/>
      <c r="Y567" s="24"/>
      <c r="AA567" s="24"/>
      <c r="AB567" s="24"/>
      <c r="AC567" s="24"/>
      <c r="AD567" s="24"/>
      <c r="AF567" s="24"/>
      <c r="AG567" s="24"/>
      <c r="AH567" s="24"/>
      <c r="AI567" s="24"/>
      <c r="AK567" s="24"/>
      <c r="AL567" s="24"/>
      <c r="AM567" s="24"/>
      <c r="AN567" s="24"/>
      <c r="AP567" s="24"/>
      <c r="AQ567" s="24"/>
      <c r="AR567" s="24"/>
      <c r="AS567" s="24"/>
      <c r="AX567" s="24"/>
      <c r="AY567" s="24"/>
      <c r="AZ567" s="24"/>
      <c r="BA567" s="24"/>
      <c r="BC567" s="24"/>
      <c r="BD567" s="24"/>
      <c r="BE567" s="24"/>
      <c r="BF567" s="24"/>
      <c r="BH567" s="24"/>
      <c r="BI567" s="24"/>
      <c r="BJ567" s="24"/>
      <c r="BK567" s="24"/>
      <c r="BM567" s="24"/>
      <c r="BN567" s="24"/>
      <c r="BO567" s="24"/>
      <c r="BP567" s="24"/>
      <c r="BR567" s="24"/>
      <c r="BS567" s="24"/>
      <c r="BT567" s="24"/>
      <c r="BU567" s="24"/>
      <c r="BW567" s="24"/>
      <c r="BX567" s="24"/>
      <c r="BY567" s="24"/>
      <c r="BZ567" s="24"/>
      <c r="CB567" s="24"/>
      <c r="CC567" s="24"/>
      <c r="CE567" s="24"/>
      <c r="CF567" s="24"/>
      <c r="CH567" s="24"/>
      <c r="CI567" s="24"/>
      <c r="CJ567" s="24"/>
      <c r="CK567" s="24"/>
      <c r="DE567" s="24"/>
      <c r="DF567" s="24"/>
      <c r="DG567" s="24"/>
      <c r="DH567" s="24"/>
      <c r="DJ567" t="s">
        <v>149</v>
      </c>
      <c r="DK567" t="s">
        <v>149</v>
      </c>
      <c r="DQ567" t="s">
        <v>1000</v>
      </c>
      <c r="DR567" t="s">
        <v>149</v>
      </c>
      <c r="DS567" s="24">
        <v>46160.384426226854</v>
      </c>
    </row>
    <row r="568" spans="1:123" x14ac:dyDescent="0.3">
      <c r="A568" t="s">
        <v>818</v>
      </c>
      <c r="D568" t="s">
        <v>223</v>
      </c>
      <c r="E568" s="24">
        <v>45749.539097222223</v>
      </c>
      <c r="G568" t="s">
        <v>150</v>
      </c>
      <c r="H568" t="s">
        <v>155</v>
      </c>
      <c r="I568" s="24"/>
      <c r="J568" s="24"/>
      <c r="K568" s="24"/>
      <c r="L568" s="24"/>
      <c r="N568" s="24"/>
      <c r="O568" s="24"/>
      <c r="P568" s="24"/>
      <c r="Q568" s="24"/>
      <c r="V568" s="24"/>
      <c r="W568" s="24"/>
      <c r="X568" s="24"/>
      <c r="Y568" s="24"/>
      <c r="AA568" s="24"/>
      <c r="AB568" s="24"/>
      <c r="AC568" s="24"/>
      <c r="AD568" s="24"/>
      <c r="AF568" s="24"/>
      <c r="AG568" s="24"/>
      <c r="AH568" s="24"/>
      <c r="AI568" s="24"/>
      <c r="AK568" s="24"/>
      <c r="AL568" s="24"/>
      <c r="AM568" s="24"/>
      <c r="AN568" s="24"/>
      <c r="AP568" s="24"/>
      <c r="AQ568" s="24"/>
      <c r="AR568" s="24">
        <v>45876.295496342595</v>
      </c>
      <c r="AS568" s="24">
        <v>45876.295496342595</v>
      </c>
      <c r="AX568" s="24"/>
      <c r="AY568" s="24"/>
      <c r="AZ568" s="24"/>
      <c r="BA568" s="24"/>
      <c r="BC568" s="24"/>
      <c r="BD568" s="24"/>
      <c r="BE568" s="24"/>
      <c r="BF568" s="24"/>
      <c r="BH568" s="24"/>
      <c r="BI568" s="24"/>
      <c r="BJ568" s="24"/>
      <c r="BK568" s="24"/>
      <c r="BM568" s="24"/>
      <c r="BN568" s="24"/>
      <c r="BO568" s="24"/>
      <c r="BP568" s="24"/>
      <c r="BR568" s="24"/>
      <c r="BS568" s="24"/>
      <c r="BT568" s="24"/>
      <c r="BU568" s="24"/>
      <c r="BW568" s="24"/>
      <c r="BX568" s="24"/>
      <c r="BY568" s="24"/>
      <c r="BZ568" s="24"/>
      <c r="CB568" s="24">
        <v>45876.295496342595</v>
      </c>
      <c r="CC568" s="24">
        <v>45876.295496342595</v>
      </c>
      <c r="CD568">
        <v>1</v>
      </c>
      <c r="CE568" s="24"/>
      <c r="CF568" s="24"/>
      <c r="CH568" s="24"/>
      <c r="CI568" s="24"/>
      <c r="CJ568" s="24"/>
      <c r="CK568" s="24"/>
      <c r="DE568" s="24"/>
      <c r="DF568" s="24"/>
      <c r="DG568" s="24"/>
      <c r="DH568" s="24"/>
      <c r="DJ568" t="s">
        <v>149</v>
      </c>
      <c r="DK568" t="s">
        <v>149</v>
      </c>
      <c r="DQ568" t="s">
        <v>1000</v>
      </c>
      <c r="DR568" t="s">
        <v>149</v>
      </c>
      <c r="DS568" s="24">
        <v>46160.384426226854</v>
      </c>
    </row>
    <row r="569" spans="1:123" x14ac:dyDescent="0.3">
      <c r="A569" t="s">
        <v>819</v>
      </c>
      <c r="D569" t="s">
        <v>225</v>
      </c>
      <c r="E569" s="24">
        <v>45744.575150462966</v>
      </c>
      <c r="G569" t="s">
        <v>90</v>
      </c>
      <c r="H569" t="s">
        <v>155</v>
      </c>
      <c r="I569" s="24"/>
      <c r="J569" s="24"/>
      <c r="K569" s="24"/>
      <c r="L569" s="24"/>
      <c r="N569" s="24">
        <v>45861.636644560182</v>
      </c>
      <c r="O569" s="24">
        <v>45793.389978217594</v>
      </c>
      <c r="P569" s="24">
        <v>45848.412851423614</v>
      </c>
      <c r="Q569" s="24">
        <v>45863.454699837966</v>
      </c>
      <c r="R569">
        <v>4</v>
      </c>
      <c r="V569" s="24"/>
      <c r="W569" s="24"/>
      <c r="X569" s="24"/>
      <c r="Y569" s="24"/>
      <c r="AA569" s="24">
        <v>45861.407123263889</v>
      </c>
      <c r="AB569" s="24">
        <v>45791.388949895831</v>
      </c>
      <c r="AC569" s="24">
        <v>45793.389978217594</v>
      </c>
      <c r="AD569" s="24">
        <v>45861.636644560182</v>
      </c>
      <c r="AE569">
        <v>5</v>
      </c>
      <c r="AF569" s="24"/>
      <c r="AG569" s="24"/>
      <c r="AH569" s="24"/>
      <c r="AI569" s="24"/>
      <c r="AK569" s="24">
        <v>45863.454699837966</v>
      </c>
      <c r="AL569" s="24">
        <v>45863.454699837966</v>
      </c>
      <c r="AM569" s="24">
        <v>45863.454875219904</v>
      </c>
      <c r="AN569" s="24">
        <v>45863.454875219904</v>
      </c>
      <c r="AO569">
        <v>1</v>
      </c>
      <c r="AP569" s="24"/>
      <c r="AQ569" s="24"/>
      <c r="AR569" s="24">
        <v>45790.621198113426</v>
      </c>
      <c r="AS569" s="24">
        <v>45790.621198113426</v>
      </c>
      <c r="AX569" s="24"/>
      <c r="AY569" s="24"/>
      <c r="AZ569" s="24"/>
      <c r="BA569" s="24"/>
      <c r="BC569" s="24">
        <v>45863.479442847223</v>
      </c>
      <c r="BD569" s="24">
        <v>45855.404670925927</v>
      </c>
      <c r="BE569" s="24">
        <v>45859.677806226849</v>
      </c>
      <c r="BF569" s="24">
        <v>45883.594496516205</v>
      </c>
      <c r="BG569">
        <v>2</v>
      </c>
      <c r="BH569" s="24">
        <v>45790.621198113426</v>
      </c>
      <c r="BI569" s="24">
        <v>45790.621198113426</v>
      </c>
      <c r="BJ569" s="24">
        <v>45791.388949895831</v>
      </c>
      <c r="BK569" s="24">
        <v>45791.388949895831</v>
      </c>
      <c r="BL569">
        <v>1</v>
      </c>
      <c r="BM569" s="24"/>
      <c r="BN569" s="24"/>
      <c r="BO569" s="24"/>
      <c r="BP569" s="24"/>
      <c r="BR569" s="24">
        <v>45863.454875219904</v>
      </c>
      <c r="BS569" s="24">
        <v>45855.342499108796</v>
      </c>
      <c r="BT569" s="24">
        <v>45855.404670925927</v>
      </c>
      <c r="BU569" s="24">
        <v>45863.479442847223</v>
      </c>
      <c r="BV569">
        <v>3</v>
      </c>
      <c r="BW569" s="24"/>
      <c r="BX569" s="24"/>
      <c r="BY569" s="24"/>
      <c r="BZ569" s="24"/>
      <c r="CB569" s="24"/>
      <c r="CC569" s="24"/>
      <c r="CE569" s="24">
        <v>45883.594496516205</v>
      </c>
      <c r="CF569" s="24">
        <v>45883.594496516205</v>
      </c>
      <c r="CG569">
        <v>1</v>
      </c>
      <c r="CH569" s="24"/>
      <c r="CI569" s="24"/>
      <c r="CJ569" s="24"/>
      <c r="CK569" s="24"/>
      <c r="DE569" s="24"/>
      <c r="DF569" s="24"/>
      <c r="DG569" s="24"/>
      <c r="DH569" s="24"/>
      <c r="DJ569" t="s">
        <v>149</v>
      </c>
      <c r="DK569" t="s">
        <v>149</v>
      </c>
      <c r="DL569">
        <v>64.556713310185188</v>
      </c>
      <c r="DM569">
        <v>93</v>
      </c>
      <c r="DN569">
        <v>93</v>
      </c>
      <c r="DQ569" t="s">
        <v>1000</v>
      </c>
      <c r="DR569" t="s">
        <v>149</v>
      </c>
      <c r="DS569" s="24">
        <v>46160.384426226854</v>
      </c>
    </row>
    <row r="570" spans="1:123" x14ac:dyDescent="0.3">
      <c r="A570" t="s">
        <v>820</v>
      </c>
      <c r="D570" t="s">
        <v>223</v>
      </c>
      <c r="E570" s="24">
        <v>45741.565960648149</v>
      </c>
      <c r="G570" t="s">
        <v>150</v>
      </c>
      <c r="H570" t="s">
        <v>155</v>
      </c>
      <c r="I570" s="24"/>
      <c r="J570" s="24"/>
      <c r="K570" s="24"/>
      <c r="L570" s="24"/>
      <c r="N570" s="24"/>
      <c r="O570" s="24"/>
      <c r="P570" s="24"/>
      <c r="Q570" s="24"/>
      <c r="V570" s="24"/>
      <c r="W570" s="24"/>
      <c r="X570" s="24"/>
      <c r="Y570" s="24"/>
      <c r="AA570" s="24"/>
      <c r="AB570" s="24"/>
      <c r="AC570" s="24"/>
      <c r="AD570" s="24"/>
      <c r="AF570" s="24"/>
      <c r="AG570" s="24"/>
      <c r="AH570" s="24"/>
      <c r="AI570" s="24"/>
      <c r="AK570" s="24"/>
      <c r="AL570" s="24"/>
      <c r="AM570" s="24"/>
      <c r="AN570" s="24"/>
      <c r="AP570" s="24"/>
      <c r="AQ570" s="24"/>
      <c r="AR570" s="24">
        <v>46003.60339452546</v>
      </c>
      <c r="AS570" s="24">
        <v>46003.60339452546</v>
      </c>
      <c r="AX570" s="24"/>
      <c r="AY570" s="24"/>
      <c r="AZ570" s="24"/>
      <c r="BA570" s="24"/>
      <c r="BC570" s="24"/>
      <c r="BD570" s="24"/>
      <c r="BE570" s="24"/>
      <c r="BF570" s="24"/>
      <c r="BH570" s="24"/>
      <c r="BI570" s="24"/>
      <c r="BJ570" s="24"/>
      <c r="BK570" s="24"/>
      <c r="BM570" s="24"/>
      <c r="BN570" s="24"/>
      <c r="BO570" s="24"/>
      <c r="BP570" s="24"/>
      <c r="BR570" s="24"/>
      <c r="BS570" s="24"/>
      <c r="BT570" s="24"/>
      <c r="BU570" s="24"/>
      <c r="BW570" s="24"/>
      <c r="BX570" s="24"/>
      <c r="BY570" s="24"/>
      <c r="BZ570" s="24"/>
      <c r="CB570" s="24">
        <v>46003.60339452546</v>
      </c>
      <c r="CC570" s="24">
        <v>46003.60339452546</v>
      </c>
      <c r="CD570">
        <v>1</v>
      </c>
      <c r="CE570" s="24"/>
      <c r="CF570" s="24"/>
      <c r="CH570" s="24"/>
      <c r="CI570" s="24"/>
      <c r="CJ570" s="24"/>
      <c r="CK570" s="24"/>
      <c r="DE570" s="24"/>
      <c r="DF570" s="24"/>
      <c r="DG570" s="24"/>
      <c r="DH570" s="24"/>
      <c r="DJ570" t="s">
        <v>149</v>
      </c>
      <c r="DK570" t="s">
        <v>149</v>
      </c>
      <c r="DQ570" t="s">
        <v>1000</v>
      </c>
      <c r="DR570" t="s">
        <v>149</v>
      </c>
      <c r="DS570" s="24">
        <v>46160.384426226854</v>
      </c>
    </row>
    <row r="571" spans="1:123" x14ac:dyDescent="0.3">
      <c r="A571" t="s">
        <v>821</v>
      </c>
      <c r="D571" t="s">
        <v>223</v>
      </c>
      <c r="E571" s="24">
        <v>45733.656944444447</v>
      </c>
      <c r="G571" t="s">
        <v>150</v>
      </c>
      <c r="H571" t="s">
        <v>155</v>
      </c>
      <c r="I571" s="24"/>
      <c r="J571" s="24"/>
      <c r="K571" s="24"/>
      <c r="L571" s="24"/>
      <c r="N571" s="24"/>
      <c r="O571" s="24"/>
      <c r="P571" s="24"/>
      <c r="Q571" s="24"/>
      <c r="V571" s="24"/>
      <c r="W571" s="24"/>
      <c r="X571" s="24"/>
      <c r="Y571" s="24"/>
      <c r="AA571" s="24"/>
      <c r="AB571" s="24"/>
      <c r="AC571" s="24"/>
      <c r="AD571" s="24"/>
      <c r="AF571" s="24"/>
      <c r="AG571" s="24"/>
      <c r="AH571" s="24"/>
      <c r="AI571" s="24"/>
      <c r="AK571" s="24"/>
      <c r="AL571" s="24"/>
      <c r="AM571" s="24"/>
      <c r="AN571" s="24"/>
      <c r="AP571" s="24"/>
      <c r="AQ571" s="24"/>
      <c r="AR571" s="24">
        <v>45803.551971273148</v>
      </c>
      <c r="AS571" s="24">
        <v>45803.551971273148</v>
      </c>
      <c r="AX571" s="24"/>
      <c r="AY571" s="24"/>
      <c r="AZ571" s="24"/>
      <c r="BA571" s="24"/>
      <c r="BC571" s="24"/>
      <c r="BD571" s="24"/>
      <c r="BE571" s="24"/>
      <c r="BF571" s="24"/>
      <c r="BH571" s="24"/>
      <c r="BI571" s="24"/>
      <c r="BJ571" s="24"/>
      <c r="BK571" s="24"/>
      <c r="BM571" s="24"/>
      <c r="BN571" s="24"/>
      <c r="BO571" s="24"/>
      <c r="BP571" s="24"/>
      <c r="BR571" s="24"/>
      <c r="BS571" s="24"/>
      <c r="BT571" s="24"/>
      <c r="BU571" s="24"/>
      <c r="BW571" s="24"/>
      <c r="BX571" s="24"/>
      <c r="BY571" s="24"/>
      <c r="BZ571" s="24"/>
      <c r="CB571" s="24">
        <v>45803.551971273148</v>
      </c>
      <c r="CC571" s="24">
        <v>45803.551971273148</v>
      </c>
      <c r="CD571">
        <v>1</v>
      </c>
      <c r="CE571" s="24"/>
      <c r="CF571" s="24"/>
      <c r="CH571" s="24"/>
      <c r="CI571" s="24"/>
      <c r="CJ571" s="24"/>
      <c r="CK571" s="24"/>
      <c r="DE571" s="24"/>
      <c r="DF571" s="24"/>
      <c r="DG571" s="24"/>
      <c r="DH571" s="24"/>
      <c r="DJ571" t="s">
        <v>149</v>
      </c>
      <c r="DK571" t="s">
        <v>149</v>
      </c>
      <c r="DQ571" t="s">
        <v>1000</v>
      </c>
      <c r="DR571" t="s">
        <v>149</v>
      </c>
      <c r="DS571" s="24">
        <v>46160.384426226854</v>
      </c>
    </row>
    <row r="572" spans="1:123" x14ac:dyDescent="0.3">
      <c r="A572" t="s">
        <v>822</v>
      </c>
      <c r="D572" t="s">
        <v>225</v>
      </c>
      <c r="E572" s="24">
        <v>45733.471921296295</v>
      </c>
      <c r="G572" t="s">
        <v>90</v>
      </c>
      <c r="H572" t="s">
        <v>155</v>
      </c>
      <c r="I572" s="24"/>
      <c r="J572" s="24"/>
      <c r="K572" s="24"/>
      <c r="L572" s="24"/>
      <c r="N572" s="24"/>
      <c r="O572" s="24"/>
      <c r="P572" s="24"/>
      <c r="Q572" s="24"/>
      <c r="V572" s="24"/>
      <c r="W572" s="24"/>
      <c r="X572" s="24"/>
      <c r="Y572" s="24"/>
      <c r="AA572" s="24">
        <v>45797.573687812503</v>
      </c>
      <c r="AB572" s="24">
        <v>45797.573687812503</v>
      </c>
      <c r="AC572" s="24">
        <v>45798.450566539352</v>
      </c>
      <c r="AD572" s="24">
        <v>45798.450566539352</v>
      </c>
      <c r="AE572">
        <v>1</v>
      </c>
      <c r="AF572" s="24">
        <v>45798.450566539352</v>
      </c>
      <c r="AG572" s="24">
        <v>45798.450566539352</v>
      </c>
      <c r="AH572" s="24">
        <v>45800.379855590276</v>
      </c>
      <c r="AI572" s="24">
        <v>45800.379855590276</v>
      </c>
      <c r="AJ572">
        <v>1</v>
      </c>
      <c r="AK572" s="24">
        <v>45800.379855590276</v>
      </c>
      <c r="AL572" s="24">
        <v>45800.379855590276</v>
      </c>
      <c r="AM572" s="24">
        <v>45800.379927858798</v>
      </c>
      <c r="AN572" s="24">
        <v>45800.379927858798</v>
      </c>
      <c r="AO572">
        <v>1</v>
      </c>
      <c r="AP572" s="24"/>
      <c r="AQ572" s="24"/>
      <c r="AR572" s="24">
        <v>45797.550180127313</v>
      </c>
      <c r="AS572" s="24">
        <v>45797.550180127313</v>
      </c>
      <c r="AX572" s="24"/>
      <c r="AY572" s="24"/>
      <c r="AZ572" s="24"/>
      <c r="BA572" s="24"/>
      <c r="BC572" s="24">
        <v>45800.404105972222</v>
      </c>
      <c r="BD572" s="24">
        <v>45800.404105972222</v>
      </c>
      <c r="BE572" s="24">
        <v>45803.643641527779</v>
      </c>
      <c r="BF572" s="24">
        <v>45803.643641527779</v>
      </c>
      <c r="BG572">
        <v>1</v>
      </c>
      <c r="BH572" s="24">
        <v>45797.550180127313</v>
      </c>
      <c r="BI572" s="24">
        <v>45797.550180127313</v>
      </c>
      <c r="BJ572" s="24">
        <v>45797.573687812503</v>
      </c>
      <c r="BK572" s="24">
        <v>45797.573687812503</v>
      </c>
      <c r="BL572">
        <v>1</v>
      </c>
      <c r="BM572" s="24"/>
      <c r="BN572" s="24"/>
      <c r="BO572" s="24"/>
      <c r="BP572" s="24"/>
      <c r="BR572" s="24">
        <v>45800.379927858798</v>
      </c>
      <c r="BS572" s="24">
        <v>45800.379927858798</v>
      </c>
      <c r="BT572" s="24">
        <v>45800.404105972222</v>
      </c>
      <c r="BU572" s="24">
        <v>45800.404105972222</v>
      </c>
      <c r="BV572">
        <v>1</v>
      </c>
      <c r="BW572" s="24"/>
      <c r="BX572" s="24"/>
      <c r="BY572" s="24"/>
      <c r="BZ572" s="24"/>
      <c r="CB572" s="24"/>
      <c r="CC572" s="24"/>
      <c r="CE572" s="24">
        <v>45803.643641527779</v>
      </c>
      <c r="CF572" s="24">
        <v>45803.643641527779</v>
      </c>
      <c r="CG572">
        <v>1</v>
      </c>
      <c r="CH572" s="24"/>
      <c r="CI572" s="24"/>
      <c r="CJ572" s="24"/>
      <c r="CK572" s="24"/>
      <c r="DE572" s="24"/>
      <c r="DF572" s="24"/>
      <c r="DG572" s="24"/>
      <c r="DH572" s="24"/>
      <c r="DJ572" t="s">
        <v>149</v>
      </c>
      <c r="DK572" t="s">
        <v>149</v>
      </c>
      <c r="DM572">
        <v>7</v>
      </c>
      <c r="DN572">
        <v>7</v>
      </c>
      <c r="DQ572" t="s">
        <v>1000</v>
      </c>
      <c r="DR572" t="s">
        <v>149</v>
      </c>
      <c r="DS572" s="24">
        <v>46160.384426226854</v>
      </c>
    </row>
    <row r="573" spans="1:123" x14ac:dyDescent="0.3">
      <c r="A573" t="s">
        <v>823</v>
      </c>
      <c r="D573" t="s">
        <v>225</v>
      </c>
      <c r="E573" s="24">
        <v>45733.461909722224</v>
      </c>
      <c r="G573" t="s">
        <v>102</v>
      </c>
      <c r="H573" t="s">
        <v>154</v>
      </c>
      <c r="I573" s="24"/>
      <c r="J573" s="24"/>
      <c r="K573" s="24"/>
      <c r="L573" s="24"/>
      <c r="N573" s="24"/>
      <c r="O573" s="24"/>
      <c r="P573" s="24"/>
      <c r="Q573" s="24"/>
      <c r="V573" s="24"/>
      <c r="W573" s="24"/>
      <c r="X573" s="24"/>
      <c r="Y573" s="24"/>
      <c r="AA573" s="24"/>
      <c r="AB573" s="24"/>
      <c r="AC573" s="24"/>
      <c r="AD573" s="24"/>
      <c r="AF573" s="24"/>
      <c r="AG573" s="24"/>
      <c r="AH573" s="24"/>
      <c r="AI573" s="24"/>
      <c r="AK573" s="24"/>
      <c r="AL573" s="24"/>
      <c r="AM573" s="24"/>
      <c r="AN573" s="24"/>
      <c r="AP573" s="24"/>
      <c r="AQ573" s="24"/>
      <c r="AR573" s="24"/>
      <c r="AS573" s="24"/>
      <c r="AX573" s="24"/>
      <c r="AY573" s="24"/>
      <c r="AZ573" s="24"/>
      <c r="BA573" s="24"/>
      <c r="BC573" s="24"/>
      <c r="BD573" s="24"/>
      <c r="BE573" s="24"/>
      <c r="BF573" s="24"/>
      <c r="BH573" s="24"/>
      <c r="BI573" s="24"/>
      <c r="BJ573" s="24"/>
      <c r="BK573" s="24"/>
      <c r="BM573" s="24"/>
      <c r="BN573" s="24"/>
      <c r="BO573" s="24"/>
      <c r="BP573" s="24"/>
      <c r="BR573" s="24"/>
      <c r="BS573" s="24"/>
      <c r="BT573" s="24"/>
      <c r="BU573" s="24"/>
      <c r="BW573" s="24"/>
      <c r="BX573" s="24"/>
      <c r="BY573" s="24"/>
      <c r="BZ573" s="24"/>
      <c r="CB573" s="24"/>
      <c r="CC573" s="24"/>
      <c r="CE573" s="24"/>
      <c r="CF573" s="24"/>
      <c r="CH573" s="24"/>
      <c r="CI573" s="24"/>
      <c r="CJ573" s="24"/>
      <c r="CK573" s="24"/>
      <c r="DE573" s="24"/>
      <c r="DF573" s="24"/>
      <c r="DG573" s="24"/>
      <c r="DH573" s="24"/>
      <c r="DJ573" t="s">
        <v>149</v>
      </c>
      <c r="DK573" t="s">
        <v>149</v>
      </c>
      <c r="DQ573" t="s">
        <v>1000</v>
      </c>
      <c r="DR573" t="s">
        <v>149</v>
      </c>
      <c r="DS573" s="24">
        <v>46160.384426226854</v>
      </c>
    </row>
    <row r="574" spans="1:123" x14ac:dyDescent="0.3">
      <c r="A574" t="s">
        <v>824</v>
      </c>
      <c r="D574" t="s">
        <v>225</v>
      </c>
      <c r="E574" s="24">
        <v>45733.418842592589</v>
      </c>
      <c r="G574" t="s">
        <v>150</v>
      </c>
      <c r="H574" t="s">
        <v>155</v>
      </c>
      <c r="I574" s="24"/>
      <c r="J574" s="24"/>
      <c r="K574" s="24"/>
      <c r="L574" s="24"/>
      <c r="N574" s="24"/>
      <c r="O574" s="24"/>
      <c r="P574" s="24"/>
      <c r="Q574" s="24"/>
      <c r="V574" s="24"/>
      <c r="W574" s="24"/>
      <c r="X574" s="24"/>
      <c r="Y574" s="24"/>
      <c r="AA574" s="24"/>
      <c r="AB574" s="24"/>
      <c r="AC574" s="24"/>
      <c r="AD574" s="24"/>
      <c r="AF574" s="24"/>
      <c r="AG574" s="24"/>
      <c r="AH574" s="24"/>
      <c r="AI574" s="24"/>
      <c r="AK574" s="24"/>
      <c r="AL574" s="24"/>
      <c r="AM574" s="24"/>
      <c r="AN574" s="24"/>
      <c r="AP574" s="24"/>
      <c r="AQ574" s="24"/>
      <c r="AR574" s="24">
        <v>45841.455648449075</v>
      </c>
      <c r="AS574" s="24">
        <v>45841.455648449075</v>
      </c>
      <c r="AX574" s="24"/>
      <c r="AY574" s="24"/>
      <c r="AZ574" s="24"/>
      <c r="BA574" s="24"/>
      <c r="BC574" s="24"/>
      <c r="BD574" s="24"/>
      <c r="BE574" s="24"/>
      <c r="BF574" s="24"/>
      <c r="BH574" s="24"/>
      <c r="BI574" s="24"/>
      <c r="BJ574" s="24"/>
      <c r="BK574" s="24"/>
      <c r="BM574" s="24"/>
      <c r="BN574" s="24"/>
      <c r="BO574" s="24"/>
      <c r="BP574" s="24"/>
      <c r="BR574" s="24"/>
      <c r="BS574" s="24"/>
      <c r="BT574" s="24"/>
      <c r="BU574" s="24"/>
      <c r="BW574" s="24"/>
      <c r="BX574" s="24"/>
      <c r="BY574" s="24"/>
      <c r="BZ574" s="24"/>
      <c r="CB574" s="24">
        <v>45841.455648449075</v>
      </c>
      <c r="CC574" s="24">
        <v>45841.455648449075</v>
      </c>
      <c r="CD574">
        <v>1</v>
      </c>
      <c r="CE574" s="24"/>
      <c r="CF574" s="24"/>
      <c r="CH574" s="24"/>
      <c r="CI574" s="24"/>
      <c r="CJ574" s="24"/>
      <c r="CK574" s="24"/>
      <c r="DE574" s="24"/>
      <c r="DF574" s="24"/>
      <c r="DG574" s="24"/>
      <c r="DH574" s="24"/>
      <c r="DJ574" t="s">
        <v>149</v>
      </c>
      <c r="DK574" t="s">
        <v>149</v>
      </c>
      <c r="DQ574" t="s">
        <v>1000</v>
      </c>
      <c r="DR574" t="s">
        <v>149</v>
      </c>
      <c r="DS574" s="24">
        <v>46160.384426226854</v>
      </c>
    </row>
    <row r="575" spans="1:123" x14ac:dyDescent="0.3">
      <c r="A575" t="s">
        <v>825</v>
      </c>
      <c r="D575" t="s">
        <v>225</v>
      </c>
      <c r="E575" s="24">
        <v>45720.759629629632</v>
      </c>
      <c r="G575" t="s">
        <v>90</v>
      </c>
      <c r="H575" t="s">
        <v>155</v>
      </c>
      <c r="I575" s="24"/>
      <c r="J575" s="24"/>
      <c r="K575" s="24"/>
      <c r="L575" s="24"/>
      <c r="N575" s="24"/>
      <c r="O575" s="24"/>
      <c r="P575" s="24"/>
      <c r="Q575" s="24"/>
      <c r="V575" s="24"/>
      <c r="W575" s="24"/>
      <c r="X575" s="24"/>
      <c r="Y575" s="24"/>
      <c r="AA575" s="24">
        <v>45799.660070416663</v>
      </c>
      <c r="AB575" s="24">
        <v>45799.660070416663</v>
      </c>
      <c r="AC575" s="24">
        <v>45800.705022048613</v>
      </c>
      <c r="AD575" s="24">
        <v>45800.705022048613</v>
      </c>
      <c r="AE575">
        <v>1</v>
      </c>
      <c r="AF575" s="24">
        <v>45800.705022048613</v>
      </c>
      <c r="AG575" s="24">
        <v>45800.705022048613</v>
      </c>
      <c r="AH575" s="24">
        <v>45800.708575914352</v>
      </c>
      <c r="AI575" s="24">
        <v>45800.708575914352</v>
      </c>
      <c r="AJ575">
        <v>1</v>
      </c>
      <c r="AK575" s="24">
        <v>45800.708575914352</v>
      </c>
      <c r="AL575" s="24">
        <v>45800.708575914352</v>
      </c>
      <c r="AM575" s="24">
        <v>45803.403483703703</v>
      </c>
      <c r="AN575" s="24">
        <v>45803.403483703703</v>
      </c>
      <c r="AO575">
        <v>1</v>
      </c>
      <c r="AP575" s="24"/>
      <c r="AQ575" s="24"/>
      <c r="AR575" s="24">
        <v>45799.659614189812</v>
      </c>
      <c r="AS575" s="24">
        <v>45799.659614189812</v>
      </c>
      <c r="AX575" s="24"/>
      <c r="AY575" s="24"/>
      <c r="AZ575" s="24"/>
      <c r="BA575" s="24"/>
      <c r="BC575" s="24">
        <v>45803.403772199075</v>
      </c>
      <c r="BD575" s="24">
        <v>45803.403772199075</v>
      </c>
      <c r="BE575" s="24">
        <v>45803.643642893519</v>
      </c>
      <c r="BF575" s="24">
        <v>45803.643642893519</v>
      </c>
      <c r="BG575">
        <v>1</v>
      </c>
      <c r="BH575" s="24">
        <v>45799.659614189812</v>
      </c>
      <c r="BI575" s="24">
        <v>45799.659614189812</v>
      </c>
      <c r="BJ575" s="24">
        <v>45799.660070416663</v>
      </c>
      <c r="BK575" s="24">
        <v>45799.660070416663</v>
      </c>
      <c r="BL575">
        <v>1</v>
      </c>
      <c r="BM575" s="24"/>
      <c r="BN575" s="24"/>
      <c r="BO575" s="24"/>
      <c r="BP575" s="24"/>
      <c r="BR575" s="24">
        <v>45803.403483703703</v>
      </c>
      <c r="BS575" s="24">
        <v>45803.403483703703</v>
      </c>
      <c r="BT575" s="24">
        <v>45803.403772199075</v>
      </c>
      <c r="BU575" s="24">
        <v>45803.403772199075</v>
      </c>
      <c r="BV575">
        <v>1</v>
      </c>
      <c r="BW575" s="24"/>
      <c r="BX575" s="24"/>
      <c r="BY575" s="24"/>
      <c r="BZ575" s="24"/>
      <c r="CB575" s="24"/>
      <c r="CC575" s="24"/>
      <c r="CE575" s="24">
        <v>45803.643642893519</v>
      </c>
      <c r="CF575" s="24">
        <v>45803.643642893519</v>
      </c>
      <c r="CG575">
        <v>1</v>
      </c>
      <c r="CH575" s="24"/>
      <c r="CI575" s="24"/>
      <c r="CJ575" s="24"/>
      <c r="CK575" s="24"/>
      <c r="DE575" s="24"/>
      <c r="DF575" s="24"/>
      <c r="DG575" s="24"/>
      <c r="DH575" s="24"/>
      <c r="DJ575" t="s">
        <v>149</v>
      </c>
      <c r="DK575" t="s">
        <v>149</v>
      </c>
      <c r="DM575">
        <v>4</v>
      </c>
      <c r="DN575">
        <v>4</v>
      </c>
      <c r="DQ575" t="s">
        <v>1000</v>
      </c>
      <c r="DR575" t="s">
        <v>149</v>
      </c>
      <c r="DS575" s="24">
        <v>46160.384426226854</v>
      </c>
    </row>
    <row r="576" spans="1:123" x14ac:dyDescent="0.3">
      <c r="A576" t="s">
        <v>826</v>
      </c>
      <c r="D576" t="s">
        <v>223</v>
      </c>
      <c r="E576" s="24">
        <v>45713.42796296296</v>
      </c>
      <c r="G576" t="s">
        <v>90</v>
      </c>
      <c r="H576" t="s">
        <v>155</v>
      </c>
      <c r="I576" s="24"/>
      <c r="J576" s="24"/>
      <c r="K576" s="24"/>
      <c r="L576" s="24"/>
      <c r="N576" s="24">
        <v>45796.412063043979</v>
      </c>
      <c r="O576" s="24">
        <v>45796.412063043979</v>
      </c>
      <c r="P576" s="24">
        <v>45870.67096171296</v>
      </c>
      <c r="Q576" s="24">
        <v>45870.67096171296</v>
      </c>
      <c r="R576">
        <v>1</v>
      </c>
      <c r="V576" s="24"/>
      <c r="W576" s="24"/>
      <c r="X576" s="24"/>
      <c r="Y576" s="24"/>
      <c r="AA576" s="24">
        <v>45870.67096171296</v>
      </c>
      <c r="AB576" s="24">
        <v>45793.337836620369</v>
      </c>
      <c r="AC576" s="24">
        <v>45796.412063043979</v>
      </c>
      <c r="AD576" s="24">
        <v>45870.672556134261</v>
      </c>
      <c r="AE576">
        <v>2</v>
      </c>
      <c r="AF576" s="24"/>
      <c r="AG576" s="24"/>
      <c r="AH576" s="24"/>
      <c r="AI576" s="24"/>
      <c r="AK576" s="24"/>
      <c r="AL576" s="24"/>
      <c r="AM576" s="24"/>
      <c r="AN576" s="24"/>
      <c r="AP576" s="24"/>
      <c r="AQ576" s="24"/>
      <c r="AR576" s="24">
        <v>45790.604336249999</v>
      </c>
      <c r="AS576" s="24">
        <v>45790.604336249999</v>
      </c>
      <c r="AX576" s="24"/>
      <c r="AY576" s="24"/>
      <c r="AZ576" s="24"/>
      <c r="BA576" s="24"/>
      <c r="BC576" s="24"/>
      <c r="BD576" s="24"/>
      <c r="BE576" s="24"/>
      <c r="BF576" s="24"/>
      <c r="BH576" s="24">
        <v>45790.604336249999</v>
      </c>
      <c r="BI576" s="24">
        <v>45790.604336249999</v>
      </c>
      <c r="BJ576" s="24">
        <v>45793.337836620369</v>
      </c>
      <c r="BK576" s="24">
        <v>45793.337836620369</v>
      </c>
      <c r="BL576">
        <v>1</v>
      </c>
      <c r="BM576" s="24"/>
      <c r="BN576" s="24"/>
      <c r="BO576" s="24"/>
      <c r="BP576" s="24"/>
      <c r="BR576" s="24">
        <v>45870.672556134261</v>
      </c>
      <c r="BS576" s="24">
        <v>45870.672556134261</v>
      </c>
      <c r="BT576" s="24">
        <v>45873.397314363428</v>
      </c>
      <c r="BU576" s="24">
        <v>45873.397314363428</v>
      </c>
      <c r="BV576">
        <v>1</v>
      </c>
      <c r="BW576" s="24"/>
      <c r="BX576" s="24"/>
      <c r="BY576" s="24"/>
      <c r="BZ576" s="24"/>
      <c r="CB576" s="24"/>
      <c r="CC576" s="24"/>
      <c r="CE576" s="24">
        <v>45873.397314363428</v>
      </c>
      <c r="CF576" s="24">
        <v>45873.397314363428</v>
      </c>
      <c r="CG576">
        <v>1</v>
      </c>
      <c r="CH576" s="24"/>
      <c r="CI576" s="24"/>
      <c r="CJ576" s="24"/>
      <c r="CK576" s="24"/>
      <c r="DE576" s="24"/>
      <c r="DF576" s="24"/>
      <c r="DG576" s="24"/>
      <c r="DH576" s="24"/>
      <c r="DJ576" t="s">
        <v>149</v>
      </c>
      <c r="DK576" t="s">
        <v>149</v>
      </c>
      <c r="DL576">
        <v>74.258898611111107</v>
      </c>
      <c r="DM576">
        <v>83</v>
      </c>
      <c r="DN576">
        <v>81</v>
      </c>
      <c r="DQ576" t="s">
        <v>1000</v>
      </c>
      <c r="DR576" t="s">
        <v>149</v>
      </c>
      <c r="DS576" s="24">
        <v>46160.384426226854</v>
      </c>
    </row>
    <row r="577" spans="1:123" x14ac:dyDescent="0.3">
      <c r="A577" t="s">
        <v>827</v>
      </c>
      <c r="D577" t="s">
        <v>225</v>
      </c>
      <c r="E577" s="24">
        <v>45707.381909722222</v>
      </c>
      <c r="G577" t="s">
        <v>150</v>
      </c>
      <c r="H577" t="s">
        <v>155</v>
      </c>
      <c r="I577" s="24"/>
      <c r="J577" s="24"/>
      <c r="K577" s="24"/>
      <c r="L577" s="24"/>
      <c r="N577" s="24"/>
      <c r="O577" s="24"/>
      <c r="P577" s="24"/>
      <c r="Q577" s="24"/>
      <c r="V577" s="24"/>
      <c r="W577" s="24"/>
      <c r="X577" s="24"/>
      <c r="Y577" s="24"/>
      <c r="AA577" s="24"/>
      <c r="AB577" s="24"/>
      <c r="AC577" s="24"/>
      <c r="AD577" s="24"/>
      <c r="AF577" s="24"/>
      <c r="AG577" s="24"/>
      <c r="AH577" s="24"/>
      <c r="AI577" s="24"/>
      <c r="AK577" s="24"/>
      <c r="AL577" s="24"/>
      <c r="AM577" s="24"/>
      <c r="AN577" s="24"/>
      <c r="AP577" s="24"/>
      <c r="AQ577" s="24"/>
      <c r="AR577" s="24">
        <v>45825.348082986115</v>
      </c>
      <c r="AS577" s="24">
        <v>45825.348082986115</v>
      </c>
      <c r="AX577" s="24"/>
      <c r="AY577" s="24"/>
      <c r="AZ577" s="24"/>
      <c r="BA577" s="24"/>
      <c r="BC577" s="24"/>
      <c r="BD577" s="24"/>
      <c r="BE577" s="24"/>
      <c r="BF577" s="24"/>
      <c r="BH577" s="24"/>
      <c r="BI577" s="24"/>
      <c r="BJ577" s="24"/>
      <c r="BK577" s="24"/>
      <c r="BM577" s="24"/>
      <c r="BN577" s="24"/>
      <c r="BO577" s="24"/>
      <c r="BP577" s="24"/>
      <c r="BR577" s="24"/>
      <c r="BS577" s="24"/>
      <c r="BT577" s="24"/>
      <c r="BU577" s="24"/>
      <c r="BW577" s="24"/>
      <c r="BX577" s="24"/>
      <c r="BY577" s="24"/>
      <c r="BZ577" s="24"/>
      <c r="CB577" s="24">
        <v>45825.348082986115</v>
      </c>
      <c r="CC577" s="24">
        <v>45825.348082986115</v>
      </c>
      <c r="CD577">
        <v>1</v>
      </c>
      <c r="CE577" s="24"/>
      <c r="CF577" s="24"/>
      <c r="CH577" s="24"/>
      <c r="CI577" s="24"/>
      <c r="CJ577" s="24"/>
      <c r="CK577" s="24"/>
      <c r="DE577" s="24"/>
      <c r="DF577" s="24"/>
      <c r="DG577" s="24"/>
      <c r="DH577" s="24"/>
      <c r="DJ577" t="s">
        <v>149</v>
      </c>
      <c r="DK577" t="s">
        <v>149</v>
      </c>
      <c r="DQ577" t="s">
        <v>1000</v>
      </c>
      <c r="DR577" t="s">
        <v>149</v>
      </c>
      <c r="DS577" s="24">
        <v>46160.384426226854</v>
      </c>
    </row>
    <row r="578" spans="1:123" x14ac:dyDescent="0.3">
      <c r="A578" t="s">
        <v>828</v>
      </c>
      <c r="D578" t="s">
        <v>223</v>
      </c>
      <c r="E578" s="24">
        <v>45706.419340277775</v>
      </c>
      <c r="G578" t="s">
        <v>150</v>
      </c>
      <c r="H578" t="s">
        <v>155</v>
      </c>
      <c r="I578" s="24"/>
      <c r="J578" s="24"/>
      <c r="K578" s="24"/>
      <c r="L578" s="24"/>
      <c r="N578" s="24"/>
      <c r="O578" s="24"/>
      <c r="P578" s="24"/>
      <c r="Q578" s="24"/>
      <c r="V578" s="24"/>
      <c r="W578" s="24"/>
      <c r="X578" s="24"/>
      <c r="Y578" s="24"/>
      <c r="AA578" s="24"/>
      <c r="AB578" s="24"/>
      <c r="AC578" s="24"/>
      <c r="AD578" s="24"/>
      <c r="AF578" s="24"/>
      <c r="AG578" s="24"/>
      <c r="AH578" s="24"/>
      <c r="AI578" s="24"/>
      <c r="AK578" s="24"/>
      <c r="AL578" s="24"/>
      <c r="AM578" s="24"/>
      <c r="AN578" s="24"/>
      <c r="AP578" s="24"/>
      <c r="AQ578" s="24"/>
      <c r="AR578" s="24">
        <v>45706.432889594907</v>
      </c>
      <c r="AS578" s="24">
        <v>45706.432889594907</v>
      </c>
      <c r="AX578" s="24"/>
      <c r="AY578" s="24"/>
      <c r="AZ578" s="24"/>
      <c r="BA578" s="24"/>
      <c r="BC578" s="24"/>
      <c r="BD578" s="24"/>
      <c r="BE578" s="24"/>
      <c r="BF578" s="24"/>
      <c r="BH578" s="24">
        <v>45706.432889594907</v>
      </c>
      <c r="BI578" s="24">
        <v>45706.432889594907</v>
      </c>
      <c r="BJ578" s="24">
        <v>45898.358413564813</v>
      </c>
      <c r="BK578" s="24">
        <v>45898.358413564813</v>
      </c>
      <c r="BL578">
        <v>1</v>
      </c>
      <c r="BM578" s="24"/>
      <c r="BN578" s="24"/>
      <c r="BO578" s="24"/>
      <c r="BP578" s="24"/>
      <c r="BR578" s="24"/>
      <c r="BS578" s="24"/>
      <c r="BT578" s="24"/>
      <c r="BU578" s="24"/>
      <c r="BW578" s="24"/>
      <c r="BX578" s="24"/>
      <c r="BY578" s="24"/>
      <c r="BZ578" s="24"/>
      <c r="CB578" s="24">
        <v>45898.358413564813</v>
      </c>
      <c r="CC578" s="24">
        <v>45898.358413564813</v>
      </c>
      <c r="CD578">
        <v>1</v>
      </c>
      <c r="CE578" s="24"/>
      <c r="CF578" s="24"/>
      <c r="CH578" s="24"/>
      <c r="CI578" s="24"/>
      <c r="CJ578" s="24"/>
      <c r="CK578" s="24"/>
      <c r="DE578" s="24"/>
      <c r="DF578" s="24"/>
      <c r="DG578" s="24"/>
      <c r="DH578" s="24"/>
      <c r="DJ578" t="s">
        <v>149</v>
      </c>
      <c r="DK578" t="s">
        <v>149</v>
      </c>
      <c r="DQ578" t="s">
        <v>1000</v>
      </c>
      <c r="DR578" t="s">
        <v>149</v>
      </c>
      <c r="DS578" s="24">
        <v>46160.384426226854</v>
      </c>
    </row>
    <row r="579" spans="1:123" x14ac:dyDescent="0.3">
      <c r="A579" t="s">
        <v>829</v>
      </c>
      <c r="D579" t="s">
        <v>225</v>
      </c>
      <c r="E579" s="24">
        <v>45699.597083333334</v>
      </c>
      <c r="G579" t="s">
        <v>150</v>
      </c>
      <c r="H579" t="s">
        <v>155</v>
      </c>
      <c r="I579" s="24"/>
      <c r="J579" s="24"/>
      <c r="K579" s="24"/>
      <c r="L579" s="24"/>
      <c r="N579" s="24"/>
      <c r="O579" s="24"/>
      <c r="P579" s="24"/>
      <c r="Q579" s="24"/>
      <c r="V579" s="24"/>
      <c r="W579" s="24"/>
      <c r="X579" s="24"/>
      <c r="Y579" s="24"/>
      <c r="AA579" s="24"/>
      <c r="AB579" s="24"/>
      <c r="AC579" s="24"/>
      <c r="AD579" s="24"/>
      <c r="AF579" s="24"/>
      <c r="AG579" s="24"/>
      <c r="AH579" s="24"/>
      <c r="AI579" s="24"/>
      <c r="AK579" s="24"/>
      <c r="AL579" s="24"/>
      <c r="AM579" s="24"/>
      <c r="AN579" s="24"/>
      <c r="AP579" s="24"/>
      <c r="AQ579" s="24"/>
      <c r="AR579" s="24">
        <v>45824.597660219908</v>
      </c>
      <c r="AS579" s="24">
        <v>45824.597660219908</v>
      </c>
      <c r="AX579" s="24"/>
      <c r="AY579" s="24"/>
      <c r="AZ579" s="24"/>
      <c r="BA579" s="24"/>
      <c r="BC579" s="24"/>
      <c r="BD579" s="24"/>
      <c r="BE579" s="24"/>
      <c r="BF579" s="24"/>
      <c r="BH579" s="24"/>
      <c r="BI579" s="24"/>
      <c r="BJ579" s="24"/>
      <c r="BK579" s="24"/>
      <c r="BM579" s="24"/>
      <c r="BN579" s="24"/>
      <c r="BO579" s="24"/>
      <c r="BP579" s="24"/>
      <c r="BR579" s="24"/>
      <c r="BS579" s="24"/>
      <c r="BT579" s="24"/>
      <c r="BU579" s="24"/>
      <c r="BW579" s="24"/>
      <c r="BX579" s="24"/>
      <c r="BY579" s="24"/>
      <c r="BZ579" s="24"/>
      <c r="CB579" s="24">
        <v>45824.597660219908</v>
      </c>
      <c r="CC579" s="24">
        <v>45824.597660219908</v>
      </c>
      <c r="CD579">
        <v>1</v>
      </c>
      <c r="CE579" s="24"/>
      <c r="CF579" s="24"/>
      <c r="CH579" s="24"/>
      <c r="CI579" s="24"/>
      <c r="CJ579" s="24"/>
      <c r="CK579" s="24"/>
      <c r="DE579" s="24"/>
      <c r="DF579" s="24"/>
      <c r="DG579" s="24"/>
      <c r="DH579" s="24"/>
      <c r="DJ579" t="s">
        <v>149</v>
      </c>
      <c r="DK579" t="s">
        <v>149</v>
      </c>
      <c r="DQ579" t="s">
        <v>1000</v>
      </c>
      <c r="DR579" t="s">
        <v>149</v>
      </c>
      <c r="DS579" s="24">
        <v>46160.384426226854</v>
      </c>
    </row>
    <row r="580" spans="1:123" x14ac:dyDescent="0.3">
      <c r="A580" t="s">
        <v>830</v>
      </c>
      <c r="D580" t="s">
        <v>225</v>
      </c>
      <c r="E580" s="24">
        <v>45699.352800925924</v>
      </c>
      <c r="G580" t="s">
        <v>150</v>
      </c>
      <c r="H580" t="s">
        <v>155</v>
      </c>
      <c r="I580" s="24"/>
      <c r="J580" s="24"/>
      <c r="K580" s="24"/>
      <c r="L580" s="24"/>
      <c r="N580" s="24"/>
      <c r="O580" s="24"/>
      <c r="P580" s="24"/>
      <c r="Q580" s="24"/>
      <c r="V580" s="24"/>
      <c r="W580" s="24"/>
      <c r="X580" s="24"/>
      <c r="Y580" s="24"/>
      <c r="AA580" s="24"/>
      <c r="AB580" s="24"/>
      <c r="AC580" s="24"/>
      <c r="AD580" s="24"/>
      <c r="AF580" s="24"/>
      <c r="AG580" s="24"/>
      <c r="AH580" s="24"/>
      <c r="AI580" s="24"/>
      <c r="AK580" s="24"/>
      <c r="AL580" s="24"/>
      <c r="AM580" s="24"/>
      <c r="AN580" s="24"/>
      <c r="AP580" s="24"/>
      <c r="AQ580" s="24"/>
      <c r="AR580" s="24">
        <v>45699.354468368052</v>
      </c>
      <c r="AS580" s="24">
        <v>45699.354468368052</v>
      </c>
      <c r="AX580" s="24"/>
      <c r="AY580" s="24"/>
      <c r="AZ580" s="24"/>
      <c r="BA580" s="24"/>
      <c r="BC580" s="24"/>
      <c r="BD580" s="24"/>
      <c r="BE580" s="24"/>
      <c r="BF580" s="24"/>
      <c r="BH580" s="24">
        <v>45699.354468368052</v>
      </c>
      <c r="BI580" s="24">
        <v>45699.354468368052</v>
      </c>
      <c r="BJ580" s="24">
        <v>45841.455237083333</v>
      </c>
      <c r="BK580" s="24">
        <v>45841.455237083333</v>
      </c>
      <c r="BL580">
        <v>1</v>
      </c>
      <c r="BM580" s="24"/>
      <c r="BN580" s="24"/>
      <c r="BO580" s="24"/>
      <c r="BP580" s="24"/>
      <c r="BR580" s="24"/>
      <c r="BS580" s="24"/>
      <c r="BT580" s="24"/>
      <c r="BU580" s="24"/>
      <c r="BW580" s="24"/>
      <c r="BX580" s="24"/>
      <c r="BY580" s="24"/>
      <c r="BZ580" s="24"/>
      <c r="CB580" s="24">
        <v>45841.455237083333</v>
      </c>
      <c r="CC580" s="24">
        <v>45841.455237083333</v>
      </c>
      <c r="CD580">
        <v>1</v>
      </c>
      <c r="CE580" s="24"/>
      <c r="CF580" s="24"/>
      <c r="CH580" s="24"/>
      <c r="CI580" s="24"/>
      <c r="CJ580" s="24"/>
      <c r="CK580" s="24"/>
      <c r="DE580" s="24"/>
      <c r="DF580" s="24"/>
      <c r="DG580" s="24"/>
      <c r="DH580" s="24"/>
      <c r="DJ580" t="s">
        <v>149</v>
      </c>
      <c r="DK580" t="s">
        <v>149</v>
      </c>
      <c r="DQ580" t="s">
        <v>1000</v>
      </c>
      <c r="DR580" t="s">
        <v>149</v>
      </c>
      <c r="DS580" s="24">
        <v>46160.384426226854</v>
      </c>
    </row>
    <row r="581" spans="1:123" x14ac:dyDescent="0.3">
      <c r="A581" t="s">
        <v>831</v>
      </c>
      <c r="D581" t="s">
        <v>225</v>
      </c>
      <c r="E581" s="24">
        <v>45698.47896990741</v>
      </c>
      <c r="G581" t="s">
        <v>150</v>
      </c>
      <c r="H581" t="s">
        <v>155</v>
      </c>
      <c r="I581" s="24"/>
      <c r="J581" s="24"/>
      <c r="K581" s="24"/>
      <c r="L581" s="24"/>
      <c r="N581" s="24"/>
      <c r="O581" s="24"/>
      <c r="P581" s="24"/>
      <c r="Q581" s="24"/>
      <c r="V581" s="24"/>
      <c r="W581" s="24"/>
      <c r="X581" s="24"/>
      <c r="Y581" s="24"/>
      <c r="AA581" s="24"/>
      <c r="AB581" s="24"/>
      <c r="AC581" s="24"/>
      <c r="AD581" s="24"/>
      <c r="AF581" s="24"/>
      <c r="AG581" s="24"/>
      <c r="AH581" s="24"/>
      <c r="AI581" s="24"/>
      <c r="AK581" s="24"/>
      <c r="AL581" s="24"/>
      <c r="AM581" s="24"/>
      <c r="AN581" s="24"/>
      <c r="AP581" s="24"/>
      <c r="AQ581" s="24"/>
      <c r="AR581" s="24">
        <v>45824.596972280095</v>
      </c>
      <c r="AS581" s="24">
        <v>45824.596972280095</v>
      </c>
      <c r="AX581" s="24"/>
      <c r="AY581" s="24"/>
      <c r="AZ581" s="24"/>
      <c r="BA581" s="24"/>
      <c r="BC581" s="24"/>
      <c r="BD581" s="24"/>
      <c r="BE581" s="24"/>
      <c r="BF581" s="24"/>
      <c r="BH581" s="24"/>
      <c r="BI581" s="24"/>
      <c r="BJ581" s="24"/>
      <c r="BK581" s="24"/>
      <c r="BM581" s="24"/>
      <c r="BN581" s="24"/>
      <c r="BO581" s="24"/>
      <c r="BP581" s="24"/>
      <c r="BR581" s="24"/>
      <c r="BS581" s="24"/>
      <c r="BT581" s="24"/>
      <c r="BU581" s="24"/>
      <c r="BW581" s="24"/>
      <c r="BX581" s="24"/>
      <c r="BY581" s="24"/>
      <c r="BZ581" s="24"/>
      <c r="CB581" s="24">
        <v>45824.596972280095</v>
      </c>
      <c r="CC581" s="24">
        <v>45824.596972280095</v>
      </c>
      <c r="CD581">
        <v>1</v>
      </c>
      <c r="CE581" s="24"/>
      <c r="CF581" s="24"/>
      <c r="CH581" s="24"/>
      <c r="CI581" s="24"/>
      <c r="CJ581" s="24"/>
      <c r="CK581" s="24"/>
      <c r="DE581" s="24"/>
      <c r="DF581" s="24"/>
      <c r="DG581" s="24"/>
      <c r="DH581" s="24"/>
      <c r="DJ581" t="s">
        <v>149</v>
      </c>
      <c r="DK581" t="s">
        <v>149</v>
      </c>
      <c r="DQ581" t="s">
        <v>1000</v>
      </c>
      <c r="DR581" t="s">
        <v>149</v>
      </c>
      <c r="DS581" s="24">
        <v>46160.384426226854</v>
      </c>
    </row>
    <row r="582" spans="1:123" x14ac:dyDescent="0.3">
      <c r="A582" t="s">
        <v>832</v>
      </c>
      <c r="D582" t="s">
        <v>225</v>
      </c>
      <c r="E582" s="24">
        <v>45698.469641203701</v>
      </c>
      <c r="G582" t="s">
        <v>150</v>
      </c>
      <c r="H582" t="s">
        <v>155</v>
      </c>
      <c r="I582" s="24"/>
      <c r="J582" s="24"/>
      <c r="K582" s="24"/>
      <c r="L582" s="24"/>
      <c r="N582" s="24"/>
      <c r="O582" s="24"/>
      <c r="P582" s="24"/>
      <c r="Q582" s="24"/>
      <c r="V582" s="24"/>
      <c r="W582" s="24"/>
      <c r="X582" s="24"/>
      <c r="Y582" s="24"/>
      <c r="AA582" s="24"/>
      <c r="AB582" s="24"/>
      <c r="AC582" s="24"/>
      <c r="AD582" s="24"/>
      <c r="AF582" s="24"/>
      <c r="AG582" s="24"/>
      <c r="AH582" s="24"/>
      <c r="AI582" s="24"/>
      <c r="AK582" s="24"/>
      <c r="AL582" s="24"/>
      <c r="AM582" s="24"/>
      <c r="AN582" s="24"/>
      <c r="AP582" s="24"/>
      <c r="AQ582" s="24"/>
      <c r="AR582" s="24">
        <v>45824.598308263892</v>
      </c>
      <c r="AS582" s="24">
        <v>45824.598308263892</v>
      </c>
      <c r="AX582" s="24"/>
      <c r="AY582" s="24"/>
      <c r="AZ582" s="24"/>
      <c r="BA582" s="24"/>
      <c r="BC582" s="24"/>
      <c r="BD582" s="24"/>
      <c r="BE582" s="24"/>
      <c r="BF582" s="24"/>
      <c r="BH582" s="24"/>
      <c r="BI582" s="24"/>
      <c r="BJ582" s="24"/>
      <c r="BK582" s="24"/>
      <c r="BM582" s="24"/>
      <c r="BN582" s="24"/>
      <c r="BO582" s="24"/>
      <c r="BP582" s="24"/>
      <c r="BR582" s="24"/>
      <c r="BS582" s="24"/>
      <c r="BT582" s="24"/>
      <c r="BU582" s="24"/>
      <c r="BW582" s="24"/>
      <c r="BX582" s="24"/>
      <c r="BY582" s="24"/>
      <c r="BZ582" s="24"/>
      <c r="CB582" s="24">
        <v>45824.598308263892</v>
      </c>
      <c r="CC582" s="24">
        <v>45824.598308263892</v>
      </c>
      <c r="CD582">
        <v>1</v>
      </c>
      <c r="CE582" s="24"/>
      <c r="CF582" s="24"/>
      <c r="CH582" s="24"/>
      <c r="CI582" s="24"/>
      <c r="CJ582" s="24"/>
      <c r="CK582" s="24"/>
      <c r="DE582" s="24"/>
      <c r="DF582" s="24"/>
      <c r="DG582" s="24"/>
      <c r="DH582" s="24"/>
      <c r="DJ582" t="s">
        <v>149</v>
      </c>
      <c r="DK582" t="s">
        <v>149</v>
      </c>
      <c r="DQ582" t="s">
        <v>1000</v>
      </c>
      <c r="DR582" t="s">
        <v>149</v>
      </c>
      <c r="DS582" s="24">
        <v>46160.384426226854</v>
      </c>
    </row>
    <row r="583" spans="1:123" x14ac:dyDescent="0.3">
      <c r="A583" t="s">
        <v>833</v>
      </c>
      <c r="D583" t="s">
        <v>225</v>
      </c>
      <c r="E583" s="24">
        <v>45698.467523148145</v>
      </c>
      <c r="G583" t="s">
        <v>150</v>
      </c>
      <c r="H583" t="s">
        <v>155</v>
      </c>
      <c r="I583" s="24">
        <v>45873.401082557873</v>
      </c>
      <c r="J583" s="24">
        <v>45873.401082557873</v>
      </c>
      <c r="K583" s="24">
        <v>45873.401172893522</v>
      </c>
      <c r="L583" s="24">
        <v>45873.401172893522</v>
      </c>
      <c r="M583">
        <v>1</v>
      </c>
      <c r="N583" s="24">
        <v>45756.723092453707</v>
      </c>
      <c r="O583" s="24">
        <v>45756.723092453707</v>
      </c>
      <c r="P583" s="24">
        <v>45873.401082557873</v>
      </c>
      <c r="Q583" s="24">
        <v>45873.401082557873</v>
      </c>
      <c r="R583">
        <v>1</v>
      </c>
      <c r="V583" s="24"/>
      <c r="W583" s="24"/>
      <c r="X583" s="24"/>
      <c r="Y583" s="24"/>
      <c r="AA583" s="24">
        <v>45951.702915358794</v>
      </c>
      <c r="AB583" s="24">
        <v>45756.498730636573</v>
      </c>
      <c r="AC583" s="24">
        <v>45756.723092453707</v>
      </c>
      <c r="AD583" s="24">
        <v>45958.655435104163</v>
      </c>
      <c r="AE583">
        <v>2</v>
      </c>
      <c r="AF583" s="24">
        <v>45958.655435104163</v>
      </c>
      <c r="AG583" s="24">
        <v>45958.655435104163</v>
      </c>
      <c r="AH583" s="24">
        <v>45958.655493749997</v>
      </c>
      <c r="AI583" s="24">
        <v>45958.655493749997</v>
      </c>
      <c r="AJ583">
        <v>1</v>
      </c>
      <c r="AK583" s="24">
        <v>45958.655493749997</v>
      </c>
      <c r="AL583" s="24">
        <v>45958.655493749997</v>
      </c>
      <c r="AM583" s="24">
        <v>45958.655530138887</v>
      </c>
      <c r="AN583" s="24">
        <v>45958.655530138887</v>
      </c>
      <c r="AO583">
        <v>1</v>
      </c>
      <c r="AP583" s="24"/>
      <c r="AQ583" s="24"/>
      <c r="AR583" s="24">
        <v>45748.591927870373</v>
      </c>
      <c r="AS583" s="24">
        <v>45748.591927870373</v>
      </c>
      <c r="AX583" s="24"/>
      <c r="AY583" s="24"/>
      <c r="AZ583" s="24"/>
      <c r="BA583" s="24"/>
      <c r="BC583" s="24"/>
      <c r="BD583" s="24"/>
      <c r="BE583" s="24"/>
      <c r="BF583" s="24"/>
      <c r="BH583" s="24">
        <v>45873.401172893522</v>
      </c>
      <c r="BI583" s="24">
        <v>45748.591927870373</v>
      </c>
      <c r="BJ583" s="24">
        <v>45756.498730636573</v>
      </c>
      <c r="BK583" s="24">
        <v>45951.702915358794</v>
      </c>
      <c r="BL583">
        <v>2</v>
      </c>
      <c r="BM583" s="24"/>
      <c r="BN583" s="24"/>
      <c r="BO583" s="24"/>
      <c r="BP583" s="24"/>
      <c r="BR583" s="24">
        <v>45958.655530138887</v>
      </c>
      <c r="BS583" s="24">
        <v>45958.655530138887</v>
      </c>
      <c r="BT583" s="24">
        <v>45959.406152696756</v>
      </c>
      <c r="BU583" s="24">
        <v>45959.406152696756</v>
      </c>
      <c r="BV583">
        <v>1</v>
      </c>
      <c r="BW583" s="24"/>
      <c r="BX583" s="24"/>
      <c r="BY583" s="24"/>
      <c r="BZ583" s="24"/>
      <c r="CB583" s="24">
        <v>45959.406152696756</v>
      </c>
      <c r="CC583" s="24">
        <v>45959.406152696756</v>
      </c>
      <c r="CD583">
        <v>1</v>
      </c>
      <c r="CE583" s="24"/>
      <c r="CF583" s="24"/>
      <c r="CH583" s="24"/>
      <c r="CI583" s="24"/>
      <c r="CJ583" s="24"/>
      <c r="CK583" s="24"/>
      <c r="DE583" s="24"/>
      <c r="DF583" s="24"/>
      <c r="DG583" s="24"/>
      <c r="DH583" s="24"/>
      <c r="DJ583" t="s">
        <v>149</v>
      </c>
      <c r="DK583" t="s">
        <v>149</v>
      </c>
      <c r="DL583">
        <v>116.6779900462963</v>
      </c>
      <c r="DQ583" t="s">
        <v>1000</v>
      </c>
      <c r="DR583" t="s">
        <v>149</v>
      </c>
      <c r="DS583" s="24">
        <v>46160.384426226854</v>
      </c>
    </row>
    <row r="584" spans="1:123" x14ac:dyDescent="0.3">
      <c r="A584" t="s">
        <v>834</v>
      </c>
      <c r="D584" t="s">
        <v>225</v>
      </c>
      <c r="E584" s="24">
        <v>45698.465902777774</v>
      </c>
      <c r="G584" t="s">
        <v>150</v>
      </c>
      <c r="H584" t="s">
        <v>155</v>
      </c>
      <c r="I584" s="24"/>
      <c r="J584" s="24"/>
      <c r="K584" s="24"/>
      <c r="L584" s="24"/>
      <c r="N584" s="24"/>
      <c r="O584" s="24"/>
      <c r="P584" s="24"/>
      <c r="Q584" s="24"/>
      <c r="V584" s="24"/>
      <c r="W584" s="24"/>
      <c r="X584" s="24"/>
      <c r="Y584" s="24"/>
      <c r="AA584" s="24"/>
      <c r="AB584" s="24"/>
      <c r="AC584" s="24"/>
      <c r="AD584" s="24"/>
      <c r="AF584" s="24"/>
      <c r="AG584" s="24"/>
      <c r="AH584" s="24"/>
      <c r="AI584" s="24"/>
      <c r="AK584" s="24"/>
      <c r="AL584" s="24"/>
      <c r="AM584" s="24"/>
      <c r="AN584" s="24"/>
      <c r="AP584" s="24"/>
      <c r="AQ584" s="24"/>
      <c r="AR584" s="24">
        <v>45824.597834675929</v>
      </c>
      <c r="AS584" s="24">
        <v>45824.597834675929</v>
      </c>
      <c r="AX584" s="24"/>
      <c r="AY584" s="24"/>
      <c r="AZ584" s="24"/>
      <c r="BA584" s="24"/>
      <c r="BC584" s="24"/>
      <c r="BD584" s="24"/>
      <c r="BE584" s="24"/>
      <c r="BF584" s="24"/>
      <c r="BH584" s="24"/>
      <c r="BI584" s="24"/>
      <c r="BJ584" s="24"/>
      <c r="BK584" s="24"/>
      <c r="BM584" s="24"/>
      <c r="BN584" s="24"/>
      <c r="BO584" s="24"/>
      <c r="BP584" s="24"/>
      <c r="BR584" s="24"/>
      <c r="BS584" s="24"/>
      <c r="BT584" s="24"/>
      <c r="BU584" s="24"/>
      <c r="BW584" s="24"/>
      <c r="BX584" s="24"/>
      <c r="BY584" s="24"/>
      <c r="BZ584" s="24"/>
      <c r="CB584" s="24">
        <v>45824.597834675929</v>
      </c>
      <c r="CC584" s="24">
        <v>45824.597834675929</v>
      </c>
      <c r="CD584">
        <v>1</v>
      </c>
      <c r="CE584" s="24"/>
      <c r="CF584" s="24"/>
      <c r="CH584" s="24"/>
      <c r="CI584" s="24"/>
      <c r="CJ584" s="24"/>
      <c r="CK584" s="24"/>
      <c r="DE584" s="24"/>
      <c r="DF584" s="24"/>
      <c r="DG584" s="24"/>
      <c r="DH584" s="24"/>
      <c r="DJ584" t="s">
        <v>149</v>
      </c>
      <c r="DK584" t="s">
        <v>149</v>
      </c>
      <c r="DQ584" t="s">
        <v>1000</v>
      </c>
      <c r="DR584" t="s">
        <v>149</v>
      </c>
      <c r="DS584" s="24">
        <v>46160.384426226854</v>
      </c>
    </row>
    <row r="585" spans="1:123" x14ac:dyDescent="0.3">
      <c r="A585" t="s">
        <v>835</v>
      </c>
      <c r="D585" t="s">
        <v>225</v>
      </c>
      <c r="E585" s="24">
        <v>45698.43478009259</v>
      </c>
      <c r="G585" t="s">
        <v>150</v>
      </c>
      <c r="H585" t="s">
        <v>155</v>
      </c>
      <c r="I585" s="24"/>
      <c r="J585" s="24"/>
      <c r="K585" s="24"/>
      <c r="L585" s="24"/>
      <c r="N585" s="24"/>
      <c r="O585" s="24"/>
      <c r="P585" s="24"/>
      <c r="Q585" s="24"/>
      <c r="V585" s="24"/>
      <c r="W585" s="24"/>
      <c r="X585" s="24"/>
      <c r="Y585" s="24"/>
      <c r="AA585" s="24"/>
      <c r="AB585" s="24"/>
      <c r="AC585" s="24"/>
      <c r="AD585" s="24"/>
      <c r="AF585" s="24"/>
      <c r="AG585" s="24"/>
      <c r="AH585" s="24"/>
      <c r="AI585" s="24"/>
      <c r="AK585" s="24"/>
      <c r="AL585" s="24"/>
      <c r="AM585" s="24"/>
      <c r="AN585" s="24"/>
      <c r="AP585" s="24"/>
      <c r="AQ585" s="24"/>
      <c r="AR585" s="24">
        <v>45824.597444837964</v>
      </c>
      <c r="AS585" s="24">
        <v>45824.597444837964</v>
      </c>
      <c r="AX585" s="24"/>
      <c r="AY585" s="24"/>
      <c r="AZ585" s="24"/>
      <c r="BA585" s="24"/>
      <c r="BC585" s="24"/>
      <c r="BD585" s="24"/>
      <c r="BE585" s="24"/>
      <c r="BF585" s="24"/>
      <c r="BH585" s="24"/>
      <c r="BI585" s="24"/>
      <c r="BJ585" s="24"/>
      <c r="BK585" s="24"/>
      <c r="BM585" s="24"/>
      <c r="BN585" s="24"/>
      <c r="BO585" s="24"/>
      <c r="BP585" s="24"/>
      <c r="BR585" s="24"/>
      <c r="BS585" s="24"/>
      <c r="BT585" s="24"/>
      <c r="BU585" s="24"/>
      <c r="BW585" s="24"/>
      <c r="BX585" s="24"/>
      <c r="BY585" s="24"/>
      <c r="BZ585" s="24"/>
      <c r="CB585" s="24">
        <v>45824.597444837964</v>
      </c>
      <c r="CC585" s="24">
        <v>45824.597444837964</v>
      </c>
      <c r="CD585">
        <v>1</v>
      </c>
      <c r="CE585" s="24"/>
      <c r="CF585" s="24"/>
      <c r="CH585" s="24"/>
      <c r="CI585" s="24"/>
      <c r="CJ585" s="24"/>
      <c r="CK585" s="24"/>
      <c r="DE585" s="24"/>
      <c r="DF585" s="24"/>
      <c r="DG585" s="24"/>
      <c r="DH585" s="24"/>
      <c r="DJ585" t="s">
        <v>149</v>
      </c>
      <c r="DK585" t="s">
        <v>149</v>
      </c>
      <c r="DQ585" t="s">
        <v>1000</v>
      </c>
      <c r="DR585" t="s">
        <v>149</v>
      </c>
      <c r="DS585" s="24">
        <v>46160.384426226854</v>
      </c>
    </row>
    <row r="586" spans="1:123" x14ac:dyDescent="0.3">
      <c r="A586" t="s">
        <v>836</v>
      </c>
      <c r="D586" t="s">
        <v>225</v>
      </c>
      <c r="E586" s="24">
        <v>45695.617418981485</v>
      </c>
      <c r="G586" t="s">
        <v>150</v>
      </c>
      <c r="H586" t="s">
        <v>155</v>
      </c>
      <c r="I586" s="24"/>
      <c r="J586" s="24"/>
      <c r="K586" s="24"/>
      <c r="L586" s="24"/>
      <c r="N586" s="24"/>
      <c r="O586" s="24"/>
      <c r="P586" s="24"/>
      <c r="Q586" s="24"/>
      <c r="V586" s="24"/>
      <c r="W586" s="24"/>
      <c r="X586" s="24"/>
      <c r="Y586" s="24"/>
      <c r="AA586" s="24"/>
      <c r="AB586" s="24"/>
      <c r="AC586" s="24"/>
      <c r="AD586" s="24"/>
      <c r="AF586" s="24"/>
      <c r="AG586" s="24"/>
      <c r="AH586" s="24"/>
      <c r="AI586" s="24"/>
      <c r="AK586" s="24"/>
      <c r="AL586" s="24"/>
      <c r="AM586" s="24"/>
      <c r="AN586" s="24"/>
      <c r="AP586" s="24"/>
      <c r="AQ586" s="24"/>
      <c r="AR586" s="24">
        <v>46003.436193275462</v>
      </c>
      <c r="AS586" s="24">
        <v>46003.436193275462</v>
      </c>
      <c r="AX586" s="24"/>
      <c r="AY586" s="24"/>
      <c r="AZ586" s="24"/>
      <c r="BA586" s="24"/>
      <c r="BC586" s="24"/>
      <c r="BD586" s="24"/>
      <c r="BE586" s="24"/>
      <c r="BF586" s="24"/>
      <c r="BH586" s="24"/>
      <c r="BI586" s="24"/>
      <c r="BJ586" s="24"/>
      <c r="BK586" s="24"/>
      <c r="BM586" s="24"/>
      <c r="BN586" s="24"/>
      <c r="BO586" s="24"/>
      <c r="BP586" s="24"/>
      <c r="BR586" s="24"/>
      <c r="BS586" s="24"/>
      <c r="BT586" s="24"/>
      <c r="BU586" s="24"/>
      <c r="BW586" s="24"/>
      <c r="BX586" s="24"/>
      <c r="BY586" s="24"/>
      <c r="BZ586" s="24"/>
      <c r="CB586" s="24">
        <v>46003.436193275462</v>
      </c>
      <c r="CC586" s="24">
        <v>46003.436193275462</v>
      </c>
      <c r="CD586">
        <v>1</v>
      </c>
      <c r="CE586" s="24"/>
      <c r="CF586" s="24"/>
      <c r="CH586" s="24"/>
      <c r="CI586" s="24"/>
      <c r="CJ586" s="24"/>
      <c r="CK586" s="24"/>
      <c r="DE586" s="24"/>
      <c r="DF586" s="24"/>
      <c r="DG586" s="24"/>
      <c r="DH586" s="24"/>
      <c r="DJ586" t="s">
        <v>149</v>
      </c>
      <c r="DK586" t="s">
        <v>149</v>
      </c>
      <c r="DQ586" t="s">
        <v>1000</v>
      </c>
      <c r="DR586" t="s">
        <v>149</v>
      </c>
      <c r="DS586" s="24">
        <v>46160.384426226854</v>
      </c>
    </row>
    <row r="587" spans="1:123" x14ac:dyDescent="0.3">
      <c r="A587" t="s">
        <v>837</v>
      </c>
      <c r="D587" t="s">
        <v>225</v>
      </c>
      <c r="E587" s="24">
        <v>45691.668182870373</v>
      </c>
      <c r="G587" t="s">
        <v>102</v>
      </c>
      <c r="H587" t="s">
        <v>154</v>
      </c>
      <c r="I587" s="24"/>
      <c r="J587" s="24"/>
      <c r="K587" s="24"/>
      <c r="L587" s="24"/>
      <c r="N587" s="24"/>
      <c r="O587" s="24"/>
      <c r="P587" s="24"/>
      <c r="Q587" s="24"/>
      <c r="V587" s="24"/>
      <c r="W587" s="24"/>
      <c r="X587" s="24"/>
      <c r="Y587" s="24"/>
      <c r="AA587" s="24"/>
      <c r="AB587" s="24"/>
      <c r="AC587" s="24"/>
      <c r="AD587" s="24"/>
      <c r="AF587" s="24"/>
      <c r="AG587" s="24"/>
      <c r="AH587" s="24"/>
      <c r="AI587" s="24"/>
      <c r="AK587" s="24"/>
      <c r="AL587" s="24"/>
      <c r="AM587" s="24"/>
      <c r="AN587" s="24"/>
      <c r="AP587" s="24"/>
      <c r="AQ587" s="24"/>
      <c r="AR587" s="24"/>
      <c r="AS587" s="24"/>
      <c r="AX587" s="24"/>
      <c r="AY587" s="24"/>
      <c r="AZ587" s="24"/>
      <c r="BA587" s="24"/>
      <c r="BC587" s="24"/>
      <c r="BD587" s="24"/>
      <c r="BE587" s="24"/>
      <c r="BF587" s="24"/>
      <c r="BH587" s="24"/>
      <c r="BI587" s="24"/>
      <c r="BJ587" s="24"/>
      <c r="BK587" s="24"/>
      <c r="BM587" s="24"/>
      <c r="BN587" s="24"/>
      <c r="BO587" s="24"/>
      <c r="BP587" s="24"/>
      <c r="BR587" s="24"/>
      <c r="BS587" s="24"/>
      <c r="BT587" s="24"/>
      <c r="BU587" s="24"/>
      <c r="BW587" s="24"/>
      <c r="BX587" s="24"/>
      <c r="BY587" s="24"/>
      <c r="BZ587" s="24"/>
      <c r="CB587" s="24"/>
      <c r="CC587" s="24"/>
      <c r="CE587" s="24"/>
      <c r="CF587" s="24"/>
      <c r="CH587" s="24"/>
      <c r="CI587" s="24"/>
      <c r="CJ587" s="24"/>
      <c r="CK587" s="24"/>
      <c r="DE587" s="24"/>
      <c r="DF587" s="24"/>
      <c r="DG587" s="24"/>
      <c r="DH587" s="24"/>
      <c r="DJ587" t="s">
        <v>149</v>
      </c>
      <c r="DK587" t="s">
        <v>149</v>
      </c>
      <c r="DQ587" t="s">
        <v>1000</v>
      </c>
      <c r="DR587" t="s">
        <v>149</v>
      </c>
      <c r="DS587" s="24">
        <v>46160.384426226854</v>
      </c>
    </row>
    <row r="588" spans="1:123" x14ac:dyDescent="0.3">
      <c r="A588" t="s">
        <v>838</v>
      </c>
      <c r="D588" t="s">
        <v>225</v>
      </c>
      <c r="E588" s="24">
        <v>45691.662094907406</v>
      </c>
      <c r="G588" t="s">
        <v>107</v>
      </c>
      <c r="H588" t="s">
        <v>154</v>
      </c>
      <c r="I588" s="24"/>
      <c r="J588" s="24"/>
      <c r="K588" s="24"/>
      <c r="L588" s="24"/>
      <c r="N588" s="24"/>
      <c r="O588" s="24"/>
      <c r="P588" s="24"/>
      <c r="Q588" s="24"/>
      <c r="V588" s="24"/>
      <c r="W588" s="24"/>
      <c r="X588" s="24"/>
      <c r="Y588" s="24"/>
      <c r="AA588" s="24"/>
      <c r="AB588" s="24"/>
      <c r="AC588" s="24"/>
      <c r="AD588" s="24"/>
      <c r="AF588" s="24"/>
      <c r="AG588" s="24"/>
      <c r="AH588" s="24"/>
      <c r="AI588" s="24"/>
      <c r="AK588" s="24"/>
      <c r="AL588" s="24"/>
      <c r="AM588" s="24"/>
      <c r="AN588" s="24"/>
      <c r="AP588" s="24"/>
      <c r="AQ588" s="24"/>
      <c r="AR588" s="24">
        <v>45706.348654606481</v>
      </c>
      <c r="AS588" s="24">
        <v>45706.348654606481</v>
      </c>
      <c r="AX588" s="24"/>
      <c r="AY588" s="24"/>
      <c r="AZ588" s="24"/>
      <c r="BA588" s="24"/>
      <c r="BC588" s="24"/>
      <c r="BD588" s="24"/>
      <c r="BE588" s="24"/>
      <c r="BF588" s="24"/>
      <c r="BH588" s="24">
        <v>45706.348654606481</v>
      </c>
      <c r="BI588" s="24">
        <v>45706.348654606481</v>
      </c>
      <c r="BJ588" s="24"/>
      <c r="BK588" s="24"/>
      <c r="BL588">
        <v>1</v>
      </c>
      <c r="BM588" s="24"/>
      <c r="BN588" s="24"/>
      <c r="BO588" s="24"/>
      <c r="BP588" s="24"/>
      <c r="BR588" s="24"/>
      <c r="BS588" s="24"/>
      <c r="BT588" s="24"/>
      <c r="BU588" s="24"/>
      <c r="BW588" s="24"/>
      <c r="BX588" s="24"/>
      <c r="BY588" s="24"/>
      <c r="BZ588" s="24"/>
      <c r="CB588" s="24"/>
      <c r="CC588" s="24"/>
      <c r="CE588" s="24"/>
      <c r="CF588" s="24"/>
      <c r="CH588" s="24"/>
      <c r="CI588" s="24"/>
      <c r="CJ588" s="24"/>
      <c r="CK588" s="24"/>
      <c r="DE588" s="24"/>
      <c r="DF588" s="24"/>
      <c r="DG588" s="24"/>
      <c r="DH588" s="24"/>
      <c r="DJ588" t="s">
        <v>149</v>
      </c>
      <c r="DK588" t="s">
        <v>149</v>
      </c>
      <c r="DP588">
        <v>455</v>
      </c>
      <c r="DQ588" t="s">
        <v>1000</v>
      </c>
      <c r="DR588" t="s">
        <v>149</v>
      </c>
      <c r="DS588" s="24">
        <v>46160.384426226854</v>
      </c>
    </row>
    <row r="589" spans="1:123" x14ac:dyDescent="0.3">
      <c r="A589" t="s">
        <v>839</v>
      </c>
      <c r="D589" t="s">
        <v>225</v>
      </c>
      <c r="E589" s="24">
        <v>45687.624062499999</v>
      </c>
      <c r="G589" t="s">
        <v>90</v>
      </c>
      <c r="H589" t="s">
        <v>155</v>
      </c>
      <c r="I589" s="24"/>
      <c r="J589" s="24"/>
      <c r="K589" s="24"/>
      <c r="L589" s="24"/>
      <c r="N589" s="24">
        <v>45812.591863842594</v>
      </c>
      <c r="O589" s="24">
        <v>45812.591863842594</v>
      </c>
      <c r="P589" s="24">
        <v>45818.643736435188</v>
      </c>
      <c r="Q589" s="24">
        <v>45818.643736435188</v>
      </c>
      <c r="R589">
        <v>1</v>
      </c>
      <c r="V589" s="24"/>
      <c r="W589" s="24"/>
      <c r="X589" s="24"/>
      <c r="Y589" s="24"/>
      <c r="AA589" s="24">
        <v>45818.643736435188</v>
      </c>
      <c r="AB589" s="24">
        <v>45805.483991689813</v>
      </c>
      <c r="AC589" s="24">
        <v>45812.591863842594</v>
      </c>
      <c r="AD589" s="24">
        <v>45818.649271192131</v>
      </c>
      <c r="AE589">
        <v>2</v>
      </c>
      <c r="AF589" s="24">
        <v>45818.649271192131</v>
      </c>
      <c r="AG589" s="24">
        <v>45818.649271192131</v>
      </c>
      <c r="AH589" s="24">
        <v>45818.649906331018</v>
      </c>
      <c r="AI589" s="24">
        <v>45818.649906331018</v>
      </c>
      <c r="AJ589">
        <v>1</v>
      </c>
      <c r="AK589" s="24">
        <v>45818.649906331018</v>
      </c>
      <c r="AL589" s="24">
        <v>45818.649906331018</v>
      </c>
      <c r="AM589" s="24">
        <v>45819.483628715279</v>
      </c>
      <c r="AN589" s="24">
        <v>45819.483628715279</v>
      </c>
      <c r="AO589">
        <v>1</v>
      </c>
      <c r="AP589" s="24"/>
      <c r="AQ589" s="24"/>
      <c r="AR589" s="24">
        <v>45805.48390658565</v>
      </c>
      <c r="AS589" s="24">
        <v>45805.48390658565</v>
      </c>
      <c r="AX589" s="24"/>
      <c r="AY589" s="24"/>
      <c r="AZ589" s="24"/>
      <c r="BA589" s="24"/>
      <c r="BC589" s="24">
        <v>45819.483753518522</v>
      </c>
      <c r="BD589" s="24">
        <v>45819.483753518522</v>
      </c>
      <c r="BE589" s="24">
        <v>45820.43234890046</v>
      </c>
      <c r="BF589" s="24">
        <v>45820.43234890046</v>
      </c>
      <c r="BG589">
        <v>1</v>
      </c>
      <c r="BH589" s="24">
        <v>45805.48390658565</v>
      </c>
      <c r="BI589" s="24">
        <v>45805.48390658565</v>
      </c>
      <c r="BJ589" s="24">
        <v>45805.483991689813</v>
      </c>
      <c r="BK589" s="24">
        <v>45805.483991689813</v>
      </c>
      <c r="BL589">
        <v>1</v>
      </c>
      <c r="BM589" s="24"/>
      <c r="BN589" s="24"/>
      <c r="BO589" s="24"/>
      <c r="BP589" s="24"/>
      <c r="BR589" s="24">
        <v>45819.483628715279</v>
      </c>
      <c r="BS589" s="24">
        <v>45819.483628715279</v>
      </c>
      <c r="BT589" s="24">
        <v>45819.483753518522</v>
      </c>
      <c r="BU589" s="24">
        <v>45819.483753518522</v>
      </c>
      <c r="BV589">
        <v>1</v>
      </c>
      <c r="BW589" s="24"/>
      <c r="BX589" s="24"/>
      <c r="BY589" s="24"/>
      <c r="BZ589" s="24"/>
      <c r="CB589" s="24"/>
      <c r="CC589" s="24"/>
      <c r="CE589" s="24">
        <v>45820.43234890046</v>
      </c>
      <c r="CF589" s="24">
        <v>45820.43234890046</v>
      </c>
      <c r="CG589">
        <v>1</v>
      </c>
      <c r="CH589" s="24"/>
      <c r="CI589" s="24"/>
      <c r="CJ589" s="24"/>
      <c r="CK589" s="24"/>
      <c r="DE589" s="24"/>
      <c r="DF589" s="24"/>
      <c r="DG589" s="24"/>
      <c r="DH589" s="24"/>
      <c r="DJ589" t="s">
        <v>149</v>
      </c>
      <c r="DK589" t="s">
        <v>149</v>
      </c>
      <c r="DL589">
        <v>6.0518725694444448</v>
      </c>
      <c r="DM589">
        <v>15</v>
      </c>
      <c r="DN589">
        <v>15</v>
      </c>
      <c r="DQ589" t="s">
        <v>1000</v>
      </c>
      <c r="DR589" t="s">
        <v>149</v>
      </c>
      <c r="DS589" s="24">
        <v>46160.384426226854</v>
      </c>
    </row>
    <row r="590" spans="1:123" x14ac:dyDescent="0.3">
      <c r="A590" t="s">
        <v>840</v>
      </c>
      <c r="D590" t="s">
        <v>223</v>
      </c>
      <c r="E590" s="24">
        <v>45687.615428240744</v>
      </c>
      <c r="G590" t="s">
        <v>90</v>
      </c>
      <c r="H590" t="s">
        <v>155</v>
      </c>
      <c r="I590" s="24"/>
      <c r="J590" s="24"/>
      <c r="K590" s="24"/>
      <c r="L590" s="24"/>
      <c r="N590" s="24">
        <v>45826.402919074077</v>
      </c>
      <c r="O590" s="24">
        <v>45826.402919074077</v>
      </c>
      <c r="P590" s="24">
        <v>45841.505042511577</v>
      </c>
      <c r="Q590" s="24">
        <v>45841.505042511577</v>
      </c>
      <c r="R590">
        <v>1</v>
      </c>
      <c r="V590" s="24"/>
      <c r="W590" s="24"/>
      <c r="X590" s="24"/>
      <c r="Y590" s="24"/>
      <c r="AA590" s="24">
        <v>45841.505042511577</v>
      </c>
      <c r="AB590" s="24">
        <v>45820.312147928242</v>
      </c>
      <c r="AC590" s="24">
        <v>45826.402919074077</v>
      </c>
      <c r="AD590" s="24">
        <v>45841.505166238429</v>
      </c>
      <c r="AE590">
        <v>2</v>
      </c>
      <c r="AF590" s="24"/>
      <c r="AG590" s="24"/>
      <c r="AH590" s="24"/>
      <c r="AI590" s="24"/>
      <c r="AK590" s="24"/>
      <c r="AL590" s="24"/>
      <c r="AM590" s="24"/>
      <c r="AN590" s="24"/>
      <c r="AP590" s="24"/>
      <c r="AQ590" s="24"/>
      <c r="AR590" s="24">
        <v>45818.614373020835</v>
      </c>
      <c r="AS590" s="24">
        <v>45818.614373020835</v>
      </c>
      <c r="AX590" s="24"/>
      <c r="AY590" s="24"/>
      <c r="AZ590" s="24"/>
      <c r="BA590" s="24"/>
      <c r="BC590" s="24"/>
      <c r="BD590" s="24"/>
      <c r="BE590" s="24"/>
      <c r="BF590" s="24"/>
      <c r="BH590" s="24">
        <v>45818.614373020835</v>
      </c>
      <c r="BI590" s="24">
        <v>45818.614373020835</v>
      </c>
      <c r="BJ590" s="24">
        <v>45820.312147928242</v>
      </c>
      <c r="BK590" s="24">
        <v>45820.312147928242</v>
      </c>
      <c r="BL590">
        <v>1</v>
      </c>
      <c r="BM590" s="24"/>
      <c r="BN590" s="24"/>
      <c r="BO590" s="24"/>
      <c r="BP590" s="24"/>
      <c r="BR590" s="24">
        <v>45841.505166238429</v>
      </c>
      <c r="BS590" s="24">
        <v>45841.505166238429</v>
      </c>
      <c r="BT590" s="24">
        <v>45841.639090335651</v>
      </c>
      <c r="BU590" s="24">
        <v>45841.639090335651</v>
      </c>
      <c r="BV590">
        <v>1</v>
      </c>
      <c r="BW590" s="24"/>
      <c r="BX590" s="24"/>
      <c r="BY590" s="24"/>
      <c r="BZ590" s="24"/>
      <c r="CB590" s="24"/>
      <c r="CC590" s="24"/>
      <c r="CE590" s="24">
        <v>45841.639090335651</v>
      </c>
      <c r="CF590" s="24">
        <v>45841.639090335651</v>
      </c>
      <c r="CG590">
        <v>1</v>
      </c>
      <c r="CH590" s="24"/>
      <c r="CI590" s="24"/>
      <c r="CJ590" s="24"/>
      <c r="CK590" s="24"/>
      <c r="DE590" s="24"/>
      <c r="DF590" s="24"/>
      <c r="DG590" s="24"/>
      <c r="DH590" s="24"/>
      <c r="DJ590" t="s">
        <v>149</v>
      </c>
      <c r="DK590" t="s">
        <v>149</v>
      </c>
      <c r="DL590">
        <v>15.10212337962963</v>
      </c>
      <c r="DM590">
        <v>24</v>
      </c>
      <c r="DN590">
        <v>22</v>
      </c>
      <c r="DQ590" t="s">
        <v>1000</v>
      </c>
      <c r="DR590" t="s">
        <v>149</v>
      </c>
      <c r="DS590" s="24">
        <v>46160.384426226854</v>
      </c>
    </row>
    <row r="591" spans="1:123" x14ac:dyDescent="0.3">
      <c r="A591" t="s">
        <v>841</v>
      </c>
      <c r="D591" t="s">
        <v>223</v>
      </c>
      <c r="E591" s="24">
        <v>45687.614988425928</v>
      </c>
      <c r="G591" t="s">
        <v>150</v>
      </c>
      <c r="H591" t="s">
        <v>155</v>
      </c>
      <c r="I591" s="24"/>
      <c r="J591" s="24"/>
      <c r="K591" s="24"/>
      <c r="L591" s="24"/>
      <c r="N591" s="24"/>
      <c r="O591" s="24"/>
      <c r="P591" s="24"/>
      <c r="Q591" s="24"/>
      <c r="V591" s="24"/>
      <c r="W591" s="24"/>
      <c r="X591" s="24"/>
      <c r="Y591" s="24"/>
      <c r="AA591" s="24"/>
      <c r="AB591" s="24"/>
      <c r="AC591" s="24"/>
      <c r="AD591" s="24"/>
      <c r="AF591" s="24"/>
      <c r="AG591" s="24"/>
      <c r="AH591" s="24"/>
      <c r="AI591" s="24"/>
      <c r="AK591" s="24"/>
      <c r="AL591" s="24"/>
      <c r="AM591" s="24"/>
      <c r="AN591" s="24"/>
      <c r="AP591" s="24"/>
      <c r="AQ591" s="24"/>
      <c r="AR591" s="24">
        <v>45861.616797199073</v>
      </c>
      <c r="AS591" s="24">
        <v>45861.616797199073</v>
      </c>
      <c r="AX591" s="24"/>
      <c r="AY591" s="24"/>
      <c r="AZ591" s="24"/>
      <c r="BA591" s="24"/>
      <c r="BC591" s="24"/>
      <c r="BD591" s="24"/>
      <c r="BE591" s="24"/>
      <c r="BF591" s="24"/>
      <c r="BH591" s="24"/>
      <c r="BI591" s="24"/>
      <c r="BJ591" s="24"/>
      <c r="BK591" s="24"/>
      <c r="BM591" s="24"/>
      <c r="BN591" s="24"/>
      <c r="BO591" s="24"/>
      <c r="BP591" s="24"/>
      <c r="BR591" s="24"/>
      <c r="BS591" s="24"/>
      <c r="BT591" s="24"/>
      <c r="BU591" s="24"/>
      <c r="BW591" s="24"/>
      <c r="BX591" s="24"/>
      <c r="BY591" s="24"/>
      <c r="BZ591" s="24"/>
      <c r="CB591" s="24">
        <v>45861.616797199073</v>
      </c>
      <c r="CC591" s="24">
        <v>45861.616797199073</v>
      </c>
      <c r="CD591">
        <v>1</v>
      </c>
      <c r="CE591" s="24"/>
      <c r="CF591" s="24"/>
      <c r="CH591" s="24"/>
      <c r="CI591" s="24"/>
      <c r="CJ591" s="24"/>
      <c r="CK591" s="24"/>
      <c r="DE591" s="24"/>
      <c r="DF591" s="24"/>
      <c r="DG591" s="24"/>
      <c r="DH591" s="24"/>
      <c r="DJ591" t="s">
        <v>149</v>
      </c>
      <c r="DK591" t="s">
        <v>149</v>
      </c>
      <c r="DQ591" t="s">
        <v>1000</v>
      </c>
      <c r="DR591" t="s">
        <v>149</v>
      </c>
      <c r="DS591" s="24">
        <v>46160.384426226854</v>
      </c>
    </row>
    <row r="592" spans="1:123" x14ac:dyDescent="0.3">
      <c r="A592" t="s">
        <v>842</v>
      </c>
      <c r="D592" t="s">
        <v>225</v>
      </c>
      <c r="E592" s="24">
        <v>45687.609537037039</v>
      </c>
      <c r="G592" t="s">
        <v>90</v>
      </c>
      <c r="H592" t="s">
        <v>155</v>
      </c>
      <c r="I592" s="24"/>
      <c r="J592" s="24"/>
      <c r="K592" s="24"/>
      <c r="L592" s="24"/>
      <c r="N592" s="24"/>
      <c r="O592" s="24"/>
      <c r="P592" s="24"/>
      <c r="Q592" s="24"/>
      <c r="V592" s="24"/>
      <c r="W592" s="24"/>
      <c r="X592" s="24"/>
      <c r="Y592" s="24"/>
      <c r="AA592" s="24">
        <v>45818.649228668983</v>
      </c>
      <c r="AB592" s="24">
        <v>45818.501807418979</v>
      </c>
      <c r="AC592" s="24">
        <v>45818.643789027781</v>
      </c>
      <c r="AD592" s="24">
        <v>45818.660881018521</v>
      </c>
      <c r="AE592">
        <v>2</v>
      </c>
      <c r="AF592" s="24">
        <v>45818.660881018521</v>
      </c>
      <c r="AG592" s="24">
        <v>45818.643789027781</v>
      </c>
      <c r="AH592" s="24">
        <v>45818.649228668983</v>
      </c>
      <c r="AI592" s="24">
        <v>45818.692245243059</v>
      </c>
      <c r="AJ592">
        <v>2</v>
      </c>
      <c r="AK592" s="24">
        <v>45818.692245243059</v>
      </c>
      <c r="AL592" s="24">
        <v>45818.692245243059</v>
      </c>
      <c r="AM592" s="24">
        <v>45819.40014528935</v>
      </c>
      <c r="AN592" s="24">
        <v>45819.40014528935</v>
      </c>
      <c r="AO592">
        <v>1</v>
      </c>
      <c r="AP592" s="24"/>
      <c r="AQ592" s="24"/>
      <c r="AR592" s="24">
        <v>45818.501639953705</v>
      </c>
      <c r="AS592" s="24">
        <v>45818.501639953705</v>
      </c>
      <c r="AX592" s="24"/>
      <c r="AY592" s="24"/>
      <c r="AZ592" s="24"/>
      <c r="BA592" s="24"/>
      <c r="BC592" s="24">
        <v>45819.400228483799</v>
      </c>
      <c r="BD592" s="24">
        <v>45819.400228483799</v>
      </c>
      <c r="BE592" s="24">
        <v>45820.43234900463</v>
      </c>
      <c r="BF592" s="24">
        <v>45820.43234900463</v>
      </c>
      <c r="BG592">
        <v>1</v>
      </c>
      <c r="BH592" s="24">
        <v>45818.501639953705</v>
      </c>
      <c r="BI592" s="24">
        <v>45818.501639953705</v>
      </c>
      <c r="BJ592" s="24">
        <v>45818.501807418979</v>
      </c>
      <c r="BK592" s="24">
        <v>45818.501807418979</v>
      </c>
      <c r="BL592">
        <v>1</v>
      </c>
      <c r="BM592" s="24"/>
      <c r="BN592" s="24"/>
      <c r="BO592" s="24"/>
      <c r="BP592" s="24"/>
      <c r="BR592" s="24">
        <v>45819.40014528935</v>
      </c>
      <c r="BS592" s="24">
        <v>45819.40014528935</v>
      </c>
      <c r="BT592" s="24">
        <v>45819.400228483799</v>
      </c>
      <c r="BU592" s="24">
        <v>45819.400228483799</v>
      </c>
      <c r="BV592">
        <v>1</v>
      </c>
      <c r="BW592" s="24"/>
      <c r="BX592" s="24"/>
      <c r="BY592" s="24"/>
      <c r="BZ592" s="24"/>
      <c r="CB592" s="24"/>
      <c r="CC592" s="24"/>
      <c r="CE592" s="24">
        <v>45820.43234900463</v>
      </c>
      <c r="CF592" s="24">
        <v>45820.43234900463</v>
      </c>
      <c r="CG592">
        <v>1</v>
      </c>
      <c r="CH592" s="24"/>
      <c r="CI592" s="24"/>
      <c r="CJ592" s="24"/>
      <c r="CK592" s="24"/>
      <c r="DE592" s="24"/>
      <c r="DF592" s="24"/>
      <c r="DG592" s="24"/>
      <c r="DH592" s="24"/>
      <c r="DJ592" t="s">
        <v>149</v>
      </c>
      <c r="DK592" t="s">
        <v>149</v>
      </c>
      <c r="DM592">
        <v>2</v>
      </c>
      <c r="DN592">
        <v>2</v>
      </c>
      <c r="DQ592" t="s">
        <v>1000</v>
      </c>
      <c r="DR592" t="s">
        <v>149</v>
      </c>
      <c r="DS592" s="24">
        <v>46160.384426226854</v>
      </c>
    </row>
    <row r="593" spans="1:123" x14ac:dyDescent="0.3">
      <c r="A593" t="s">
        <v>843</v>
      </c>
      <c r="D593" t="s">
        <v>225</v>
      </c>
      <c r="E593" s="24">
        <v>45687.609224537038</v>
      </c>
      <c r="G593" t="s">
        <v>90</v>
      </c>
      <c r="H593" t="s">
        <v>155</v>
      </c>
      <c r="I593" s="24"/>
      <c r="J593" s="24"/>
      <c r="K593" s="24"/>
      <c r="L593" s="24"/>
      <c r="N593" s="24"/>
      <c r="O593" s="24"/>
      <c r="P593" s="24"/>
      <c r="Q593" s="24"/>
      <c r="V593" s="24"/>
      <c r="W593" s="24"/>
      <c r="X593" s="24"/>
      <c r="Y593" s="24"/>
      <c r="AA593" s="24">
        <v>45811.54470402778</v>
      </c>
      <c r="AB593" s="24">
        <v>45805.487304444447</v>
      </c>
      <c r="AC593" s="24">
        <v>45806.402623506947</v>
      </c>
      <c r="AD593" s="24">
        <v>45812.330669537034</v>
      </c>
      <c r="AE593">
        <v>3</v>
      </c>
      <c r="AF593" s="24">
        <v>45812.330669537034</v>
      </c>
      <c r="AG593" s="24">
        <v>45806.402623506947</v>
      </c>
      <c r="AH593" s="24">
        <v>45806.430086319444</v>
      </c>
      <c r="AI593" s="24">
        <v>45812.461505451392</v>
      </c>
      <c r="AJ593">
        <v>3</v>
      </c>
      <c r="AK593" s="24">
        <v>45812.461505451392</v>
      </c>
      <c r="AL593" s="24">
        <v>45811.478446851848</v>
      </c>
      <c r="AM593" s="24">
        <v>45811.54470402778</v>
      </c>
      <c r="AN593" s="24">
        <v>45812.627009664349</v>
      </c>
      <c r="AO593">
        <v>2</v>
      </c>
      <c r="AP593" s="24"/>
      <c r="AQ593" s="24"/>
      <c r="AR593" s="24">
        <v>45805.487240011571</v>
      </c>
      <c r="AS593" s="24">
        <v>45805.487240011571</v>
      </c>
      <c r="AX593" s="24"/>
      <c r="AY593" s="24"/>
      <c r="AZ593" s="24"/>
      <c r="BA593" s="24"/>
      <c r="BC593" s="24">
        <v>45813.398797847221</v>
      </c>
      <c r="BD593" s="24">
        <v>45813.398797847221</v>
      </c>
      <c r="BE593" s="24">
        <v>45820.432352847223</v>
      </c>
      <c r="BF593" s="24">
        <v>45820.432352847223</v>
      </c>
      <c r="BG593">
        <v>1</v>
      </c>
      <c r="BH593" s="24">
        <v>45805.487240011571</v>
      </c>
      <c r="BI593" s="24">
        <v>45805.487240011571</v>
      </c>
      <c r="BJ593" s="24">
        <v>45805.487304444447</v>
      </c>
      <c r="BK593" s="24">
        <v>45805.487304444447</v>
      </c>
      <c r="BL593">
        <v>1</v>
      </c>
      <c r="BM593" s="24"/>
      <c r="BN593" s="24"/>
      <c r="BO593" s="24"/>
      <c r="BP593" s="24"/>
      <c r="BR593" s="24">
        <v>45812.627009664349</v>
      </c>
      <c r="BS593" s="24">
        <v>45812.627009664349</v>
      </c>
      <c r="BT593" s="24">
        <v>45813.398797847221</v>
      </c>
      <c r="BU593" s="24">
        <v>45813.398797847221</v>
      </c>
      <c r="BV593">
        <v>1</v>
      </c>
      <c r="BW593" s="24"/>
      <c r="BX593" s="24"/>
      <c r="BY593" s="24"/>
      <c r="BZ593" s="24"/>
      <c r="CB593" s="24"/>
      <c r="CC593" s="24"/>
      <c r="CE593" s="24">
        <v>45820.432352847223</v>
      </c>
      <c r="CF593" s="24">
        <v>45820.432352847223</v>
      </c>
      <c r="CG593">
        <v>1</v>
      </c>
      <c r="CH593" s="24"/>
      <c r="CI593" s="24"/>
      <c r="CJ593" s="24"/>
      <c r="CK593" s="24"/>
      <c r="DE593" s="24"/>
      <c r="DF593" s="24"/>
      <c r="DG593" s="24"/>
      <c r="DH593" s="24"/>
      <c r="DJ593" t="s">
        <v>149</v>
      </c>
      <c r="DK593" t="s">
        <v>149</v>
      </c>
      <c r="DM593">
        <v>15</v>
      </c>
      <c r="DN593">
        <v>15</v>
      </c>
      <c r="DQ593" t="s">
        <v>1000</v>
      </c>
      <c r="DR593" t="s">
        <v>149</v>
      </c>
      <c r="DS593" s="24">
        <v>46160.384426226854</v>
      </c>
    </row>
    <row r="594" spans="1:123" x14ac:dyDescent="0.3">
      <c r="A594" t="s">
        <v>844</v>
      </c>
      <c r="D594" t="s">
        <v>223</v>
      </c>
      <c r="E594" s="24">
        <v>45687.576331018521</v>
      </c>
      <c r="G594" t="s">
        <v>107</v>
      </c>
      <c r="H594" t="s">
        <v>154</v>
      </c>
      <c r="I594" s="24"/>
      <c r="J594" s="24"/>
      <c r="K594" s="24"/>
      <c r="L594" s="24"/>
      <c r="N594" s="24"/>
      <c r="O594" s="24"/>
      <c r="P594" s="24"/>
      <c r="Q594" s="24"/>
      <c r="V594" s="24"/>
      <c r="W594" s="24"/>
      <c r="X594" s="24"/>
      <c r="Y594" s="24"/>
      <c r="AA594" s="24"/>
      <c r="AB594" s="24"/>
      <c r="AC594" s="24"/>
      <c r="AD594" s="24"/>
      <c r="AF594" s="24"/>
      <c r="AG594" s="24"/>
      <c r="AH594" s="24"/>
      <c r="AI594" s="24"/>
      <c r="AK594" s="24"/>
      <c r="AL594" s="24"/>
      <c r="AM594" s="24"/>
      <c r="AN594" s="24"/>
      <c r="AP594" s="24"/>
      <c r="AQ594" s="24"/>
      <c r="AR594" s="24">
        <v>45691.54885146991</v>
      </c>
      <c r="AS594" s="24">
        <v>45691.54885146991</v>
      </c>
      <c r="AX594" s="24"/>
      <c r="AY594" s="24"/>
      <c r="AZ594" s="24"/>
      <c r="BA594" s="24"/>
      <c r="BC594" s="24"/>
      <c r="BD594" s="24"/>
      <c r="BE594" s="24"/>
      <c r="BF594" s="24"/>
      <c r="BH594" s="24">
        <v>45691.54885146991</v>
      </c>
      <c r="BI594" s="24">
        <v>45691.54885146991</v>
      </c>
      <c r="BJ594" s="24"/>
      <c r="BK594" s="24"/>
      <c r="BL594">
        <v>1</v>
      </c>
      <c r="BM594" s="24"/>
      <c r="BN594" s="24"/>
      <c r="BO594" s="24"/>
      <c r="BP594" s="24"/>
      <c r="BR594" s="24"/>
      <c r="BS594" s="24"/>
      <c r="BT594" s="24"/>
      <c r="BU594" s="24"/>
      <c r="BW594" s="24"/>
      <c r="BX594" s="24"/>
      <c r="BY594" s="24"/>
      <c r="BZ594" s="24"/>
      <c r="CB594" s="24"/>
      <c r="CC594" s="24"/>
      <c r="CE594" s="24"/>
      <c r="CF594" s="24"/>
      <c r="CH594" s="24"/>
      <c r="CI594" s="24"/>
      <c r="CJ594" s="24"/>
      <c r="CK594" s="24"/>
      <c r="DE594" s="24"/>
      <c r="DF594" s="24"/>
      <c r="DG594" s="24"/>
      <c r="DH594" s="24"/>
      <c r="DJ594" t="s">
        <v>149</v>
      </c>
      <c r="DK594" t="s">
        <v>149</v>
      </c>
      <c r="DP594">
        <v>469</v>
      </c>
      <c r="DQ594" t="s">
        <v>1000</v>
      </c>
      <c r="DR594" t="s">
        <v>149</v>
      </c>
      <c r="DS594" s="24">
        <v>46160.384426226854</v>
      </c>
    </row>
    <row r="595" spans="1:123" x14ac:dyDescent="0.3">
      <c r="A595" t="s">
        <v>845</v>
      </c>
      <c r="D595" t="s">
        <v>223</v>
      </c>
      <c r="E595" s="24">
        <v>45686.641134259262</v>
      </c>
      <c r="G595" t="s">
        <v>150</v>
      </c>
      <c r="H595" t="s">
        <v>155</v>
      </c>
      <c r="I595" s="24"/>
      <c r="J595" s="24"/>
      <c r="K595" s="24"/>
      <c r="L595" s="24"/>
      <c r="N595" s="24"/>
      <c r="O595" s="24"/>
      <c r="P595" s="24"/>
      <c r="Q595" s="24"/>
      <c r="V595" s="24"/>
      <c r="W595" s="24"/>
      <c r="X595" s="24"/>
      <c r="Y595" s="24"/>
      <c r="AA595" s="24"/>
      <c r="AB595" s="24"/>
      <c r="AC595" s="24"/>
      <c r="AD595" s="24"/>
      <c r="AF595" s="24"/>
      <c r="AG595" s="24"/>
      <c r="AH595" s="24"/>
      <c r="AI595" s="24"/>
      <c r="AK595" s="24"/>
      <c r="AL595" s="24"/>
      <c r="AM595" s="24"/>
      <c r="AN595" s="24"/>
      <c r="AP595" s="24"/>
      <c r="AQ595" s="24"/>
      <c r="AR595" s="24">
        <v>45841.456130416664</v>
      </c>
      <c r="AS595" s="24">
        <v>45841.456130416664</v>
      </c>
      <c r="AX595" s="24"/>
      <c r="AY595" s="24"/>
      <c r="AZ595" s="24"/>
      <c r="BA595" s="24"/>
      <c r="BC595" s="24"/>
      <c r="BD595" s="24"/>
      <c r="BE595" s="24"/>
      <c r="BF595" s="24"/>
      <c r="BH595" s="24"/>
      <c r="BI595" s="24"/>
      <c r="BJ595" s="24"/>
      <c r="BK595" s="24"/>
      <c r="BM595" s="24"/>
      <c r="BN595" s="24"/>
      <c r="BO595" s="24"/>
      <c r="BP595" s="24"/>
      <c r="BR595" s="24"/>
      <c r="BS595" s="24"/>
      <c r="BT595" s="24"/>
      <c r="BU595" s="24"/>
      <c r="BW595" s="24"/>
      <c r="BX595" s="24"/>
      <c r="BY595" s="24"/>
      <c r="BZ595" s="24"/>
      <c r="CB595" s="24">
        <v>45841.456130416664</v>
      </c>
      <c r="CC595" s="24">
        <v>45841.456130416664</v>
      </c>
      <c r="CD595">
        <v>1</v>
      </c>
      <c r="CE595" s="24"/>
      <c r="CF595" s="24"/>
      <c r="CH595" s="24"/>
      <c r="CI595" s="24"/>
      <c r="CJ595" s="24"/>
      <c r="CK595" s="24"/>
      <c r="DE595" s="24"/>
      <c r="DF595" s="24"/>
      <c r="DG595" s="24"/>
      <c r="DH595" s="24"/>
      <c r="DJ595" t="s">
        <v>149</v>
      </c>
      <c r="DK595" t="s">
        <v>149</v>
      </c>
      <c r="DQ595" t="s">
        <v>1000</v>
      </c>
      <c r="DR595" t="s">
        <v>149</v>
      </c>
      <c r="DS595" s="24">
        <v>46160.384426226854</v>
      </c>
    </row>
    <row r="596" spans="1:123" x14ac:dyDescent="0.3">
      <c r="A596" t="s">
        <v>846</v>
      </c>
      <c r="D596" t="s">
        <v>225</v>
      </c>
      <c r="E596" s="24">
        <v>45685.659837962965</v>
      </c>
      <c r="G596" t="s">
        <v>90</v>
      </c>
      <c r="H596" t="s">
        <v>155</v>
      </c>
      <c r="I596" s="24"/>
      <c r="J596" s="24"/>
      <c r="K596" s="24"/>
      <c r="L596" s="24"/>
      <c r="N596" s="24"/>
      <c r="O596" s="24"/>
      <c r="P596" s="24"/>
      <c r="Q596" s="24"/>
      <c r="V596" s="24"/>
      <c r="W596" s="24"/>
      <c r="X596" s="24"/>
      <c r="Y596" s="24"/>
      <c r="AA596" s="24">
        <v>45784.475826712965</v>
      </c>
      <c r="AB596" s="24">
        <v>45776.673825115744</v>
      </c>
      <c r="AC596" s="24">
        <v>45782.686261805553</v>
      </c>
      <c r="AD596" s="24">
        <v>45790.690277164351</v>
      </c>
      <c r="AE596">
        <v>2</v>
      </c>
      <c r="AF596" s="24">
        <v>45790.690277164351</v>
      </c>
      <c r="AG596" s="24">
        <v>45782.686261805553</v>
      </c>
      <c r="AH596" s="24">
        <v>45784.475826712965</v>
      </c>
      <c r="AI596" s="24">
        <v>45791.70885278935</v>
      </c>
      <c r="AJ596">
        <v>2</v>
      </c>
      <c r="AK596" s="24">
        <v>45791.70885278935</v>
      </c>
      <c r="AL596" s="24">
        <v>45791.70885278935</v>
      </c>
      <c r="AM596" s="24">
        <v>45792.365912511574</v>
      </c>
      <c r="AN596" s="24">
        <v>45792.365912511574</v>
      </c>
      <c r="AO596">
        <v>1</v>
      </c>
      <c r="AP596" s="24"/>
      <c r="AQ596" s="24"/>
      <c r="AR596" s="24">
        <v>45776.672237245373</v>
      </c>
      <c r="AS596" s="24">
        <v>45776.672237245373</v>
      </c>
      <c r="AX596" s="24"/>
      <c r="AY596" s="24"/>
      <c r="AZ596" s="24"/>
      <c r="BA596" s="24"/>
      <c r="BC596" s="24">
        <v>45792.407220057874</v>
      </c>
      <c r="BD596" s="24">
        <v>45792.407220057874</v>
      </c>
      <c r="BE596" s="24">
        <v>45803.643643298608</v>
      </c>
      <c r="BF596" s="24">
        <v>45803.643643298608</v>
      </c>
      <c r="BG596">
        <v>1</v>
      </c>
      <c r="BH596" s="24">
        <v>45776.672237245373</v>
      </c>
      <c r="BI596" s="24">
        <v>45776.672237245373</v>
      </c>
      <c r="BJ596" s="24">
        <v>45776.673825115744</v>
      </c>
      <c r="BK596" s="24">
        <v>45776.673825115744</v>
      </c>
      <c r="BL596">
        <v>1</v>
      </c>
      <c r="BM596" s="24"/>
      <c r="BN596" s="24"/>
      <c r="BO596" s="24"/>
      <c r="BP596" s="24"/>
      <c r="BR596" s="24">
        <v>45792.365912511574</v>
      </c>
      <c r="BS596" s="24">
        <v>45792.365912511574</v>
      </c>
      <c r="BT596" s="24">
        <v>45792.407220057874</v>
      </c>
      <c r="BU596" s="24">
        <v>45792.407220057874</v>
      </c>
      <c r="BV596">
        <v>1</v>
      </c>
      <c r="BW596" s="24"/>
      <c r="BX596" s="24"/>
      <c r="BY596" s="24"/>
      <c r="BZ596" s="24"/>
      <c r="CB596" s="24"/>
      <c r="CC596" s="24"/>
      <c r="CE596" s="24">
        <v>45803.643643298608</v>
      </c>
      <c r="CF596" s="24">
        <v>45803.643643298608</v>
      </c>
      <c r="CG596">
        <v>1</v>
      </c>
      <c r="CH596" s="24"/>
      <c r="CI596" s="24"/>
      <c r="CJ596" s="24"/>
      <c r="CK596" s="24"/>
      <c r="DE596" s="24"/>
      <c r="DF596" s="24"/>
      <c r="DG596" s="24"/>
      <c r="DH596" s="24"/>
      <c r="DJ596" t="s">
        <v>149</v>
      </c>
      <c r="DK596" t="s">
        <v>149</v>
      </c>
      <c r="DM596">
        <v>27</v>
      </c>
      <c r="DN596">
        <v>27</v>
      </c>
      <c r="DQ596" t="s">
        <v>1000</v>
      </c>
      <c r="DR596" t="s">
        <v>149</v>
      </c>
      <c r="DS596" s="24">
        <v>46160.384426226854</v>
      </c>
    </row>
    <row r="597" spans="1:123" x14ac:dyDescent="0.3">
      <c r="A597" t="s">
        <v>847</v>
      </c>
      <c r="D597" t="s">
        <v>225</v>
      </c>
      <c r="E597" s="24">
        <v>45677.504930555559</v>
      </c>
      <c r="G597" t="s">
        <v>150</v>
      </c>
      <c r="H597" t="s">
        <v>155</v>
      </c>
      <c r="I597" s="24"/>
      <c r="J597" s="24"/>
      <c r="K597" s="24"/>
      <c r="L597" s="24"/>
      <c r="N597" s="24"/>
      <c r="O597" s="24"/>
      <c r="P597" s="24"/>
      <c r="Q597" s="24"/>
      <c r="V597" s="24"/>
      <c r="W597" s="24"/>
      <c r="X597" s="24"/>
      <c r="Y597" s="24"/>
      <c r="AA597" s="24"/>
      <c r="AB597" s="24"/>
      <c r="AC597" s="24"/>
      <c r="AD597" s="24"/>
      <c r="AF597" s="24"/>
      <c r="AG597" s="24"/>
      <c r="AH597" s="24"/>
      <c r="AI597" s="24"/>
      <c r="AK597" s="24"/>
      <c r="AL597" s="24"/>
      <c r="AM597" s="24"/>
      <c r="AN597" s="24"/>
      <c r="AP597" s="24"/>
      <c r="AQ597" s="24"/>
      <c r="AR597" s="24">
        <v>45838.440943634261</v>
      </c>
      <c r="AS597" s="24">
        <v>45838.440943634261</v>
      </c>
      <c r="AX597" s="24"/>
      <c r="AY597" s="24"/>
      <c r="AZ597" s="24"/>
      <c r="BA597" s="24"/>
      <c r="BC597" s="24"/>
      <c r="BD597" s="24"/>
      <c r="BE597" s="24"/>
      <c r="BF597" s="24"/>
      <c r="BH597" s="24"/>
      <c r="BI597" s="24"/>
      <c r="BJ597" s="24"/>
      <c r="BK597" s="24"/>
      <c r="BM597" s="24"/>
      <c r="BN597" s="24"/>
      <c r="BO597" s="24"/>
      <c r="BP597" s="24"/>
      <c r="BR597" s="24"/>
      <c r="BS597" s="24"/>
      <c r="BT597" s="24"/>
      <c r="BU597" s="24"/>
      <c r="BW597" s="24"/>
      <c r="BX597" s="24"/>
      <c r="BY597" s="24"/>
      <c r="BZ597" s="24"/>
      <c r="CB597" s="24">
        <v>45838.440943634261</v>
      </c>
      <c r="CC597" s="24">
        <v>45838.440943634261</v>
      </c>
      <c r="CD597">
        <v>1</v>
      </c>
      <c r="CE597" s="24"/>
      <c r="CF597" s="24"/>
      <c r="CH597" s="24"/>
      <c r="CI597" s="24"/>
      <c r="CJ597" s="24"/>
      <c r="CK597" s="24"/>
      <c r="DE597" s="24"/>
      <c r="DF597" s="24"/>
      <c r="DG597" s="24"/>
      <c r="DH597" s="24"/>
      <c r="DJ597" t="s">
        <v>149</v>
      </c>
      <c r="DK597" t="s">
        <v>149</v>
      </c>
      <c r="DQ597" t="s">
        <v>1000</v>
      </c>
      <c r="DR597" t="s">
        <v>149</v>
      </c>
      <c r="DS597" s="24">
        <v>46160.384426226854</v>
      </c>
    </row>
    <row r="598" spans="1:123" x14ac:dyDescent="0.3">
      <c r="A598" t="s">
        <v>848</v>
      </c>
      <c r="D598" t="s">
        <v>223</v>
      </c>
      <c r="E598" s="24">
        <v>45672.451435185183</v>
      </c>
      <c r="G598" t="s">
        <v>103</v>
      </c>
      <c r="H598" t="s">
        <v>154</v>
      </c>
      <c r="I598" s="24">
        <v>46001.465183761575</v>
      </c>
      <c r="J598" s="24">
        <v>46001.465183761575</v>
      </c>
      <c r="K598" s="24"/>
      <c r="L598" s="24"/>
      <c r="M598">
        <v>1</v>
      </c>
      <c r="N598" s="24"/>
      <c r="O598" s="24"/>
      <c r="P598" s="24"/>
      <c r="Q598" s="24"/>
      <c r="V598" s="24"/>
      <c r="W598" s="24"/>
      <c r="X598" s="24"/>
      <c r="Y598" s="24"/>
      <c r="AA598" s="24"/>
      <c r="AB598" s="24"/>
      <c r="AC598" s="24"/>
      <c r="AD598" s="24"/>
      <c r="AF598" s="24"/>
      <c r="AG598" s="24"/>
      <c r="AH598" s="24"/>
      <c r="AI598" s="24"/>
      <c r="AK598" s="24"/>
      <c r="AL598" s="24"/>
      <c r="AM598" s="24"/>
      <c r="AN598" s="24"/>
      <c r="AP598" s="24"/>
      <c r="AQ598" s="24"/>
      <c r="AR598" s="24">
        <v>46001.465183761575</v>
      </c>
      <c r="AS598" s="24">
        <v>46001.465183761575</v>
      </c>
      <c r="AX598" s="24"/>
      <c r="AY598" s="24"/>
      <c r="AZ598" s="24"/>
      <c r="BA598" s="24"/>
      <c r="BC598" s="24"/>
      <c r="BD598" s="24"/>
      <c r="BE598" s="24"/>
      <c r="BF598" s="24"/>
      <c r="BH598" s="24"/>
      <c r="BI598" s="24"/>
      <c r="BJ598" s="24"/>
      <c r="BK598" s="24"/>
      <c r="BM598" s="24"/>
      <c r="BN598" s="24"/>
      <c r="BO598" s="24"/>
      <c r="BP598" s="24"/>
      <c r="BR598" s="24"/>
      <c r="BS598" s="24"/>
      <c r="BT598" s="24"/>
      <c r="BU598" s="24"/>
      <c r="BW598" s="24"/>
      <c r="BX598" s="24"/>
      <c r="BY598" s="24"/>
      <c r="BZ598" s="24"/>
      <c r="CB598" s="24"/>
      <c r="CC598" s="24"/>
      <c r="CE598" s="24"/>
      <c r="CF598" s="24"/>
      <c r="CH598" s="24"/>
      <c r="CI598" s="24"/>
      <c r="CJ598" s="24"/>
      <c r="CK598" s="24"/>
      <c r="DE598" s="24"/>
      <c r="DF598" s="24"/>
      <c r="DG598" s="24"/>
      <c r="DH598" s="24"/>
      <c r="DJ598" t="s">
        <v>149</v>
      </c>
      <c r="DK598" t="s">
        <v>149</v>
      </c>
      <c r="DP598">
        <v>159</v>
      </c>
      <c r="DQ598" t="s">
        <v>1000</v>
      </c>
      <c r="DR598" t="s">
        <v>149</v>
      </c>
      <c r="DS598" s="24">
        <v>46160.384426226854</v>
      </c>
    </row>
    <row r="599" spans="1:123" x14ac:dyDescent="0.3">
      <c r="A599" t="s">
        <v>849</v>
      </c>
      <c r="D599" t="s">
        <v>223</v>
      </c>
      <c r="E599" s="24">
        <v>45671.687731481485</v>
      </c>
      <c r="G599" t="s">
        <v>150</v>
      </c>
      <c r="H599" t="s">
        <v>155</v>
      </c>
      <c r="I599" s="24"/>
      <c r="J599" s="24"/>
      <c r="K599" s="24"/>
      <c r="L599" s="24"/>
      <c r="N599" s="24"/>
      <c r="O599" s="24"/>
      <c r="P599" s="24"/>
      <c r="Q599" s="24"/>
      <c r="V599" s="24"/>
      <c r="W599" s="24"/>
      <c r="X599" s="24"/>
      <c r="Y599" s="24"/>
      <c r="AA599" s="24"/>
      <c r="AB599" s="24"/>
      <c r="AC599" s="24"/>
      <c r="AD599" s="24"/>
      <c r="AF599" s="24"/>
      <c r="AG599" s="24"/>
      <c r="AH599" s="24"/>
      <c r="AI599" s="24"/>
      <c r="AK599" s="24"/>
      <c r="AL599" s="24"/>
      <c r="AM599" s="24"/>
      <c r="AN599" s="24"/>
      <c r="AP599" s="24"/>
      <c r="AQ599" s="24"/>
      <c r="AR599" s="24">
        <v>45677.56895883102</v>
      </c>
      <c r="AS599" s="24">
        <v>45677.56895883102</v>
      </c>
      <c r="AX599" s="24"/>
      <c r="AY599" s="24"/>
      <c r="AZ599" s="24"/>
      <c r="BA599" s="24"/>
      <c r="BC599" s="24"/>
      <c r="BD599" s="24"/>
      <c r="BE599" s="24"/>
      <c r="BF599" s="24"/>
      <c r="BH599" s="24">
        <v>45677.56895883102</v>
      </c>
      <c r="BI599" s="24">
        <v>45677.56895883102</v>
      </c>
      <c r="BJ599" s="24">
        <v>46154.364037962965</v>
      </c>
      <c r="BK599" s="24">
        <v>46154.364037962965</v>
      </c>
      <c r="BL599">
        <v>1</v>
      </c>
      <c r="BM599" s="24"/>
      <c r="BN599" s="24"/>
      <c r="BO599" s="24"/>
      <c r="BP599" s="24"/>
      <c r="BR599" s="24"/>
      <c r="BS599" s="24"/>
      <c r="BT599" s="24"/>
      <c r="BU599" s="24"/>
      <c r="BW599" s="24"/>
      <c r="BX599" s="24"/>
      <c r="BY599" s="24"/>
      <c r="BZ599" s="24"/>
      <c r="CB599" s="24">
        <v>46154.364037962965</v>
      </c>
      <c r="CC599" s="24">
        <v>46154.364037962965</v>
      </c>
      <c r="CD599">
        <v>1</v>
      </c>
      <c r="CE599" s="24"/>
      <c r="CF599" s="24"/>
      <c r="CH599" s="24"/>
      <c r="CI599" s="24"/>
      <c r="CJ599" s="24"/>
      <c r="CK599" s="24"/>
      <c r="DE599" s="24"/>
      <c r="DF599" s="24"/>
      <c r="DG599" s="24"/>
      <c r="DH599" s="24"/>
      <c r="DJ599" t="s">
        <v>149</v>
      </c>
      <c r="DK599" t="s">
        <v>149</v>
      </c>
      <c r="DQ599" t="s">
        <v>1000</v>
      </c>
      <c r="DR599" t="s">
        <v>149</v>
      </c>
      <c r="DS599" s="24">
        <v>46160.384426226854</v>
      </c>
    </row>
    <row r="600" spans="1:123" x14ac:dyDescent="0.3">
      <c r="A600" t="s">
        <v>850</v>
      </c>
      <c r="D600" t="s">
        <v>225</v>
      </c>
      <c r="E600" s="24">
        <v>45671.547465277778</v>
      </c>
      <c r="G600" t="s">
        <v>90</v>
      </c>
      <c r="H600" t="s">
        <v>155</v>
      </c>
      <c r="I600" s="24"/>
      <c r="J600" s="24"/>
      <c r="K600" s="24"/>
      <c r="L600" s="24"/>
      <c r="N600" s="24"/>
      <c r="O600" s="24"/>
      <c r="P600" s="24"/>
      <c r="Q600" s="24"/>
      <c r="V600" s="24"/>
      <c r="W600" s="24"/>
      <c r="X600" s="24"/>
      <c r="Y600" s="24"/>
      <c r="AA600" s="24">
        <v>45821.704296226853</v>
      </c>
      <c r="AB600" s="24">
        <v>45821.704296226853</v>
      </c>
      <c r="AC600" s="24">
        <v>45824.695418692128</v>
      </c>
      <c r="AD600" s="24">
        <v>45824.695418692128</v>
      </c>
      <c r="AE600">
        <v>1</v>
      </c>
      <c r="AF600" s="24">
        <v>45824.695418692128</v>
      </c>
      <c r="AG600" s="24">
        <v>45824.695418692128</v>
      </c>
      <c r="AH600" s="24">
        <v>45825.404666805553</v>
      </c>
      <c r="AI600" s="24">
        <v>45825.404666805553</v>
      </c>
      <c r="AJ600">
        <v>1</v>
      </c>
      <c r="AK600" s="24">
        <v>45825.404666805553</v>
      </c>
      <c r="AL600" s="24">
        <v>45825.404666805553</v>
      </c>
      <c r="AM600" s="24">
        <v>45825.666408483798</v>
      </c>
      <c r="AN600" s="24">
        <v>45825.666408483798</v>
      </c>
      <c r="AO600">
        <v>1</v>
      </c>
      <c r="AP600" s="24"/>
      <c r="AQ600" s="24"/>
      <c r="AR600" s="24">
        <v>45677.488650115738</v>
      </c>
      <c r="AS600" s="24">
        <v>45677.488650115738</v>
      </c>
      <c r="AX600" s="24"/>
      <c r="AY600" s="24"/>
      <c r="AZ600" s="24"/>
      <c r="BA600" s="24"/>
      <c r="BC600" s="24">
        <v>45826.407330208334</v>
      </c>
      <c r="BD600" s="24">
        <v>45826.407330208334</v>
      </c>
      <c r="BE600" s="24">
        <v>45833.390306793983</v>
      </c>
      <c r="BF600" s="24">
        <v>45833.390306793983</v>
      </c>
      <c r="BG600">
        <v>1</v>
      </c>
      <c r="BH600" s="24">
        <v>45677.488650115738</v>
      </c>
      <c r="BI600" s="24">
        <v>45677.488650115738</v>
      </c>
      <c r="BJ600" s="24">
        <v>45821.704296226853</v>
      </c>
      <c r="BK600" s="24">
        <v>45821.704296226853</v>
      </c>
      <c r="BL600">
        <v>1</v>
      </c>
      <c r="BM600" s="24"/>
      <c r="BN600" s="24"/>
      <c r="BO600" s="24"/>
      <c r="BP600" s="24"/>
      <c r="BR600" s="24">
        <v>45825.666408483798</v>
      </c>
      <c r="BS600" s="24">
        <v>45825.666408483798</v>
      </c>
      <c r="BT600" s="24">
        <v>45826.407330208334</v>
      </c>
      <c r="BU600" s="24">
        <v>45826.407330208334</v>
      </c>
      <c r="BV600">
        <v>1</v>
      </c>
      <c r="BW600" s="24"/>
      <c r="BX600" s="24"/>
      <c r="BY600" s="24"/>
      <c r="BZ600" s="24"/>
      <c r="CB600" s="24"/>
      <c r="CC600" s="24"/>
      <c r="CE600" s="24">
        <v>45833.390306793983</v>
      </c>
      <c r="CF600" s="24">
        <v>45833.390306793983</v>
      </c>
      <c r="CG600">
        <v>1</v>
      </c>
      <c r="CH600" s="24"/>
      <c r="CI600" s="24"/>
      <c r="CJ600" s="24"/>
      <c r="CK600" s="24"/>
      <c r="DE600" s="24"/>
      <c r="DF600" s="24"/>
      <c r="DG600" s="24"/>
      <c r="DH600" s="24"/>
      <c r="DJ600" t="s">
        <v>149</v>
      </c>
      <c r="DK600" t="s">
        <v>149</v>
      </c>
      <c r="DM600">
        <v>156</v>
      </c>
      <c r="DN600">
        <v>12</v>
      </c>
      <c r="DQ600" t="s">
        <v>1000</v>
      </c>
      <c r="DR600" t="s">
        <v>149</v>
      </c>
      <c r="DS600" s="24">
        <v>46160.384426226854</v>
      </c>
    </row>
    <row r="601" spans="1:123" x14ac:dyDescent="0.3">
      <c r="A601" t="s">
        <v>851</v>
      </c>
      <c r="D601" t="s">
        <v>225</v>
      </c>
      <c r="E601" s="24">
        <v>45663.494432870371</v>
      </c>
      <c r="G601" t="s">
        <v>150</v>
      </c>
      <c r="H601" t="s">
        <v>155</v>
      </c>
      <c r="I601" s="24"/>
      <c r="J601" s="24"/>
      <c r="K601" s="24"/>
      <c r="L601" s="24"/>
      <c r="N601" s="24"/>
      <c r="O601" s="24"/>
      <c r="P601" s="24"/>
      <c r="Q601" s="24"/>
      <c r="V601" s="24"/>
      <c r="W601" s="24"/>
      <c r="X601" s="24"/>
      <c r="Y601" s="24"/>
      <c r="AA601" s="24"/>
      <c r="AB601" s="24"/>
      <c r="AC601" s="24"/>
      <c r="AD601" s="24"/>
      <c r="AF601" s="24"/>
      <c r="AG601" s="24"/>
      <c r="AH601" s="24"/>
      <c r="AI601" s="24"/>
      <c r="AK601" s="24"/>
      <c r="AL601" s="24"/>
      <c r="AM601" s="24"/>
      <c r="AN601" s="24"/>
      <c r="AP601" s="24"/>
      <c r="AQ601" s="24"/>
      <c r="AR601" s="24">
        <v>46030.54533375</v>
      </c>
      <c r="AS601" s="24">
        <v>46030.54533375</v>
      </c>
      <c r="AX601" s="24"/>
      <c r="AY601" s="24"/>
      <c r="AZ601" s="24"/>
      <c r="BA601" s="24"/>
      <c r="BC601" s="24"/>
      <c r="BD601" s="24"/>
      <c r="BE601" s="24"/>
      <c r="BF601" s="24"/>
      <c r="BH601" s="24"/>
      <c r="BI601" s="24"/>
      <c r="BJ601" s="24"/>
      <c r="BK601" s="24"/>
      <c r="BM601" s="24"/>
      <c r="BN601" s="24"/>
      <c r="BO601" s="24"/>
      <c r="BP601" s="24"/>
      <c r="BR601" s="24"/>
      <c r="BS601" s="24"/>
      <c r="BT601" s="24"/>
      <c r="BU601" s="24"/>
      <c r="BW601" s="24"/>
      <c r="BX601" s="24"/>
      <c r="BY601" s="24"/>
      <c r="BZ601" s="24"/>
      <c r="CB601" s="24">
        <v>46030.54533375</v>
      </c>
      <c r="CC601" s="24">
        <v>46030.54533375</v>
      </c>
      <c r="CD601">
        <v>1</v>
      </c>
      <c r="CE601" s="24"/>
      <c r="CF601" s="24"/>
      <c r="CH601" s="24"/>
      <c r="CI601" s="24"/>
      <c r="CJ601" s="24"/>
      <c r="CK601" s="24"/>
      <c r="DE601" s="24"/>
      <c r="DF601" s="24"/>
      <c r="DG601" s="24"/>
      <c r="DH601" s="24"/>
      <c r="DJ601" t="s">
        <v>149</v>
      </c>
      <c r="DK601" t="s">
        <v>149</v>
      </c>
      <c r="DQ601" t="s">
        <v>1000</v>
      </c>
      <c r="DR601" t="s">
        <v>149</v>
      </c>
      <c r="DS601" s="24">
        <v>46160.384426226854</v>
      </c>
    </row>
    <row r="602" spans="1:123" x14ac:dyDescent="0.3">
      <c r="A602" t="s">
        <v>852</v>
      </c>
      <c r="D602" t="s">
        <v>225</v>
      </c>
      <c r="E602" s="24">
        <v>45644.58792824074</v>
      </c>
      <c r="G602" t="s">
        <v>150</v>
      </c>
      <c r="H602" t="s">
        <v>155</v>
      </c>
      <c r="I602" s="24"/>
      <c r="J602" s="24"/>
      <c r="K602" s="24"/>
      <c r="L602" s="24"/>
      <c r="N602" s="24"/>
      <c r="O602" s="24"/>
      <c r="P602" s="24"/>
      <c r="Q602" s="24"/>
      <c r="V602" s="24"/>
      <c r="W602" s="24"/>
      <c r="X602" s="24"/>
      <c r="Y602" s="24"/>
      <c r="AA602" s="24"/>
      <c r="AB602" s="24"/>
      <c r="AC602" s="24"/>
      <c r="AD602" s="24"/>
      <c r="AF602" s="24"/>
      <c r="AG602" s="24"/>
      <c r="AH602" s="24"/>
      <c r="AI602" s="24"/>
      <c r="AK602" s="24"/>
      <c r="AL602" s="24"/>
      <c r="AM602" s="24"/>
      <c r="AN602" s="24"/>
      <c r="AP602" s="24"/>
      <c r="AQ602" s="24"/>
      <c r="AR602" s="24">
        <v>45825.34754023148</v>
      </c>
      <c r="AS602" s="24">
        <v>45825.34754023148</v>
      </c>
      <c r="AX602" s="24"/>
      <c r="AY602" s="24"/>
      <c r="AZ602" s="24"/>
      <c r="BA602" s="24"/>
      <c r="BC602" s="24"/>
      <c r="BD602" s="24"/>
      <c r="BE602" s="24"/>
      <c r="BF602" s="24"/>
      <c r="BH602" s="24"/>
      <c r="BI602" s="24"/>
      <c r="BJ602" s="24"/>
      <c r="BK602" s="24"/>
      <c r="BM602" s="24"/>
      <c r="BN602" s="24"/>
      <c r="BO602" s="24"/>
      <c r="BP602" s="24"/>
      <c r="BR602" s="24"/>
      <c r="BS602" s="24"/>
      <c r="BT602" s="24"/>
      <c r="BU602" s="24"/>
      <c r="BW602" s="24"/>
      <c r="BX602" s="24"/>
      <c r="BY602" s="24"/>
      <c r="BZ602" s="24"/>
      <c r="CB602" s="24">
        <v>45825.34754023148</v>
      </c>
      <c r="CC602" s="24">
        <v>45825.34754023148</v>
      </c>
      <c r="CD602">
        <v>1</v>
      </c>
      <c r="CE602" s="24"/>
      <c r="CF602" s="24"/>
      <c r="CH602" s="24"/>
      <c r="CI602" s="24"/>
      <c r="CJ602" s="24"/>
      <c r="CK602" s="24"/>
      <c r="DE602" s="24"/>
      <c r="DF602" s="24"/>
      <c r="DG602" s="24"/>
      <c r="DH602" s="24"/>
      <c r="DJ602" t="s">
        <v>149</v>
      </c>
      <c r="DK602" t="s">
        <v>149</v>
      </c>
      <c r="DQ602" t="s">
        <v>1000</v>
      </c>
      <c r="DR602" t="s">
        <v>149</v>
      </c>
      <c r="DS602" s="24">
        <v>46160.384426226854</v>
      </c>
    </row>
    <row r="603" spans="1:123" x14ac:dyDescent="0.3">
      <c r="A603" t="s">
        <v>853</v>
      </c>
      <c r="D603" t="s">
        <v>225</v>
      </c>
      <c r="E603" s="24">
        <v>45644.562199074076</v>
      </c>
      <c r="G603" t="s">
        <v>90</v>
      </c>
      <c r="H603" t="s">
        <v>155</v>
      </c>
      <c r="I603" s="24"/>
      <c r="J603" s="24"/>
      <c r="K603" s="24"/>
      <c r="L603" s="24"/>
      <c r="N603" s="24">
        <v>45924.408098252316</v>
      </c>
      <c r="O603" s="24">
        <v>45924.408098252316</v>
      </c>
      <c r="P603" s="24">
        <v>45931.407533900463</v>
      </c>
      <c r="Q603" s="24">
        <v>45931.407533900463</v>
      </c>
      <c r="R603">
        <v>1</v>
      </c>
      <c r="V603" s="24"/>
      <c r="W603" s="24"/>
      <c r="X603" s="24"/>
      <c r="Y603" s="24"/>
      <c r="AA603" s="24">
        <v>45931.407533900463</v>
      </c>
      <c r="AB603" s="24">
        <v>45922.587829675926</v>
      </c>
      <c r="AC603" s="24">
        <v>45924.408098252316</v>
      </c>
      <c r="AD603" s="24">
        <v>45931.650485138889</v>
      </c>
      <c r="AE603">
        <v>2</v>
      </c>
      <c r="AF603" s="24">
        <v>45931.650544606484</v>
      </c>
      <c r="AG603" s="24">
        <v>45931.650544606484</v>
      </c>
      <c r="AH603" s="24">
        <v>45931.650595914354</v>
      </c>
      <c r="AI603" s="24">
        <v>45931.650595914354</v>
      </c>
      <c r="AJ603">
        <v>1</v>
      </c>
      <c r="AK603" s="24">
        <v>45931.650704502317</v>
      </c>
      <c r="AL603" s="24">
        <v>45931.650704502317</v>
      </c>
      <c r="AM603" s="24">
        <v>45931.650772685185</v>
      </c>
      <c r="AN603" s="24">
        <v>45931.650772685185</v>
      </c>
      <c r="AO603">
        <v>1</v>
      </c>
      <c r="AP603" s="24"/>
      <c r="AQ603" s="24"/>
      <c r="AR603" s="24">
        <v>45922.587766597222</v>
      </c>
      <c r="AS603" s="24">
        <v>45922.587766597222</v>
      </c>
      <c r="AX603" s="24"/>
      <c r="AY603" s="24"/>
      <c r="AZ603" s="24"/>
      <c r="BA603" s="24"/>
      <c r="BC603" s="24">
        <v>45931.650848622688</v>
      </c>
      <c r="BD603" s="24">
        <v>45931.650848622688</v>
      </c>
      <c r="BE603" s="24">
        <v>45931.656224837963</v>
      </c>
      <c r="BF603" s="24">
        <v>45931.656224837963</v>
      </c>
      <c r="BG603">
        <v>1</v>
      </c>
      <c r="BH603" s="24">
        <v>45922.587766597222</v>
      </c>
      <c r="BI603" s="24">
        <v>45922.587766597222</v>
      </c>
      <c r="BJ603" s="24">
        <v>45922.587829675926</v>
      </c>
      <c r="BK603" s="24">
        <v>45922.587829675926</v>
      </c>
      <c r="BL603">
        <v>1</v>
      </c>
      <c r="BM603" s="24">
        <v>45931.650485138889</v>
      </c>
      <c r="BN603" s="24">
        <v>45931.650485138889</v>
      </c>
      <c r="BO603" s="24">
        <v>45931.650544606484</v>
      </c>
      <c r="BP603" s="24">
        <v>45931.650544606484</v>
      </c>
      <c r="BQ603">
        <v>1</v>
      </c>
      <c r="BR603" s="24">
        <v>45931.650772685185</v>
      </c>
      <c r="BS603" s="24">
        <v>45931.650772685185</v>
      </c>
      <c r="BT603" s="24">
        <v>45931.650848622688</v>
      </c>
      <c r="BU603" s="24">
        <v>45931.650848622688</v>
      </c>
      <c r="BV603">
        <v>1</v>
      </c>
      <c r="BW603" s="24"/>
      <c r="BX603" s="24"/>
      <c r="BY603" s="24"/>
      <c r="BZ603" s="24"/>
      <c r="CB603" s="24"/>
      <c r="CC603" s="24"/>
      <c r="CE603" s="24">
        <v>45931.656224837963</v>
      </c>
      <c r="CF603" s="24">
        <v>45931.656224837963</v>
      </c>
      <c r="CG603">
        <v>1</v>
      </c>
      <c r="CH603" s="24"/>
      <c r="CI603" s="24"/>
      <c r="CJ603" s="24"/>
      <c r="CK603" s="24"/>
      <c r="DE603" s="24">
        <v>45931.650595914354</v>
      </c>
      <c r="DF603" s="24">
        <v>45931.650595914354</v>
      </c>
      <c r="DG603" s="24">
        <v>45931.650704502317</v>
      </c>
      <c r="DH603" s="24">
        <v>45931.650704502317</v>
      </c>
      <c r="DI603">
        <v>1</v>
      </c>
      <c r="DJ603" t="s">
        <v>149</v>
      </c>
      <c r="DK603" t="s">
        <v>149</v>
      </c>
      <c r="DL603">
        <v>6.9994356481481486</v>
      </c>
      <c r="DM603">
        <v>10</v>
      </c>
      <c r="DN603">
        <v>10</v>
      </c>
      <c r="DQ603" t="s">
        <v>1000</v>
      </c>
      <c r="DR603" t="s">
        <v>149</v>
      </c>
      <c r="DS603" s="24">
        <v>46160.384426226854</v>
      </c>
    </row>
    <row r="604" spans="1:123" x14ac:dyDescent="0.3">
      <c r="A604" t="s">
        <v>854</v>
      </c>
      <c r="D604" t="s">
        <v>223</v>
      </c>
      <c r="E604" s="24">
        <v>45644.561932870369</v>
      </c>
      <c r="G604" t="s">
        <v>90</v>
      </c>
      <c r="H604" t="s">
        <v>155</v>
      </c>
      <c r="I604" s="24"/>
      <c r="J604" s="24"/>
      <c r="K604" s="24"/>
      <c r="L604" s="24"/>
      <c r="N604" s="24"/>
      <c r="O604" s="24"/>
      <c r="P604" s="24"/>
      <c r="Q604" s="24"/>
      <c r="V604" s="24"/>
      <c r="W604" s="24"/>
      <c r="X604" s="24"/>
      <c r="Y604" s="24"/>
      <c r="AA604" s="24">
        <v>45874.718795162036</v>
      </c>
      <c r="AB604" s="24">
        <v>45874.718795162036</v>
      </c>
      <c r="AC604" s="24">
        <v>45888.400090717594</v>
      </c>
      <c r="AD604" s="24">
        <v>45888.400090717594</v>
      </c>
      <c r="AE604">
        <v>1</v>
      </c>
      <c r="AF604" s="24"/>
      <c r="AG604" s="24"/>
      <c r="AH604" s="24"/>
      <c r="AI604" s="24"/>
      <c r="AK604" s="24"/>
      <c r="AL604" s="24"/>
      <c r="AM604" s="24"/>
      <c r="AN604" s="24"/>
      <c r="AP604" s="24"/>
      <c r="AQ604" s="24"/>
      <c r="AR604" s="24">
        <v>45874.54018895833</v>
      </c>
      <c r="AS604" s="24">
        <v>45874.54018895833</v>
      </c>
      <c r="AX604" s="24"/>
      <c r="AY604" s="24"/>
      <c r="AZ604" s="24"/>
      <c r="BA604" s="24"/>
      <c r="BC604" s="24"/>
      <c r="BD604" s="24"/>
      <c r="BE604" s="24"/>
      <c r="BF604" s="24"/>
      <c r="BH604" s="24">
        <v>45874.54018895833</v>
      </c>
      <c r="BI604" s="24">
        <v>45874.54018895833</v>
      </c>
      <c r="BJ604" s="24">
        <v>45874.718795162036</v>
      </c>
      <c r="BK604" s="24">
        <v>45874.718795162036</v>
      </c>
      <c r="BL604">
        <v>1</v>
      </c>
      <c r="BM604" s="24"/>
      <c r="BN604" s="24"/>
      <c r="BO604" s="24"/>
      <c r="BP604" s="24"/>
      <c r="BR604" s="24">
        <v>45888.400090717594</v>
      </c>
      <c r="BS604" s="24">
        <v>45888.400090717594</v>
      </c>
      <c r="BT604" s="24">
        <v>45888.400244305558</v>
      </c>
      <c r="BU604" s="24">
        <v>45888.400244305558</v>
      </c>
      <c r="BV604">
        <v>1</v>
      </c>
      <c r="BW604" s="24"/>
      <c r="BX604" s="24"/>
      <c r="BY604" s="24"/>
      <c r="BZ604" s="24"/>
      <c r="CB604" s="24"/>
      <c r="CC604" s="24"/>
      <c r="CE604" s="24">
        <v>45888.400244305558</v>
      </c>
      <c r="CF604" s="24">
        <v>45888.400244305558</v>
      </c>
      <c r="CG604">
        <v>1</v>
      </c>
      <c r="CH604" s="24"/>
      <c r="CI604" s="24"/>
      <c r="CJ604" s="24"/>
      <c r="CK604" s="24"/>
      <c r="DE604" s="24"/>
      <c r="DF604" s="24"/>
      <c r="DG604" s="24"/>
      <c r="DH604" s="24"/>
      <c r="DJ604" t="s">
        <v>149</v>
      </c>
      <c r="DK604" t="s">
        <v>149</v>
      </c>
      <c r="DM604">
        <v>14</v>
      </c>
      <c r="DN604">
        <v>14</v>
      </c>
      <c r="DQ604" t="s">
        <v>1000</v>
      </c>
      <c r="DR604" t="s">
        <v>149</v>
      </c>
      <c r="DS604" s="24">
        <v>46160.384426226854</v>
      </c>
    </row>
    <row r="605" spans="1:123" x14ac:dyDescent="0.3">
      <c r="A605" t="s">
        <v>855</v>
      </c>
      <c r="D605" t="s">
        <v>223</v>
      </c>
      <c r="E605" s="24">
        <v>45644.561874999999</v>
      </c>
      <c r="G605" t="s">
        <v>90</v>
      </c>
      <c r="H605" t="s">
        <v>155</v>
      </c>
      <c r="I605" s="24"/>
      <c r="J605" s="24"/>
      <c r="K605" s="24"/>
      <c r="L605" s="24"/>
      <c r="N605" s="24"/>
      <c r="O605" s="24"/>
      <c r="P605" s="24"/>
      <c r="Q605" s="24"/>
      <c r="V605" s="24"/>
      <c r="W605" s="24"/>
      <c r="X605" s="24"/>
      <c r="Y605" s="24"/>
      <c r="AA605" s="24">
        <v>45866.363815312499</v>
      </c>
      <c r="AB605" s="24">
        <v>45866.363815312499</v>
      </c>
      <c r="AC605" s="24">
        <v>45870.597568263889</v>
      </c>
      <c r="AD605" s="24">
        <v>45870.597568263889</v>
      </c>
      <c r="AE605">
        <v>1</v>
      </c>
      <c r="AF605" s="24"/>
      <c r="AG605" s="24"/>
      <c r="AH605" s="24"/>
      <c r="AI605" s="24"/>
      <c r="AK605" s="24"/>
      <c r="AL605" s="24"/>
      <c r="AM605" s="24"/>
      <c r="AN605" s="24"/>
      <c r="AP605" s="24"/>
      <c r="AQ605" s="24"/>
      <c r="AR605" s="24">
        <v>45860.480528483793</v>
      </c>
      <c r="AS605" s="24">
        <v>45860.480528483793</v>
      </c>
      <c r="AX605" s="24"/>
      <c r="AY605" s="24"/>
      <c r="AZ605" s="24"/>
      <c r="BA605" s="24"/>
      <c r="BC605" s="24"/>
      <c r="BD605" s="24"/>
      <c r="BE605" s="24"/>
      <c r="BF605" s="24"/>
      <c r="BH605" s="24">
        <v>45860.480528483793</v>
      </c>
      <c r="BI605" s="24">
        <v>45860.480528483793</v>
      </c>
      <c r="BJ605" s="24">
        <v>45866.363815312499</v>
      </c>
      <c r="BK605" s="24">
        <v>45866.363815312499</v>
      </c>
      <c r="BL605">
        <v>1</v>
      </c>
      <c r="BM605" s="24"/>
      <c r="BN605" s="24"/>
      <c r="BO605" s="24"/>
      <c r="BP605" s="24"/>
      <c r="BR605" s="24">
        <v>45870.597568263889</v>
      </c>
      <c r="BS605" s="24">
        <v>45870.597568263889</v>
      </c>
      <c r="BT605" s="24">
        <v>45870.676855601851</v>
      </c>
      <c r="BU605" s="24">
        <v>45870.676855601851</v>
      </c>
      <c r="BV605">
        <v>1</v>
      </c>
      <c r="BW605" s="24"/>
      <c r="BX605" s="24"/>
      <c r="BY605" s="24"/>
      <c r="BZ605" s="24"/>
      <c r="CB605" s="24"/>
      <c r="CC605" s="24"/>
      <c r="CE605" s="24">
        <v>45870.676855601851</v>
      </c>
      <c r="CF605" s="24">
        <v>45870.676855601851</v>
      </c>
      <c r="CG605">
        <v>1</v>
      </c>
      <c r="CH605" s="24"/>
      <c r="CI605" s="24"/>
      <c r="CJ605" s="24"/>
      <c r="CK605" s="24"/>
      <c r="DE605" s="24"/>
      <c r="DF605" s="24"/>
      <c r="DG605" s="24"/>
      <c r="DH605" s="24"/>
      <c r="DJ605" t="s">
        <v>149</v>
      </c>
      <c r="DK605" t="s">
        <v>149</v>
      </c>
      <c r="DM605">
        <v>11</v>
      </c>
      <c r="DN605">
        <v>5</v>
      </c>
      <c r="DQ605" t="s">
        <v>1000</v>
      </c>
      <c r="DR605" t="s">
        <v>149</v>
      </c>
      <c r="DS605" s="24">
        <v>46160.384426226854</v>
      </c>
    </row>
    <row r="606" spans="1:123" x14ac:dyDescent="0.3">
      <c r="A606" t="s">
        <v>856</v>
      </c>
      <c r="D606" t="s">
        <v>223</v>
      </c>
      <c r="E606" s="24">
        <v>45644.561805555553</v>
      </c>
      <c r="G606" t="s">
        <v>90</v>
      </c>
      <c r="H606" t="s">
        <v>155</v>
      </c>
      <c r="I606" s="24"/>
      <c r="J606" s="24"/>
      <c r="K606" s="24"/>
      <c r="L606" s="24"/>
      <c r="N606" s="24"/>
      <c r="O606" s="24"/>
      <c r="P606" s="24"/>
      <c r="Q606" s="24"/>
      <c r="V606" s="24"/>
      <c r="W606" s="24"/>
      <c r="X606" s="24"/>
      <c r="Y606" s="24"/>
      <c r="AA606" s="24">
        <v>45847.447876817132</v>
      </c>
      <c r="AB606" s="24">
        <v>45847.447876817132</v>
      </c>
      <c r="AC606" s="24">
        <v>45856.402683622684</v>
      </c>
      <c r="AD606" s="24">
        <v>45856.402683622684</v>
      </c>
      <c r="AE606">
        <v>1</v>
      </c>
      <c r="AF606" s="24"/>
      <c r="AG606" s="24"/>
      <c r="AH606" s="24"/>
      <c r="AI606" s="24"/>
      <c r="AK606" s="24"/>
      <c r="AL606" s="24"/>
      <c r="AM606" s="24"/>
      <c r="AN606" s="24"/>
      <c r="AP606" s="24"/>
      <c r="AQ606" s="24"/>
      <c r="AR606" s="24">
        <v>45846.524998414352</v>
      </c>
      <c r="AS606" s="24">
        <v>45846.524998414352</v>
      </c>
      <c r="AX606" s="24"/>
      <c r="AY606" s="24"/>
      <c r="AZ606" s="24"/>
      <c r="BA606" s="24"/>
      <c r="BC606" s="24"/>
      <c r="BD606" s="24"/>
      <c r="BE606" s="24"/>
      <c r="BF606" s="24"/>
      <c r="BH606" s="24">
        <v>45846.524998414352</v>
      </c>
      <c r="BI606" s="24">
        <v>45846.524998414352</v>
      </c>
      <c r="BJ606" s="24">
        <v>45847.447876817132</v>
      </c>
      <c r="BK606" s="24">
        <v>45847.447876817132</v>
      </c>
      <c r="BL606">
        <v>1</v>
      </c>
      <c r="BM606" s="24"/>
      <c r="BN606" s="24"/>
      <c r="BO606" s="24"/>
      <c r="BP606" s="24"/>
      <c r="BR606" s="24">
        <v>45856.402683622684</v>
      </c>
      <c r="BS606" s="24">
        <v>45856.402683622684</v>
      </c>
      <c r="BT606" s="24">
        <v>45856.402732395836</v>
      </c>
      <c r="BU606" s="24">
        <v>45856.402732395836</v>
      </c>
      <c r="BV606">
        <v>1</v>
      </c>
      <c r="BW606" s="24"/>
      <c r="BX606" s="24"/>
      <c r="BY606" s="24"/>
      <c r="BZ606" s="24"/>
      <c r="CB606" s="24"/>
      <c r="CC606" s="24"/>
      <c r="CE606" s="24">
        <v>45856.402732395836</v>
      </c>
      <c r="CF606" s="24">
        <v>45856.402732395836</v>
      </c>
      <c r="CG606">
        <v>1</v>
      </c>
      <c r="CH606" s="24"/>
      <c r="CI606" s="24"/>
      <c r="CJ606" s="24"/>
      <c r="CK606" s="24"/>
      <c r="DE606" s="24"/>
      <c r="DF606" s="24"/>
      <c r="DG606" s="24"/>
      <c r="DH606" s="24"/>
      <c r="DJ606" t="s">
        <v>149</v>
      </c>
      <c r="DK606" t="s">
        <v>149</v>
      </c>
      <c r="DM606">
        <v>10</v>
      </c>
      <c r="DN606">
        <v>9</v>
      </c>
      <c r="DQ606" t="s">
        <v>1000</v>
      </c>
      <c r="DR606" t="s">
        <v>149</v>
      </c>
      <c r="DS606" s="24">
        <v>46160.384426226854</v>
      </c>
    </row>
    <row r="607" spans="1:123" x14ac:dyDescent="0.3">
      <c r="A607" t="s">
        <v>857</v>
      </c>
      <c r="D607" t="s">
        <v>223</v>
      </c>
      <c r="E607" s="24">
        <v>45644.561550925922</v>
      </c>
      <c r="G607" t="s">
        <v>90</v>
      </c>
      <c r="H607" t="s">
        <v>155</v>
      </c>
      <c r="I607" s="24"/>
      <c r="J607" s="24"/>
      <c r="K607" s="24"/>
      <c r="L607" s="24"/>
      <c r="N607" s="24"/>
      <c r="O607" s="24"/>
      <c r="P607" s="24"/>
      <c r="Q607" s="24"/>
      <c r="V607" s="24"/>
      <c r="W607" s="24"/>
      <c r="X607" s="24"/>
      <c r="Y607" s="24"/>
      <c r="AA607" s="24">
        <v>45834.404109456016</v>
      </c>
      <c r="AB607" s="24">
        <v>45834.404109456016</v>
      </c>
      <c r="AC607" s="24">
        <v>45845.401084004632</v>
      </c>
      <c r="AD607" s="24">
        <v>45845.401084004632</v>
      </c>
      <c r="AE607">
        <v>1</v>
      </c>
      <c r="AF607" s="24">
        <v>45845.401084004632</v>
      </c>
      <c r="AG607" s="24">
        <v>45845.401084004632</v>
      </c>
      <c r="AH607" s="24">
        <v>45845.401126956021</v>
      </c>
      <c r="AI607" s="24">
        <v>45845.401126956021</v>
      </c>
      <c r="AJ607">
        <v>1</v>
      </c>
      <c r="AK607" s="24"/>
      <c r="AL607" s="24"/>
      <c r="AM607" s="24"/>
      <c r="AN607" s="24"/>
      <c r="AP607" s="24"/>
      <c r="AQ607" s="24"/>
      <c r="AR607" s="24">
        <v>45832.528699467592</v>
      </c>
      <c r="AS607" s="24">
        <v>45832.528699467592</v>
      </c>
      <c r="AX607" s="24"/>
      <c r="AY607" s="24"/>
      <c r="AZ607" s="24"/>
      <c r="BA607" s="24"/>
      <c r="BC607" s="24"/>
      <c r="BD607" s="24"/>
      <c r="BE607" s="24"/>
      <c r="BF607" s="24"/>
      <c r="BH607" s="24">
        <v>45832.528699467592</v>
      </c>
      <c r="BI607" s="24">
        <v>45832.528699467592</v>
      </c>
      <c r="BJ607" s="24">
        <v>45834.404109456016</v>
      </c>
      <c r="BK607" s="24">
        <v>45834.404109456016</v>
      </c>
      <c r="BL607">
        <v>1</v>
      </c>
      <c r="BM607" s="24"/>
      <c r="BN607" s="24"/>
      <c r="BO607" s="24"/>
      <c r="BP607" s="24"/>
      <c r="BR607" s="24">
        <v>45845.401126956021</v>
      </c>
      <c r="BS607" s="24">
        <v>45845.401126956021</v>
      </c>
      <c r="BT607" s="24">
        <v>45845.401177673608</v>
      </c>
      <c r="BU607" s="24">
        <v>45845.401177673608</v>
      </c>
      <c r="BV607">
        <v>1</v>
      </c>
      <c r="BW607" s="24"/>
      <c r="BX607" s="24"/>
      <c r="BY607" s="24"/>
      <c r="BZ607" s="24"/>
      <c r="CB607" s="24"/>
      <c r="CC607" s="24"/>
      <c r="CE607" s="24">
        <v>45845.401177673608</v>
      </c>
      <c r="CF607" s="24">
        <v>45845.401177673608</v>
      </c>
      <c r="CG607">
        <v>1</v>
      </c>
      <c r="CH607" s="24"/>
      <c r="CI607" s="24"/>
      <c r="CJ607" s="24"/>
      <c r="CK607" s="24"/>
      <c r="DE607" s="24"/>
      <c r="DF607" s="24"/>
      <c r="DG607" s="24"/>
      <c r="DH607" s="24"/>
      <c r="DJ607" t="s">
        <v>149</v>
      </c>
      <c r="DK607" t="s">
        <v>149</v>
      </c>
      <c r="DM607">
        <v>13</v>
      </c>
      <c r="DN607">
        <v>11</v>
      </c>
      <c r="DQ607" t="s">
        <v>1000</v>
      </c>
      <c r="DR607" t="s">
        <v>149</v>
      </c>
      <c r="DS607" s="24">
        <v>46160.384426226854</v>
      </c>
    </row>
    <row r="608" spans="1:123" x14ac:dyDescent="0.3">
      <c r="A608" t="s">
        <v>858</v>
      </c>
      <c r="D608" t="s">
        <v>223</v>
      </c>
      <c r="E608" s="24">
        <v>45637.32476851852</v>
      </c>
      <c r="G608" t="s">
        <v>90</v>
      </c>
      <c r="H608" t="s">
        <v>155</v>
      </c>
      <c r="I608" s="24"/>
      <c r="J608" s="24"/>
      <c r="K608" s="24"/>
      <c r="L608" s="24"/>
      <c r="N608" s="24">
        <v>45839.4441678125</v>
      </c>
      <c r="O608" s="24">
        <v>45818.724456400465</v>
      </c>
      <c r="P608" s="24">
        <v>45824.366561712966</v>
      </c>
      <c r="Q608" s="24">
        <v>45860.596917060182</v>
      </c>
      <c r="R608">
        <v>4</v>
      </c>
      <c r="V608" s="24"/>
      <c r="W608" s="24"/>
      <c r="X608" s="24"/>
      <c r="Y608" s="24"/>
      <c r="AA608" s="24">
        <v>45860.596917060182</v>
      </c>
      <c r="AB608" s="24">
        <v>45818.637176412034</v>
      </c>
      <c r="AC608" s="24">
        <v>45818.724456400465</v>
      </c>
      <c r="AD608" s="24">
        <v>45860.596948113423</v>
      </c>
      <c r="AE608">
        <v>5</v>
      </c>
      <c r="AF608" s="24"/>
      <c r="AG608" s="24"/>
      <c r="AH608" s="24"/>
      <c r="AI608" s="24"/>
      <c r="AK608" s="24"/>
      <c r="AL608" s="24"/>
      <c r="AM608" s="24"/>
      <c r="AN608" s="24"/>
      <c r="AP608" s="24"/>
      <c r="AQ608" s="24"/>
      <c r="AR608" s="24">
        <v>45818.614874884261</v>
      </c>
      <c r="AS608" s="24">
        <v>45818.614874884261</v>
      </c>
      <c r="AX608" s="24"/>
      <c r="AY608" s="24"/>
      <c r="AZ608" s="24"/>
      <c r="BA608" s="24"/>
      <c r="BC608" s="24"/>
      <c r="BD608" s="24"/>
      <c r="BE608" s="24"/>
      <c r="BF608" s="24"/>
      <c r="BH608" s="24">
        <v>45818.614874884261</v>
      </c>
      <c r="BI608" s="24">
        <v>45818.614874884261</v>
      </c>
      <c r="BJ608" s="24">
        <v>45818.637176412034</v>
      </c>
      <c r="BK608" s="24">
        <v>45818.637176412034</v>
      </c>
      <c r="BL608">
        <v>1</v>
      </c>
      <c r="BM608" s="24"/>
      <c r="BN608" s="24"/>
      <c r="BO608" s="24"/>
      <c r="BP608" s="24"/>
      <c r="BR608" s="24"/>
      <c r="BS608" s="24"/>
      <c r="BT608" s="24"/>
      <c r="BU608" s="24"/>
      <c r="BW608" s="24"/>
      <c r="BX608" s="24"/>
      <c r="BY608" s="24"/>
      <c r="BZ608" s="24"/>
      <c r="CB608" s="24"/>
      <c r="CC608" s="24"/>
      <c r="CE608" s="24">
        <v>45860.596948113423</v>
      </c>
      <c r="CF608" s="24">
        <v>45860.596948113423</v>
      </c>
      <c r="CG608">
        <v>1</v>
      </c>
      <c r="CH608" s="24"/>
      <c r="CI608" s="24"/>
      <c r="CJ608" s="24"/>
      <c r="CK608" s="24"/>
      <c r="DE608" s="24"/>
      <c r="DF608" s="24"/>
      <c r="DG608" s="24"/>
      <c r="DH608" s="24"/>
      <c r="DJ608" t="s">
        <v>149</v>
      </c>
      <c r="DK608" t="s">
        <v>149</v>
      </c>
      <c r="DL608">
        <v>39.569740856481481</v>
      </c>
      <c r="DM608">
        <v>42</v>
      </c>
      <c r="DN608">
        <v>42</v>
      </c>
      <c r="DQ608" t="s">
        <v>1000</v>
      </c>
      <c r="DR608" t="s">
        <v>149</v>
      </c>
      <c r="DS608" s="24">
        <v>46160.384426226854</v>
      </c>
    </row>
    <row r="609" spans="1:123" x14ac:dyDescent="0.3">
      <c r="A609" t="s">
        <v>859</v>
      </c>
      <c r="D609" t="s">
        <v>223</v>
      </c>
      <c r="E609" s="24">
        <v>45629.723657407405</v>
      </c>
      <c r="G609" t="s">
        <v>150</v>
      </c>
      <c r="H609" t="s">
        <v>155</v>
      </c>
      <c r="I609" s="24"/>
      <c r="J609" s="24"/>
      <c r="K609" s="24"/>
      <c r="L609" s="24"/>
      <c r="N609" s="24"/>
      <c r="O609" s="24"/>
      <c r="P609" s="24"/>
      <c r="Q609" s="24"/>
      <c r="V609" s="24"/>
      <c r="W609" s="24"/>
      <c r="X609" s="24"/>
      <c r="Y609" s="24"/>
      <c r="AA609" s="24"/>
      <c r="AB609" s="24"/>
      <c r="AC609" s="24"/>
      <c r="AD609" s="24"/>
      <c r="AF609" s="24"/>
      <c r="AG609" s="24"/>
      <c r="AH609" s="24"/>
      <c r="AI609" s="24"/>
      <c r="AK609" s="24"/>
      <c r="AL609" s="24"/>
      <c r="AM609" s="24"/>
      <c r="AN609" s="24"/>
      <c r="AP609" s="24"/>
      <c r="AQ609" s="24"/>
      <c r="AR609" s="24">
        <v>46154.365843993059</v>
      </c>
      <c r="AS609" s="24">
        <v>46154.365843993059</v>
      </c>
      <c r="AX609" s="24"/>
      <c r="AY609" s="24"/>
      <c r="AZ609" s="24"/>
      <c r="BA609" s="24"/>
      <c r="BC609" s="24"/>
      <c r="BD609" s="24"/>
      <c r="BE609" s="24"/>
      <c r="BF609" s="24"/>
      <c r="BH609" s="24"/>
      <c r="BI609" s="24"/>
      <c r="BJ609" s="24"/>
      <c r="BK609" s="24"/>
      <c r="BM609" s="24"/>
      <c r="BN609" s="24"/>
      <c r="BO609" s="24"/>
      <c r="BP609" s="24"/>
      <c r="BR609" s="24"/>
      <c r="BS609" s="24"/>
      <c r="BT609" s="24"/>
      <c r="BU609" s="24"/>
      <c r="BW609" s="24"/>
      <c r="BX609" s="24"/>
      <c r="BY609" s="24"/>
      <c r="BZ609" s="24"/>
      <c r="CB609" s="24">
        <v>46154.365843993059</v>
      </c>
      <c r="CC609" s="24">
        <v>46154.365843993059</v>
      </c>
      <c r="CD609">
        <v>1</v>
      </c>
      <c r="CE609" s="24"/>
      <c r="CF609" s="24"/>
      <c r="CH609" s="24"/>
      <c r="CI609" s="24"/>
      <c r="CJ609" s="24"/>
      <c r="CK609" s="24"/>
      <c r="DE609" s="24"/>
      <c r="DF609" s="24"/>
      <c r="DG609" s="24"/>
      <c r="DH609" s="24"/>
      <c r="DJ609" t="s">
        <v>149</v>
      </c>
      <c r="DK609" t="s">
        <v>149</v>
      </c>
      <c r="DQ609" t="s">
        <v>1000</v>
      </c>
      <c r="DR609" t="s">
        <v>149</v>
      </c>
      <c r="DS609" s="24">
        <v>46160.384426226854</v>
      </c>
    </row>
    <row r="610" spans="1:123" x14ac:dyDescent="0.3">
      <c r="A610" t="s">
        <v>860</v>
      </c>
      <c r="D610" t="s">
        <v>223</v>
      </c>
      <c r="E610" s="24">
        <v>45629.72210648148</v>
      </c>
      <c r="G610" t="s">
        <v>150</v>
      </c>
      <c r="H610" t="s">
        <v>155</v>
      </c>
      <c r="I610" s="24"/>
      <c r="J610" s="24"/>
      <c r="K610" s="24"/>
      <c r="L610" s="24"/>
      <c r="N610" s="24"/>
      <c r="O610" s="24"/>
      <c r="P610" s="24"/>
      <c r="Q610" s="24"/>
      <c r="V610" s="24"/>
      <c r="W610" s="24"/>
      <c r="X610" s="24"/>
      <c r="Y610" s="24"/>
      <c r="AA610" s="24"/>
      <c r="AB610" s="24"/>
      <c r="AC610" s="24"/>
      <c r="AD610" s="24"/>
      <c r="AF610" s="24"/>
      <c r="AG610" s="24"/>
      <c r="AH610" s="24"/>
      <c r="AI610" s="24"/>
      <c r="AK610" s="24"/>
      <c r="AL610" s="24"/>
      <c r="AM610" s="24"/>
      <c r="AN610" s="24"/>
      <c r="AP610" s="24"/>
      <c r="AQ610" s="24"/>
      <c r="AR610" s="24">
        <v>46154.366000462964</v>
      </c>
      <c r="AS610" s="24">
        <v>46154.366000462964</v>
      </c>
      <c r="AX610" s="24"/>
      <c r="AY610" s="24"/>
      <c r="AZ610" s="24"/>
      <c r="BA610" s="24"/>
      <c r="BC610" s="24"/>
      <c r="BD610" s="24"/>
      <c r="BE610" s="24"/>
      <c r="BF610" s="24"/>
      <c r="BH610" s="24"/>
      <c r="BI610" s="24"/>
      <c r="BJ610" s="24"/>
      <c r="BK610" s="24"/>
      <c r="BM610" s="24"/>
      <c r="BN610" s="24"/>
      <c r="BO610" s="24"/>
      <c r="BP610" s="24"/>
      <c r="BR610" s="24"/>
      <c r="BS610" s="24"/>
      <c r="BT610" s="24"/>
      <c r="BU610" s="24"/>
      <c r="BW610" s="24"/>
      <c r="BX610" s="24"/>
      <c r="BY610" s="24"/>
      <c r="BZ610" s="24"/>
      <c r="CB610" s="24">
        <v>46154.366000462964</v>
      </c>
      <c r="CC610" s="24">
        <v>46154.366000462964</v>
      </c>
      <c r="CD610">
        <v>1</v>
      </c>
      <c r="CE610" s="24"/>
      <c r="CF610" s="24"/>
      <c r="CH610" s="24"/>
      <c r="CI610" s="24"/>
      <c r="CJ610" s="24"/>
      <c r="CK610" s="24"/>
      <c r="DE610" s="24"/>
      <c r="DF610" s="24"/>
      <c r="DG610" s="24"/>
      <c r="DH610" s="24"/>
      <c r="DJ610" t="s">
        <v>149</v>
      </c>
      <c r="DK610" t="s">
        <v>149</v>
      </c>
      <c r="DQ610" t="s">
        <v>1000</v>
      </c>
      <c r="DR610" t="s">
        <v>149</v>
      </c>
      <c r="DS610" s="24">
        <v>46160.384426226854</v>
      </c>
    </row>
    <row r="611" spans="1:123" x14ac:dyDescent="0.3">
      <c r="A611" t="s">
        <v>861</v>
      </c>
      <c r="D611" t="s">
        <v>225</v>
      </c>
      <c r="E611" s="24">
        <v>45625.514918981484</v>
      </c>
      <c r="G611" t="s">
        <v>150</v>
      </c>
      <c r="H611" t="s">
        <v>155</v>
      </c>
      <c r="I611" s="24"/>
      <c r="J611" s="24"/>
      <c r="K611" s="24"/>
      <c r="L611" s="24"/>
      <c r="N611" s="24"/>
      <c r="O611" s="24"/>
      <c r="P611" s="24"/>
      <c r="Q611" s="24"/>
      <c r="V611" s="24"/>
      <c r="W611" s="24"/>
      <c r="X611" s="24"/>
      <c r="Y611" s="24"/>
      <c r="AA611" s="24"/>
      <c r="AB611" s="24"/>
      <c r="AC611" s="24"/>
      <c r="AD611" s="24"/>
      <c r="AF611" s="24"/>
      <c r="AG611" s="24"/>
      <c r="AH611" s="24"/>
      <c r="AI611" s="24"/>
      <c r="AK611" s="24"/>
      <c r="AL611" s="24"/>
      <c r="AM611" s="24"/>
      <c r="AN611" s="24"/>
      <c r="AP611" s="24"/>
      <c r="AQ611" s="24"/>
      <c r="AR611" s="24">
        <v>46154.36565162037</v>
      </c>
      <c r="AS611" s="24">
        <v>46154.36565162037</v>
      </c>
      <c r="AX611" s="24"/>
      <c r="AY611" s="24"/>
      <c r="AZ611" s="24"/>
      <c r="BA611" s="24"/>
      <c r="BC611" s="24"/>
      <c r="BD611" s="24"/>
      <c r="BE611" s="24"/>
      <c r="BF611" s="24"/>
      <c r="BH611" s="24"/>
      <c r="BI611" s="24"/>
      <c r="BJ611" s="24"/>
      <c r="BK611" s="24"/>
      <c r="BM611" s="24"/>
      <c r="BN611" s="24"/>
      <c r="BO611" s="24"/>
      <c r="BP611" s="24"/>
      <c r="BR611" s="24"/>
      <c r="BS611" s="24"/>
      <c r="BT611" s="24"/>
      <c r="BU611" s="24"/>
      <c r="BW611" s="24"/>
      <c r="BX611" s="24"/>
      <c r="BY611" s="24"/>
      <c r="BZ611" s="24"/>
      <c r="CB611" s="24">
        <v>46154.36565162037</v>
      </c>
      <c r="CC611" s="24">
        <v>46154.36565162037</v>
      </c>
      <c r="CD611">
        <v>1</v>
      </c>
      <c r="CE611" s="24"/>
      <c r="CF611" s="24"/>
      <c r="CH611" s="24"/>
      <c r="CI611" s="24"/>
      <c r="CJ611" s="24"/>
      <c r="CK611" s="24"/>
      <c r="DE611" s="24"/>
      <c r="DF611" s="24"/>
      <c r="DG611" s="24"/>
      <c r="DH611" s="24"/>
      <c r="DJ611" t="s">
        <v>149</v>
      </c>
      <c r="DK611" t="s">
        <v>149</v>
      </c>
      <c r="DQ611" t="s">
        <v>1000</v>
      </c>
      <c r="DR611" t="s">
        <v>149</v>
      </c>
      <c r="DS611" s="24">
        <v>46160.384426226854</v>
      </c>
    </row>
    <row r="612" spans="1:123" x14ac:dyDescent="0.3">
      <c r="A612" t="s">
        <v>862</v>
      </c>
      <c r="D612" t="s">
        <v>225</v>
      </c>
      <c r="E612" s="24">
        <v>45625.512453703705</v>
      </c>
      <c r="G612" t="s">
        <v>150</v>
      </c>
      <c r="H612" t="s">
        <v>155</v>
      </c>
      <c r="I612" s="24"/>
      <c r="J612" s="24"/>
      <c r="K612" s="24"/>
      <c r="L612" s="24"/>
      <c r="N612" s="24"/>
      <c r="O612" s="24"/>
      <c r="P612" s="24"/>
      <c r="Q612" s="24"/>
      <c r="V612" s="24"/>
      <c r="W612" s="24"/>
      <c r="X612" s="24"/>
      <c r="Y612" s="24"/>
      <c r="AA612" s="24"/>
      <c r="AB612" s="24"/>
      <c r="AC612" s="24"/>
      <c r="AD612" s="24"/>
      <c r="AF612" s="24"/>
      <c r="AG612" s="24"/>
      <c r="AH612" s="24"/>
      <c r="AI612" s="24"/>
      <c r="AK612" s="24"/>
      <c r="AL612" s="24"/>
      <c r="AM612" s="24"/>
      <c r="AN612" s="24"/>
      <c r="AP612" s="24"/>
      <c r="AQ612" s="24"/>
      <c r="AR612" s="24">
        <v>46154.365445393516</v>
      </c>
      <c r="AS612" s="24">
        <v>46154.365445393516</v>
      </c>
      <c r="AX612" s="24"/>
      <c r="AY612" s="24"/>
      <c r="AZ612" s="24"/>
      <c r="BA612" s="24"/>
      <c r="BC612" s="24"/>
      <c r="BD612" s="24"/>
      <c r="BE612" s="24"/>
      <c r="BF612" s="24"/>
      <c r="BH612" s="24"/>
      <c r="BI612" s="24"/>
      <c r="BJ612" s="24"/>
      <c r="BK612" s="24"/>
      <c r="BM612" s="24"/>
      <c r="BN612" s="24"/>
      <c r="BO612" s="24"/>
      <c r="BP612" s="24"/>
      <c r="BR612" s="24"/>
      <c r="BS612" s="24"/>
      <c r="BT612" s="24"/>
      <c r="BU612" s="24"/>
      <c r="BW612" s="24"/>
      <c r="BX612" s="24"/>
      <c r="BY612" s="24"/>
      <c r="BZ612" s="24"/>
      <c r="CB612" s="24">
        <v>46154.365445393516</v>
      </c>
      <c r="CC612" s="24">
        <v>46154.365445393516</v>
      </c>
      <c r="CD612">
        <v>1</v>
      </c>
      <c r="CE612" s="24"/>
      <c r="CF612" s="24"/>
      <c r="CH612" s="24"/>
      <c r="CI612" s="24"/>
      <c r="CJ612" s="24"/>
      <c r="CK612" s="24"/>
      <c r="DE612" s="24"/>
      <c r="DF612" s="24"/>
      <c r="DG612" s="24"/>
      <c r="DH612" s="24"/>
      <c r="DJ612" t="s">
        <v>149</v>
      </c>
      <c r="DK612" t="s">
        <v>149</v>
      </c>
      <c r="DQ612" t="s">
        <v>1000</v>
      </c>
      <c r="DR612" t="s">
        <v>149</v>
      </c>
      <c r="DS612" s="24">
        <v>46160.384426226854</v>
      </c>
    </row>
    <row r="613" spans="1:123" x14ac:dyDescent="0.3">
      <c r="A613" t="s">
        <v>863</v>
      </c>
      <c r="D613" t="s">
        <v>223</v>
      </c>
      <c r="E613" s="24">
        <v>45625.498506944445</v>
      </c>
      <c r="G613" t="s">
        <v>150</v>
      </c>
      <c r="H613" t="s">
        <v>155</v>
      </c>
      <c r="I613" s="24"/>
      <c r="J613" s="24"/>
      <c r="K613" s="24"/>
      <c r="L613" s="24"/>
      <c r="N613" s="24"/>
      <c r="O613" s="24"/>
      <c r="P613" s="24"/>
      <c r="Q613" s="24"/>
      <c r="V613" s="24"/>
      <c r="W613" s="24"/>
      <c r="X613" s="24"/>
      <c r="Y613" s="24"/>
      <c r="AA613" s="24"/>
      <c r="AB613" s="24"/>
      <c r="AC613" s="24"/>
      <c r="AD613" s="24"/>
      <c r="AF613" s="24"/>
      <c r="AG613" s="24"/>
      <c r="AH613" s="24"/>
      <c r="AI613" s="24"/>
      <c r="AK613" s="24"/>
      <c r="AL613" s="24"/>
      <c r="AM613" s="24"/>
      <c r="AN613" s="24"/>
      <c r="AP613" s="24"/>
      <c r="AQ613" s="24"/>
      <c r="AR613" s="24">
        <v>46154.3652315625</v>
      </c>
      <c r="AS613" s="24">
        <v>46154.3652315625</v>
      </c>
      <c r="AX613" s="24"/>
      <c r="AY613" s="24"/>
      <c r="AZ613" s="24"/>
      <c r="BA613" s="24"/>
      <c r="BC613" s="24"/>
      <c r="BD613" s="24"/>
      <c r="BE613" s="24"/>
      <c r="BF613" s="24"/>
      <c r="BH613" s="24"/>
      <c r="BI613" s="24"/>
      <c r="BJ613" s="24"/>
      <c r="BK613" s="24"/>
      <c r="BM613" s="24"/>
      <c r="BN613" s="24"/>
      <c r="BO613" s="24"/>
      <c r="BP613" s="24"/>
      <c r="BR613" s="24"/>
      <c r="BS613" s="24"/>
      <c r="BT613" s="24"/>
      <c r="BU613" s="24"/>
      <c r="BW613" s="24"/>
      <c r="BX613" s="24"/>
      <c r="BY613" s="24"/>
      <c r="BZ613" s="24"/>
      <c r="CB613" s="24">
        <v>46154.3652315625</v>
      </c>
      <c r="CC613" s="24">
        <v>46154.3652315625</v>
      </c>
      <c r="CD613">
        <v>1</v>
      </c>
      <c r="CE613" s="24"/>
      <c r="CF613" s="24"/>
      <c r="CH613" s="24"/>
      <c r="CI613" s="24"/>
      <c r="CJ613" s="24"/>
      <c r="CK613" s="24"/>
      <c r="DE613" s="24"/>
      <c r="DF613" s="24"/>
      <c r="DG613" s="24"/>
      <c r="DH613" s="24"/>
      <c r="DJ613" t="s">
        <v>149</v>
      </c>
      <c r="DK613" t="s">
        <v>149</v>
      </c>
      <c r="DQ613" t="s">
        <v>1000</v>
      </c>
      <c r="DR613" t="s">
        <v>149</v>
      </c>
      <c r="DS613" s="24">
        <v>46160.384426226854</v>
      </c>
    </row>
    <row r="614" spans="1:123" x14ac:dyDescent="0.3">
      <c r="A614" t="s">
        <v>864</v>
      </c>
      <c r="D614" t="s">
        <v>223</v>
      </c>
      <c r="E614" s="24">
        <v>45622.457835648151</v>
      </c>
      <c r="G614" t="s">
        <v>150</v>
      </c>
      <c r="H614" t="s">
        <v>155</v>
      </c>
      <c r="I614" s="24"/>
      <c r="J614" s="24"/>
      <c r="K614" s="24"/>
      <c r="L614" s="24"/>
      <c r="N614" s="24"/>
      <c r="O614" s="24"/>
      <c r="P614" s="24"/>
      <c r="Q614" s="24"/>
      <c r="V614" s="24"/>
      <c r="W614" s="24"/>
      <c r="X614" s="24"/>
      <c r="Y614" s="24"/>
      <c r="AA614" s="24"/>
      <c r="AB614" s="24"/>
      <c r="AC614" s="24"/>
      <c r="AD614" s="24"/>
      <c r="AF614" s="24"/>
      <c r="AG614" s="24"/>
      <c r="AH614" s="24"/>
      <c r="AI614" s="24"/>
      <c r="AK614" s="24"/>
      <c r="AL614" s="24"/>
      <c r="AM614" s="24"/>
      <c r="AN614" s="24"/>
      <c r="AP614" s="24"/>
      <c r="AQ614" s="24"/>
      <c r="AR614" s="24">
        <v>46003.440573263892</v>
      </c>
      <c r="AS614" s="24">
        <v>46003.440573263892</v>
      </c>
      <c r="AX614" s="24"/>
      <c r="AY614" s="24"/>
      <c r="AZ614" s="24"/>
      <c r="BA614" s="24"/>
      <c r="BC614" s="24"/>
      <c r="BD614" s="24"/>
      <c r="BE614" s="24"/>
      <c r="BF614" s="24"/>
      <c r="BH614" s="24"/>
      <c r="BI614" s="24"/>
      <c r="BJ614" s="24"/>
      <c r="BK614" s="24"/>
      <c r="BM614" s="24"/>
      <c r="BN614" s="24"/>
      <c r="BO614" s="24"/>
      <c r="BP614" s="24"/>
      <c r="BR614" s="24"/>
      <c r="BS614" s="24"/>
      <c r="BT614" s="24"/>
      <c r="BU614" s="24"/>
      <c r="BW614" s="24"/>
      <c r="BX614" s="24"/>
      <c r="BY614" s="24"/>
      <c r="BZ614" s="24"/>
      <c r="CB614" s="24">
        <v>46003.440573263892</v>
      </c>
      <c r="CC614" s="24">
        <v>46003.440573263892</v>
      </c>
      <c r="CD614">
        <v>1</v>
      </c>
      <c r="CE614" s="24"/>
      <c r="CF614" s="24"/>
      <c r="CH614" s="24"/>
      <c r="CI614" s="24"/>
      <c r="CJ614" s="24"/>
      <c r="CK614" s="24"/>
      <c r="DE614" s="24"/>
      <c r="DF614" s="24"/>
      <c r="DG614" s="24"/>
      <c r="DH614" s="24"/>
      <c r="DJ614" t="s">
        <v>149</v>
      </c>
      <c r="DK614" t="s">
        <v>149</v>
      </c>
      <c r="DQ614" t="s">
        <v>1000</v>
      </c>
      <c r="DR614" t="s">
        <v>149</v>
      </c>
      <c r="DS614" s="24">
        <v>46160.384426226854</v>
      </c>
    </row>
    <row r="615" spans="1:123" x14ac:dyDescent="0.3">
      <c r="A615" t="s">
        <v>865</v>
      </c>
      <c r="D615" t="s">
        <v>225</v>
      </c>
      <c r="E615" s="24">
        <v>45622.41133101852</v>
      </c>
      <c r="G615" t="s">
        <v>150</v>
      </c>
      <c r="H615" t="s">
        <v>155</v>
      </c>
      <c r="I615" s="24"/>
      <c r="J615" s="24"/>
      <c r="K615" s="24"/>
      <c r="L615" s="24"/>
      <c r="N615" s="24"/>
      <c r="O615" s="24"/>
      <c r="P615" s="24"/>
      <c r="Q615" s="24"/>
      <c r="V615" s="24"/>
      <c r="W615" s="24"/>
      <c r="X615" s="24"/>
      <c r="Y615" s="24"/>
      <c r="AA615" s="24"/>
      <c r="AB615" s="24"/>
      <c r="AC615" s="24"/>
      <c r="AD615" s="24"/>
      <c r="AF615" s="24"/>
      <c r="AG615" s="24"/>
      <c r="AH615" s="24"/>
      <c r="AI615" s="24"/>
      <c r="AK615" s="24"/>
      <c r="AL615" s="24"/>
      <c r="AM615" s="24"/>
      <c r="AN615" s="24"/>
      <c r="AP615" s="24"/>
      <c r="AQ615" s="24"/>
      <c r="AR615" s="24">
        <v>45909.371619421298</v>
      </c>
      <c r="AS615" s="24">
        <v>45909.371619421298</v>
      </c>
      <c r="AX615" s="24"/>
      <c r="AY615" s="24"/>
      <c r="AZ615" s="24"/>
      <c r="BA615" s="24"/>
      <c r="BC615" s="24"/>
      <c r="BD615" s="24"/>
      <c r="BE615" s="24"/>
      <c r="BF615" s="24"/>
      <c r="BH615" s="24"/>
      <c r="BI615" s="24"/>
      <c r="BJ615" s="24"/>
      <c r="BK615" s="24"/>
      <c r="BM615" s="24"/>
      <c r="BN615" s="24"/>
      <c r="BO615" s="24"/>
      <c r="BP615" s="24"/>
      <c r="BR615" s="24"/>
      <c r="BS615" s="24"/>
      <c r="BT615" s="24"/>
      <c r="BU615" s="24"/>
      <c r="BW615" s="24"/>
      <c r="BX615" s="24"/>
      <c r="BY615" s="24"/>
      <c r="BZ615" s="24"/>
      <c r="CB615" s="24">
        <v>45909.371619421298</v>
      </c>
      <c r="CC615" s="24">
        <v>45909.371619421298</v>
      </c>
      <c r="CD615">
        <v>1</v>
      </c>
      <c r="CE615" s="24"/>
      <c r="CF615" s="24"/>
      <c r="CH615" s="24"/>
      <c r="CI615" s="24"/>
      <c r="CJ615" s="24"/>
      <c r="CK615" s="24"/>
      <c r="DE615" s="24"/>
      <c r="DF615" s="24"/>
      <c r="DG615" s="24"/>
      <c r="DH615" s="24"/>
      <c r="DJ615" t="s">
        <v>149</v>
      </c>
      <c r="DK615" t="s">
        <v>149</v>
      </c>
      <c r="DQ615" t="s">
        <v>1000</v>
      </c>
      <c r="DR615" t="s">
        <v>149</v>
      </c>
      <c r="DS615" s="24">
        <v>46160.384426226854</v>
      </c>
    </row>
    <row r="616" spans="1:123" x14ac:dyDescent="0.3">
      <c r="A616" t="s">
        <v>866</v>
      </c>
      <c r="D616" t="s">
        <v>223</v>
      </c>
      <c r="E616" s="24">
        <v>45622.335358796299</v>
      </c>
      <c r="G616" t="s">
        <v>150</v>
      </c>
      <c r="H616" t="s">
        <v>155</v>
      </c>
      <c r="I616" s="24"/>
      <c r="J616" s="24"/>
      <c r="K616" s="24"/>
      <c r="L616" s="24"/>
      <c r="N616" s="24"/>
      <c r="O616" s="24"/>
      <c r="P616" s="24"/>
      <c r="Q616" s="24"/>
      <c r="V616" s="24"/>
      <c r="W616" s="24"/>
      <c r="X616" s="24"/>
      <c r="Y616" s="24"/>
      <c r="AA616" s="24"/>
      <c r="AB616" s="24"/>
      <c r="AC616" s="24"/>
      <c r="AD616" s="24"/>
      <c r="AF616" s="24"/>
      <c r="AG616" s="24"/>
      <c r="AH616" s="24"/>
      <c r="AI616" s="24"/>
      <c r="AK616" s="24"/>
      <c r="AL616" s="24"/>
      <c r="AM616" s="24"/>
      <c r="AN616" s="24"/>
      <c r="AP616" s="24"/>
      <c r="AQ616" s="24"/>
      <c r="AR616" s="24">
        <v>46154.366266446763</v>
      </c>
      <c r="AS616" s="24">
        <v>46154.366266446763</v>
      </c>
      <c r="AX616" s="24"/>
      <c r="AY616" s="24"/>
      <c r="AZ616" s="24"/>
      <c r="BA616" s="24"/>
      <c r="BC616" s="24"/>
      <c r="BD616" s="24"/>
      <c r="BE616" s="24"/>
      <c r="BF616" s="24"/>
      <c r="BH616" s="24"/>
      <c r="BI616" s="24"/>
      <c r="BJ616" s="24"/>
      <c r="BK616" s="24"/>
      <c r="BM616" s="24"/>
      <c r="BN616" s="24"/>
      <c r="BO616" s="24"/>
      <c r="BP616" s="24"/>
      <c r="BR616" s="24"/>
      <c r="BS616" s="24"/>
      <c r="BT616" s="24"/>
      <c r="BU616" s="24"/>
      <c r="BW616" s="24"/>
      <c r="BX616" s="24"/>
      <c r="BY616" s="24"/>
      <c r="BZ616" s="24"/>
      <c r="CB616" s="24">
        <v>46154.366266446763</v>
      </c>
      <c r="CC616" s="24">
        <v>46154.366266446763</v>
      </c>
      <c r="CD616">
        <v>1</v>
      </c>
      <c r="CE616" s="24"/>
      <c r="CF616" s="24"/>
      <c r="CH616" s="24"/>
      <c r="CI616" s="24"/>
      <c r="CJ616" s="24"/>
      <c r="CK616" s="24"/>
      <c r="DE616" s="24"/>
      <c r="DF616" s="24"/>
      <c r="DG616" s="24"/>
      <c r="DH616" s="24"/>
      <c r="DJ616" t="s">
        <v>149</v>
      </c>
      <c r="DK616" t="s">
        <v>149</v>
      </c>
      <c r="DQ616" t="s">
        <v>1000</v>
      </c>
      <c r="DR616" t="s">
        <v>149</v>
      </c>
      <c r="DS616" s="24">
        <v>46160.384426226854</v>
      </c>
    </row>
    <row r="617" spans="1:123" x14ac:dyDescent="0.3">
      <c r="A617" t="s">
        <v>867</v>
      </c>
      <c r="D617" t="s">
        <v>224</v>
      </c>
      <c r="E617" s="24">
        <v>45621.584317129629</v>
      </c>
      <c r="G617" t="s">
        <v>90</v>
      </c>
      <c r="H617" t="s">
        <v>155</v>
      </c>
      <c r="I617" s="24"/>
      <c r="J617" s="24"/>
      <c r="K617" s="24"/>
      <c r="L617" s="24"/>
      <c r="N617" s="24"/>
      <c r="O617" s="24"/>
      <c r="P617" s="24"/>
      <c r="Q617" s="24"/>
      <c r="V617" s="24"/>
      <c r="W617" s="24"/>
      <c r="X617" s="24"/>
      <c r="Y617" s="24"/>
      <c r="AA617" s="24">
        <v>45624.413323437497</v>
      </c>
      <c r="AB617" s="24">
        <v>45623.463095844905</v>
      </c>
      <c r="AC617" s="24">
        <v>45623.71397744213</v>
      </c>
      <c r="AD617" s="24">
        <v>45624.610014988422</v>
      </c>
      <c r="AE617">
        <v>2</v>
      </c>
      <c r="AF617" s="24">
        <v>45623.71397744213</v>
      </c>
      <c r="AG617" s="24">
        <v>45623.71397744213</v>
      </c>
      <c r="AH617" s="24">
        <v>45623.714041898151</v>
      </c>
      <c r="AI617" s="24">
        <v>45623.714041898151</v>
      </c>
      <c r="AJ617">
        <v>1</v>
      </c>
      <c r="AK617" s="24">
        <v>45623.714041898151</v>
      </c>
      <c r="AL617" s="24">
        <v>45623.714041898151</v>
      </c>
      <c r="AM617" s="24">
        <v>45623.71410420139</v>
      </c>
      <c r="AN617" s="24">
        <v>45623.71410420139</v>
      </c>
      <c r="AO617">
        <v>1</v>
      </c>
      <c r="AP617" s="24"/>
      <c r="AQ617" s="24"/>
      <c r="AR617" s="24">
        <v>45621.591688541666</v>
      </c>
      <c r="AS617" s="24">
        <v>45621.591688541666</v>
      </c>
      <c r="AX617" s="24"/>
      <c r="AY617" s="24"/>
      <c r="AZ617" s="24"/>
      <c r="BA617" s="24"/>
      <c r="BC617" s="24">
        <v>45625.414587037034</v>
      </c>
      <c r="BD617" s="24">
        <v>45625.414587037034</v>
      </c>
      <c r="BE617" s="24">
        <v>45883.595218888891</v>
      </c>
      <c r="BF617" s="24">
        <v>45883.595218888891</v>
      </c>
      <c r="BG617">
        <v>1</v>
      </c>
      <c r="BH617" s="24">
        <v>45621.591793368054</v>
      </c>
      <c r="BI617" s="24">
        <v>45621.591793368054</v>
      </c>
      <c r="BJ617" s="24">
        <v>45623.463095844905</v>
      </c>
      <c r="BK617" s="24">
        <v>45623.463095844905</v>
      </c>
      <c r="BL617">
        <v>1</v>
      </c>
      <c r="BM617" s="24"/>
      <c r="BN617" s="24"/>
      <c r="BO617" s="24"/>
      <c r="BP617" s="24"/>
      <c r="BR617" s="24">
        <v>45624.610014988422</v>
      </c>
      <c r="BS617" s="24">
        <v>45623.71410420139</v>
      </c>
      <c r="BT617" s="24">
        <v>45624.413323437497</v>
      </c>
      <c r="BU617" s="24">
        <v>45625.414587037034</v>
      </c>
      <c r="BV617">
        <v>2</v>
      </c>
      <c r="BW617" s="24">
        <v>45621.591688541666</v>
      </c>
      <c r="BX617" s="24">
        <v>45621.591688541666</v>
      </c>
      <c r="BY617" s="24">
        <v>45621.591793368054</v>
      </c>
      <c r="BZ617" s="24">
        <v>45621.591793368054</v>
      </c>
      <c r="CA617">
        <v>1</v>
      </c>
      <c r="CB617" s="24"/>
      <c r="CC617" s="24"/>
      <c r="CE617" s="24">
        <v>45883.595218888891</v>
      </c>
      <c r="CF617" s="24">
        <v>45883.595218888891</v>
      </c>
      <c r="CG617">
        <v>1</v>
      </c>
      <c r="CH617" s="24"/>
      <c r="CI617" s="24"/>
      <c r="CJ617" s="24"/>
      <c r="CK617" s="24"/>
      <c r="DE617" s="24"/>
      <c r="DF617" s="24"/>
      <c r="DG617" s="24"/>
      <c r="DH617" s="24"/>
      <c r="DJ617" t="s">
        <v>149</v>
      </c>
      <c r="DK617" t="s">
        <v>149</v>
      </c>
      <c r="DM617">
        <v>263</v>
      </c>
      <c r="DN617">
        <v>261</v>
      </c>
      <c r="DQ617" t="s">
        <v>1000</v>
      </c>
      <c r="DR617" t="s">
        <v>149</v>
      </c>
      <c r="DS617" s="24">
        <v>46160.384426226854</v>
      </c>
    </row>
    <row r="618" spans="1:123" x14ac:dyDescent="0.3">
      <c r="A618" t="s">
        <v>868</v>
      </c>
      <c r="D618" t="s">
        <v>223</v>
      </c>
      <c r="E618" s="24">
        <v>45621.470648148148</v>
      </c>
      <c r="G618" t="s">
        <v>103</v>
      </c>
      <c r="H618" t="s">
        <v>154</v>
      </c>
      <c r="I618" s="24">
        <v>45708.399943171295</v>
      </c>
      <c r="J618" s="24">
        <v>45708.399943171295</v>
      </c>
      <c r="K618" s="24"/>
      <c r="L618" s="24"/>
      <c r="M618">
        <v>1</v>
      </c>
      <c r="N618" s="24">
        <v>45643.405864560184</v>
      </c>
      <c r="O618" s="24">
        <v>45636.62094695602</v>
      </c>
      <c r="P618" s="24">
        <v>45642.341351099538</v>
      </c>
      <c r="Q618" s="24">
        <v>45708.399943171295</v>
      </c>
      <c r="R618">
        <v>2</v>
      </c>
      <c r="V618" s="24"/>
      <c r="W618" s="24"/>
      <c r="X618" s="24"/>
      <c r="Y618" s="24"/>
      <c r="AA618" s="24">
        <v>45642.341351099538</v>
      </c>
      <c r="AB618" s="24">
        <v>45635.419416990742</v>
      </c>
      <c r="AC618" s="24">
        <v>45635.683894629627</v>
      </c>
      <c r="AD618" s="24">
        <v>45643.405864560184</v>
      </c>
      <c r="AE618">
        <v>3</v>
      </c>
      <c r="AF618" s="24">
        <v>45635.683894629627</v>
      </c>
      <c r="AG618" s="24">
        <v>45635.683894629627</v>
      </c>
      <c r="AH618" s="24">
        <v>45636.620870659724</v>
      </c>
      <c r="AI618" s="24">
        <v>45636.620870659724</v>
      </c>
      <c r="AJ618">
        <v>1</v>
      </c>
      <c r="AK618" s="24"/>
      <c r="AL618" s="24"/>
      <c r="AM618" s="24"/>
      <c r="AN618" s="24"/>
      <c r="AP618" s="24"/>
      <c r="AQ618" s="24"/>
      <c r="AR618" s="24">
        <v>45622.486213506942</v>
      </c>
      <c r="AS618" s="24">
        <v>45622.486213506942</v>
      </c>
      <c r="AX618" s="24"/>
      <c r="AY618" s="24"/>
      <c r="AZ618" s="24"/>
      <c r="BA618" s="24"/>
      <c r="BC618" s="24"/>
      <c r="BD618" s="24"/>
      <c r="BE618" s="24"/>
      <c r="BF618" s="24"/>
      <c r="BH618" s="24">
        <v>45622.486213506942</v>
      </c>
      <c r="BI618" s="24">
        <v>45622.486213506942</v>
      </c>
      <c r="BJ618" s="24">
        <v>45635.419416990742</v>
      </c>
      <c r="BK618" s="24">
        <v>45635.419416990742</v>
      </c>
      <c r="BL618">
        <v>1</v>
      </c>
      <c r="BM618" s="24"/>
      <c r="BN618" s="24"/>
      <c r="BO618" s="24"/>
      <c r="BP618" s="24"/>
      <c r="BR618" s="24"/>
      <c r="BS618" s="24"/>
      <c r="BT618" s="24"/>
      <c r="BU618" s="24"/>
      <c r="BW618" s="24"/>
      <c r="BX618" s="24"/>
      <c r="BY618" s="24"/>
      <c r="BZ618" s="24"/>
      <c r="CB618" s="24"/>
      <c r="CC618" s="24"/>
      <c r="CE618" s="24"/>
      <c r="CF618" s="24"/>
      <c r="CH618" s="24"/>
      <c r="CI618" s="24"/>
      <c r="CJ618" s="24"/>
      <c r="CK618" s="24"/>
      <c r="DE618" s="24"/>
      <c r="DF618" s="24"/>
      <c r="DG618" s="24"/>
      <c r="DH618" s="24"/>
      <c r="DJ618" t="s">
        <v>149</v>
      </c>
      <c r="DK618" t="s">
        <v>149</v>
      </c>
      <c r="DO618">
        <v>525</v>
      </c>
      <c r="DP618">
        <v>452</v>
      </c>
      <c r="DQ618" t="s">
        <v>1000</v>
      </c>
      <c r="DR618" t="s">
        <v>149</v>
      </c>
      <c r="DS618" s="24">
        <v>46160.384426226854</v>
      </c>
    </row>
    <row r="619" spans="1:123" x14ac:dyDescent="0.3">
      <c r="A619" t="s">
        <v>869</v>
      </c>
      <c r="D619" t="s">
        <v>225</v>
      </c>
      <c r="E619" s="24">
        <v>45618.340277777781</v>
      </c>
      <c r="G619" t="s">
        <v>150</v>
      </c>
      <c r="H619" t="s">
        <v>155</v>
      </c>
      <c r="I619" s="24"/>
      <c r="J619" s="24"/>
      <c r="K619" s="24"/>
      <c r="L619" s="24"/>
      <c r="N619" s="24"/>
      <c r="O619" s="24"/>
      <c r="P619" s="24"/>
      <c r="Q619" s="24"/>
      <c r="V619" s="24"/>
      <c r="W619" s="24"/>
      <c r="X619" s="24"/>
      <c r="Y619" s="24"/>
      <c r="AA619" s="24"/>
      <c r="AB619" s="24"/>
      <c r="AC619" s="24"/>
      <c r="AD619" s="24"/>
      <c r="AF619" s="24"/>
      <c r="AG619" s="24"/>
      <c r="AH619" s="24"/>
      <c r="AI619" s="24"/>
      <c r="AK619" s="24"/>
      <c r="AL619" s="24"/>
      <c r="AM619" s="24"/>
      <c r="AN619" s="24"/>
      <c r="AP619" s="24"/>
      <c r="AQ619" s="24"/>
      <c r="AR619" s="24">
        <v>45621.551221504633</v>
      </c>
      <c r="AS619" s="24">
        <v>45621.551221504633</v>
      </c>
      <c r="AX619" s="24"/>
      <c r="AY619" s="24"/>
      <c r="AZ619" s="24"/>
      <c r="BA619" s="24"/>
      <c r="BC619" s="24"/>
      <c r="BD619" s="24"/>
      <c r="BE619" s="24"/>
      <c r="BF619" s="24"/>
      <c r="BH619" s="24">
        <v>45621.551221504633</v>
      </c>
      <c r="BI619" s="24">
        <v>45621.551221504633</v>
      </c>
      <c r="BJ619" s="24">
        <v>45876.294293159721</v>
      </c>
      <c r="BK619" s="24">
        <v>45876.294293159721</v>
      </c>
      <c r="BL619">
        <v>1</v>
      </c>
      <c r="BM619" s="24"/>
      <c r="BN619" s="24"/>
      <c r="BO619" s="24"/>
      <c r="BP619" s="24"/>
      <c r="BR619" s="24"/>
      <c r="BS619" s="24"/>
      <c r="BT619" s="24"/>
      <c r="BU619" s="24"/>
      <c r="BW619" s="24"/>
      <c r="BX619" s="24"/>
      <c r="BY619" s="24"/>
      <c r="BZ619" s="24"/>
      <c r="CB619" s="24">
        <v>45876.294293159721</v>
      </c>
      <c r="CC619" s="24">
        <v>45876.294293159721</v>
      </c>
      <c r="CD619">
        <v>1</v>
      </c>
      <c r="CE619" s="24"/>
      <c r="CF619" s="24"/>
      <c r="CH619" s="24"/>
      <c r="CI619" s="24"/>
      <c r="CJ619" s="24"/>
      <c r="CK619" s="24"/>
      <c r="DE619" s="24"/>
      <c r="DF619" s="24"/>
      <c r="DG619" s="24"/>
      <c r="DH619" s="24"/>
      <c r="DJ619" t="s">
        <v>149</v>
      </c>
      <c r="DK619" t="s">
        <v>149</v>
      </c>
      <c r="DQ619" t="s">
        <v>1000</v>
      </c>
      <c r="DR619" t="s">
        <v>149</v>
      </c>
      <c r="DS619" s="24">
        <v>46160.384426226854</v>
      </c>
    </row>
    <row r="620" spans="1:123" x14ac:dyDescent="0.3">
      <c r="A620" t="s">
        <v>870</v>
      </c>
      <c r="D620" t="s">
        <v>223</v>
      </c>
      <c r="E620" s="24">
        <v>45616.595347222225</v>
      </c>
      <c r="G620" t="s">
        <v>150</v>
      </c>
      <c r="H620" t="s">
        <v>155</v>
      </c>
      <c r="I620" s="24"/>
      <c r="J620" s="24"/>
      <c r="K620" s="24"/>
      <c r="L620" s="24"/>
      <c r="N620" s="24"/>
      <c r="O620" s="24"/>
      <c r="P620" s="24"/>
      <c r="Q620" s="24"/>
      <c r="V620" s="24"/>
      <c r="W620" s="24"/>
      <c r="X620" s="24"/>
      <c r="Y620" s="24"/>
      <c r="AA620" s="24"/>
      <c r="AB620" s="24"/>
      <c r="AC620" s="24"/>
      <c r="AD620" s="24"/>
      <c r="AF620" s="24"/>
      <c r="AG620" s="24"/>
      <c r="AH620" s="24"/>
      <c r="AI620" s="24"/>
      <c r="AK620" s="24"/>
      <c r="AL620" s="24"/>
      <c r="AM620" s="24"/>
      <c r="AN620" s="24"/>
      <c r="AP620" s="24"/>
      <c r="AQ620" s="24"/>
      <c r="AR620" s="24">
        <v>45980.348978599533</v>
      </c>
      <c r="AS620" s="24">
        <v>45980.348978599533</v>
      </c>
      <c r="AX620" s="24"/>
      <c r="AY620" s="24"/>
      <c r="AZ620" s="24"/>
      <c r="BA620" s="24"/>
      <c r="BC620" s="24"/>
      <c r="BD620" s="24"/>
      <c r="BE620" s="24"/>
      <c r="BF620" s="24"/>
      <c r="BH620" s="24"/>
      <c r="BI620" s="24"/>
      <c r="BJ620" s="24"/>
      <c r="BK620" s="24"/>
      <c r="BM620" s="24"/>
      <c r="BN620" s="24"/>
      <c r="BO620" s="24"/>
      <c r="BP620" s="24"/>
      <c r="BR620" s="24"/>
      <c r="BS620" s="24"/>
      <c r="BT620" s="24"/>
      <c r="BU620" s="24"/>
      <c r="BW620" s="24"/>
      <c r="BX620" s="24"/>
      <c r="BY620" s="24"/>
      <c r="BZ620" s="24"/>
      <c r="CB620" s="24">
        <v>45980.348978599533</v>
      </c>
      <c r="CC620" s="24">
        <v>45980.348978599533</v>
      </c>
      <c r="CD620">
        <v>1</v>
      </c>
      <c r="CE620" s="24"/>
      <c r="CF620" s="24"/>
      <c r="CH620" s="24"/>
      <c r="CI620" s="24"/>
      <c r="CJ620" s="24"/>
      <c r="CK620" s="24"/>
      <c r="DE620" s="24"/>
      <c r="DF620" s="24"/>
      <c r="DG620" s="24"/>
      <c r="DH620" s="24"/>
      <c r="DJ620" t="s">
        <v>149</v>
      </c>
      <c r="DK620" t="s">
        <v>149</v>
      </c>
      <c r="DQ620" t="s">
        <v>1000</v>
      </c>
      <c r="DR620" t="s">
        <v>149</v>
      </c>
      <c r="DS620" s="24">
        <v>46160.384426226854</v>
      </c>
    </row>
    <row r="621" spans="1:123" x14ac:dyDescent="0.3">
      <c r="A621" t="s">
        <v>871</v>
      </c>
      <c r="D621" t="s">
        <v>223</v>
      </c>
      <c r="E621" s="24">
        <v>45608.388067129628</v>
      </c>
      <c r="G621" t="s">
        <v>90</v>
      </c>
      <c r="H621" t="s">
        <v>155</v>
      </c>
      <c r="I621" s="24"/>
      <c r="J621" s="24"/>
      <c r="K621" s="24"/>
      <c r="L621" s="24"/>
      <c r="N621" s="24"/>
      <c r="O621" s="24"/>
      <c r="P621" s="24"/>
      <c r="Q621" s="24"/>
      <c r="V621" s="24"/>
      <c r="W621" s="24"/>
      <c r="X621" s="24"/>
      <c r="Y621" s="24"/>
      <c r="AA621" s="24">
        <v>45786.351869641207</v>
      </c>
      <c r="AB621" s="24">
        <v>45786.351869641207</v>
      </c>
      <c r="AC621" s="24">
        <v>45789.505006435182</v>
      </c>
      <c r="AD621" s="24">
        <v>45789.505006435182</v>
      </c>
      <c r="AE621">
        <v>1</v>
      </c>
      <c r="AF621" s="24">
        <v>45789.505006435182</v>
      </c>
      <c r="AG621" s="24">
        <v>45789.505006435182</v>
      </c>
      <c r="AH621" s="24">
        <v>45793.408111099539</v>
      </c>
      <c r="AI621" s="24">
        <v>45793.408111099539</v>
      </c>
      <c r="AJ621">
        <v>1</v>
      </c>
      <c r="AK621" s="24"/>
      <c r="AL621" s="24"/>
      <c r="AM621" s="24"/>
      <c r="AN621" s="24"/>
      <c r="AP621" s="24"/>
      <c r="AQ621" s="24"/>
      <c r="AR621" s="24">
        <v>45786.351778761571</v>
      </c>
      <c r="AS621" s="24">
        <v>45786.351778761571</v>
      </c>
      <c r="AX621" s="24"/>
      <c r="AY621" s="24"/>
      <c r="AZ621" s="24"/>
      <c r="BA621" s="24"/>
      <c r="BC621" s="24"/>
      <c r="BD621" s="24"/>
      <c r="BE621" s="24"/>
      <c r="BF621" s="24"/>
      <c r="BH621" s="24">
        <v>45786.351778761571</v>
      </c>
      <c r="BI621" s="24">
        <v>45786.351778761571</v>
      </c>
      <c r="BJ621" s="24">
        <v>45786.351869641207</v>
      </c>
      <c r="BK621" s="24">
        <v>45786.351869641207</v>
      </c>
      <c r="BL621">
        <v>1</v>
      </c>
      <c r="BM621" s="24"/>
      <c r="BN621" s="24"/>
      <c r="BO621" s="24"/>
      <c r="BP621" s="24"/>
      <c r="BR621" s="24">
        <v>45793.408111099539</v>
      </c>
      <c r="BS621" s="24">
        <v>45793.408111099539</v>
      </c>
      <c r="BT621" s="24">
        <v>45793.409295057871</v>
      </c>
      <c r="BU621" s="24">
        <v>45793.409295057871</v>
      </c>
      <c r="BV621">
        <v>1</v>
      </c>
      <c r="BW621" s="24"/>
      <c r="BX621" s="24"/>
      <c r="BY621" s="24"/>
      <c r="BZ621" s="24"/>
      <c r="CB621" s="24"/>
      <c r="CC621" s="24"/>
      <c r="CE621" s="24">
        <v>45793.409295057871</v>
      </c>
      <c r="CF621" s="24">
        <v>45793.409295057871</v>
      </c>
      <c r="CG621">
        <v>1</v>
      </c>
      <c r="CH621" s="24"/>
      <c r="CI621" s="24"/>
      <c r="CJ621" s="24"/>
      <c r="CK621" s="24"/>
      <c r="DE621" s="24"/>
      <c r="DF621" s="24"/>
      <c r="DG621" s="24"/>
      <c r="DH621" s="24"/>
      <c r="DJ621" t="s">
        <v>149</v>
      </c>
      <c r="DK621" t="s">
        <v>149</v>
      </c>
      <c r="DM621">
        <v>8</v>
      </c>
      <c r="DN621">
        <v>8</v>
      </c>
      <c r="DQ621" t="s">
        <v>1000</v>
      </c>
      <c r="DR621" t="s">
        <v>149</v>
      </c>
      <c r="DS621" s="24">
        <v>46160.384426226854</v>
      </c>
    </row>
    <row r="622" spans="1:123" x14ac:dyDescent="0.3">
      <c r="A622" t="s">
        <v>872</v>
      </c>
      <c r="D622" t="s">
        <v>223</v>
      </c>
      <c r="E622" s="24">
        <v>45604.626562500001</v>
      </c>
      <c r="G622" t="s">
        <v>150</v>
      </c>
      <c r="H622" t="s">
        <v>155</v>
      </c>
      <c r="I622" s="24">
        <v>45611.373231446756</v>
      </c>
      <c r="J622" s="24">
        <v>45611.373231446756</v>
      </c>
      <c r="K622" s="24">
        <v>45611.37330890046</v>
      </c>
      <c r="L622" s="24">
        <v>45611.37330890046</v>
      </c>
      <c r="M622">
        <v>1</v>
      </c>
      <c r="N622" s="24"/>
      <c r="O622" s="24"/>
      <c r="P622" s="24"/>
      <c r="Q622" s="24"/>
      <c r="V622" s="24"/>
      <c r="W622" s="24"/>
      <c r="X622" s="24"/>
      <c r="Y622" s="24"/>
      <c r="AA622" s="24">
        <v>45611.372417256942</v>
      </c>
      <c r="AB622" s="24">
        <v>45611.372417256942</v>
      </c>
      <c r="AC622" s="24">
        <v>45611.373231446756</v>
      </c>
      <c r="AD622" s="24">
        <v>45611.373231446756</v>
      </c>
      <c r="AE622">
        <v>1</v>
      </c>
      <c r="AF622" s="24"/>
      <c r="AG622" s="24"/>
      <c r="AH622" s="24"/>
      <c r="AI622" s="24"/>
      <c r="AK622" s="24"/>
      <c r="AL622" s="24"/>
      <c r="AM622" s="24"/>
      <c r="AN622" s="24"/>
      <c r="AP622" s="24"/>
      <c r="AQ622" s="24"/>
      <c r="AR622" s="24">
        <v>45608.552813761577</v>
      </c>
      <c r="AS622" s="24">
        <v>45608.552813761577</v>
      </c>
      <c r="AX622" s="24"/>
      <c r="AY622" s="24"/>
      <c r="AZ622" s="24"/>
      <c r="BA622" s="24"/>
      <c r="BC622" s="24"/>
      <c r="BD622" s="24"/>
      <c r="BE622" s="24"/>
      <c r="BF622" s="24"/>
      <c r="BH622" s="24">
        <v>45611.373370069443</v>
      </c>
      <c r="BI622" s="24">
        <v>45608.552813761577</v>
      </c>
      <c r="BJ622" s="24">
        <v>45611.372417256942</v>
      </c>
      <c r="BK622" s="24">
        <v>45825.348557881945</v>
      </c>
      <c r="BL622">
        <v>2</v>
      </c>
      <c r="BM622" s="24"/>
      <c r="BN622" s="24"/>
      <c r="BO622" s="24"/>
      <c r="BP622" s="24"/>
      <c r="BR622" s="24"/>
      <c r="BS622" s="24"/>
      <c r="BT622" s="24"/>
      <c r="BU622" s="24"/>
      <c r="BW622" s="24">
        <v>45611.37330890046</v>
      </c>
      <c r="BX622" s="24">
        <v>45611.37330890046</v>
      </c>
      <c r="BY622" s="24">
        <v>45611.373370069443</v>
      </c>
      <c r="BZ622" s="24">
        <v>45611.373370069443</v>
      </c>
      <c r="CA622">
        <v>1</v>
      </c>
      <c r="CB622" s="24">
        <v>45825.348557881945</v>
      </c>
      <c r="CC622" s="24">
        <v>45825.348557881945</v>
      </c>
      <c r="CD622">
        <v>1</v>
      </c>
      <c r="CE622" s="24"/>
      <c r="CF622" s="24"/>
      <c r="CH622" s="24"/>
      <c r="CI622" s="24"/>
      <c r="CJ622" s="24"/>
      <c r="CK622" s="24"/>
      <c r="DE622" s="24"/>
      <c r="DF622" s="24"/>
      <c r="DG622" s="24"/>
      <c r="DH622" s="24"/>
      <c r="DJ622" t="s">
        <v>149</v>
      </c>
      <c r="DK622" t="s">
        <v>149</v>
      </c>
      <c r="DQ622" t="s">
        <v>1000</v>
      </c>
      <c r="DR622" t="s">
        <v>149</v>
      </c>
      <c r="DS622" s="24">
        <v>46160.384426226854</v>
      </c>
    </row>
    <row r="623" spans="1:123" x14ac:dyDescent="0.3">
      <c r="A623" t="s">
        <v>873</v>
      </c>
      <c r="D623" t="s">
        <v>225</v>
      </c>
      <c r="E623" s="24">
        <v>45593.496666666666</v>
      </c>
      <c r="G623" t="s">
        <v>150</v>
      </c>
      <c r="H623" t="s">
        <v>155</v>
      </c>
      <c r="I623" s="24"/>
      <c r="J623" s="24"/>
      <c r="K623" s="24"/>
      <c r="L623" s="24"/>
      <c r="N623" s="24"/>
      <c r="O623" s="24"/>
      <c r="P623" s="24"/>
      <c r="Q623" s="24"/>
      <c r="V623" s="24"/>
      <c r="W623" s="24"/>
      <c r="X623" s="24"/>
      <c r="Y623" s="24"/>
      <c r="AA623" s="24"/>
      <c r="AB623" s="24"/>
      <c r="AC623" s="24"/>
      <c r="AD623" s="24"/>
      <c r="AF623" s="24"/>
      <c r="AG623" s="24"/>
      <c r="AH623" s="24"/>
      <c r="AI623" s="24"/>
      <c r="AK623" s="24"/>
      <c r="AL623" s="24"/>
      <c r="AM623" s="24"/>
      <c r="AN623" s="24"/>
      <c r="AP623" s="24"/>
      <c r="AQ623" s="24"/>
      <c r="AR623" s="24">
        <v>45887.437890162037</v>
      </c>
      <c r="AS623" s="24">
        <v>45887.437890162037</v>
      </c>
      <c r="AX623" s="24"/>
      <c r="AY623" s="24"/>
      <c r="AZ623" s="24"/>
      <c r="BA623" s="24"/>
      <c r="BC623" s="24"/>
      <c r="BD623" s="24"/>
      <c r="BE623" s="24"/>
      <c r="BF623" s="24"/>
      <c r="BH623" s="24"/>
      <c r="BI623" s="24"/>
      <c r="BJ623" s="24"/>
      <c r="BK623" s="24"/>
      <c r="BM623" s="24"/>
      <c r="BN623" s="24"/>
      <c r="BO623" s="24"/>
      <c r="BP623" s="24"/>
      <c r="BR623" s="24"/>
      <c r="BS623" s="24"/>
      <c r="BT623" s="24"/>
      <c r="BU623" s="24"/>
      <c r="BW623" s="24"/>
      <c r="BX623" s="24"/>
      <c r="BY623" s="24"/>
      <c r="BZ623" s="24"/>
      <c r="CB623" s="24">
        <v>45887.437890162037</v>
      </c>
      <c r="CC623" s="24">
        <v>45887.437890162037</v>
      </c>
      <c r="CD623">
        <v>1</v>
      </c>
      <c r="CE623" s="24"/>
      <c r="CF623" s="24"/>
      <c r="CH623" s="24"/>
      <c r="CI623" s="24"/>
      <c r="CJ623" s="24"/>
      <c r="CK623" s="24"/>
      <c r="DE623" s="24"/>
      <c r="DF623" s="24"/>
      <c r="DG623" s="24"/>
      <c r="DH623" s="24"/>
      <c r="DJ623" t="s">
        <v>149</v>
      </c>
      <c r="DK623" t="s">
        <v>149</v>
      </c>
      <c r="DQ623" t="s">
        <v>1000</v>
      </c>
      <c r="DR623" t="s">
        <v>149</v>
      </c>
      <c r="DS623" s="24">
        <v>46160.384426226854</v>
      </c>
    </row>
    <row r="624" spans="1:123" x14ac:dyDescent="0.3">
      <c r="A624" t="s">
        <v>874</v>
      </c>
      <c r="D624" t="s">
        <v>223</v>
      </c>
      <c r="E624" s="24">
        <v>45565.454745370371</v>
      </c>
      <c r="G624" t="s">
        <v>150</v>
      </c>
      <c r="H624" t="s">
        <v>155</v>
      </c>
      <c r="I624" s="24"/>
      <c r="J624" s="24"/>
      <c r="K624" s="24"/>
      <c r="L624" s="24"/>
      <c r="N624" s="24"/>
      <c r="O624" s="24"/>
      <c r="P624" s="24"/>
      <c r="Q624" s="24"/>
      <c r="V624" s="24"/>
      <c r="W624" s="24"/>
      <c r="X624" s="24"/>
      <c r="Y624" s="24"/>
      <c r="AA624" s="24"/>
      <c r="AB624" s="24"/>
      <c r="AC624" s="24"/>
      <c r="AD624" s="24"/>
      <c r="AF624" s="24"/>
      <c r="AG624" s="24"/>
      <c r="AH624" s="24"/>
      <c r="AI624" s="24"/>
      <c r="AK624" s="24"/>
      <c r="AL624" s="24"/>
      <c r="AM624" s="24"/>
      <c r="AN624" s="24"/>
      <c r="AP624" s="24"/>
      <c r="AQ624" s="24"/>
      <c r="AR624" s="24">
        <v>45664.41241675926</v>
      </c>
      <c r="AS624" s="24">
        <v>45664.41241675926</v>
      </c>
      <c r="AX624" s="24"/>
      <c r="AY624" s="24"/>
      <c r="AZ624" s="24"/>
      <c r="BA624" s="24"/>
      <c r="BC624" s="24"/>
      <c r="BD624" s="24"/>
      <c r="BE624" s="24"/>
      <c r="BF624" s="24"/>
      <c r="BH624" s="24">
        <v>45664.41241675926</v>
      </c>
      <c r="BI624" s="24">
        <v>45664.41241675926</v>
      </c>
      <c r="BJ624" s="24">
        <v>45876.295059930555</v>
      </c>
      <c r="BK624" s="24">
        <v>45876.295059930555</v>
      </c>
      <c r="BL624">
        <v>1</v>
      </c>
      <c r="BM624" s="24"/>
      <c r="BN624" s="24"/>
      <c r="BO624" s="24"/>
      <c r="BP624" s="24"/>
      <c r="BR624" s="24"/>
      <c r="BS624" s="24"/>
      <c r="BT624" s="24"/>
      <c r="BU624" s="24"/>
      <c r="BW624" s="24"/>
      <c r="BX624" s="24"/>
      <c r="BY624" s="24"/>
      <c r="BZ624" s="24"/>
      <c r="CB624" s="24">
        <v>45876.295059930555</v>
      </c>
      <c r="CC624" s="24">
        <v>45876.295059930555</v>
      </c>
      <c r="CD624">
        <v>1</v>
      </c>
      <c r="CE624" s="24"/>
      <c r="CF624" s="24"/>
      <c r="CH624" s="24"/>
      <c r="CI624" s="24"/>
      <c r="CJ624" s="24"/>
      <c r="CK624" s="24"/>
      <c r="DE624" s="24"/>
      <c r="DF624" s="24"/>
      <c r="DG624" s="24"/>
      <c r="DH624" s="24"/>
      <c r="DJ624" t="s">
        <v>149</v>
      </c>
      <c r="DK624" t="s">
        <v>149</v>
      </c>
      <c r="DQ624" t="s">
        <v>1000</v>
      </c>
      <c r="DR624" t="s">
        <v>149</v>
      </c>
      <c r="DS624" s="24">
        <v>46160.384426226854</v>
      </c>
    </row>
    <row r="625" spans="1:123" x14ac:dyDescent="0.3">
      <c r="A625" t="s">
        <v>875</v>
      </c>
      <c r="D625" t="s">
        <v>223</v>
      </c>
      <c r="E625" s="24">
        <v>45565.435277777775</v>
      </c>
      <c r="G625" t="s">
        <v>150</v>
      </c>
      <c r="H625" t="s">
        <v>155</v>
      </c>
      <c r="I625" s="24"/>
      <c r="J625" s="24"/>
      <c r="K625" s="24"/>
      <c r="L625" s="24"/>
      <c r="N625" s="24"/>
      <c r="O625" s="24"/>
      <c r="P625" s="24"/>
      <c r="Q625" s="24"/>
      <c r="V625" s="24"/>
      <c r="W625" s="24"/>
      <c r="X625" s="24"/>
      <c r="Y625" s="24"/>
      <c r="AA625" s="24"/>
      <c r="AB625" s="24"/>
      <c r="AC625" s="24"/>
      <c r="AD625" s="24"/>
      <c r="AF625" s="24"/>
      <c r="AG625" s="24"/>
      <c r="AH625" s="24"/>
      <c r="AI625" s="24"/>
      <c r="AK625" s="24"/>
      <c r="AL625" s="24"/>
      <c r="AM625" s="24"/>
      <c r="AN625" s="24"/>
      <c r="AP625" s="24"/>
      <c r="AQ625" s="24"/>
      <c r="AR625" s="24">
        <v>45909.373014444442</v>
      </c>
      <c r="AS625" s="24">
        <v>45909.373014444442</v>
      </c>
      <c r="AX625" s="24"/>
      <c r="AY625" s="24"/>
      <c r="AZ625" s="24"/>
      <c r="BA625" s="24"/>
      <c r="BC625" s="24"/>
      <c r="BD625" s="24"/>
      <c r="BE625" s="24"/>
      <c r="BF625" s="24"/>
      <c r="BH625" s="24"/>
      <c r="BI625" s="24"/>
      <c r="BJ625" s="24"/>
      <c r="BK625" s="24"/>
      <c r="BM625" s="24"/>
      <c r="BN625" s="24"/>
      <c r="BO625" s="24"/>
      <c r="BP625" s="24"/>
      <c r="BR625" s="24"/>
      <c r="BS625" s="24"/>
      <c r="BT625" s="24"/>
      <c r="BU625" s="24"/>
      <c r="BW625" s="24"/>
      <c r="BX625" s="24"/>
      <c r="BY625" s="24"/>
      <c r="BZ625" s="24"/>
      <c r="CB625" s="24">
        <v>45909.373014444442</v>
      </c>
      <c r="CC625" s="24">
        <v>45909.373014444442</v>
      </c>
      <c r="CD625">
        <v>1</v>
      </c>
      <c r="CE625" s="24"/>
      <c r="CF625" s="24"/>
      <c r="CH625" s="24"/>
      <c r="CI625" s="24"/>
      <c r="CJ625" s="24"/>
      <c r="CK625" s="24"/>
      <c r="DE625" s="24"/>
      <c r="DF625" s="24"/>
      <c r="DG625" s="24"/>
      <c r="DH625" s="24"/>
      <c r="DJ625" t="s">
        <v>149</v>
      </c>
      <c r="DK625" t="s">
        <v>149</v>
      </c>
      <c r="DQ625" t="s">
        <v>1000</v>
      </c>
      <c r="DR625" t="s">
        <v>149</v>
      </c>
      <c r="DS625" s="24">
        <v>46160.384426226854</v>
      </c>
    </row>
    <row r="626" spans="1:123" x14ac:dyDescent="0.3">
      <c r="A626" t="s">
        <v>876</v>
      </c>
      <c r="D626" t="s">
        <v>225</v>
      </c>
      <c r="E626" s="24">
        <v>45565.403344907405</v>
      </c>
      <c r="G626" t="s">
        <v>150</v>
      </c>
      <c r="H626" t="s">
        <v>155</v>
      </c>
      <c r="I626" s="24"/>
      <c r="J626" s="24"/>
      <c r="K626" s="24"/>
      <c r="L626" s="24"/>
      <c r="N626" s="24"/>
      <c r="O626" s="24"/>
      <c r="P626" s="24"/>
      <c r="Q626" s="24"/>
      <c r="V626" s="24"/>
      <c r="W626" s="24"/>
      <c r="X626" s="24"/>
      <c r="Y626" s="24"/>
      <c r="AA626" s="24"/>
      <c r="AB626" s="24"/>
      <c r="AC626" s="24"/>
      <c r="AD626" s="24"/>
      <c r="AF626" s="24"/>
      <c r="AG626" s="24"/>
      <c r="AH626" s="24"/>
      <c r="AI626" s="24"/>
      <c r="AK626" s="24"/>
      <c r="AL626" s="24"/>
      <c r="AM626" s="24"/>
      <c r="AN626" s="24"/>
      <c r="AP626" s="24"/>
      <c r="AQ626" s="24"/>
      <c r="AR626" s="24">
        <v>45825.346115694447</v>
      </c>
      <c r="AS626" s="24">
        <v>45825.346115694447</v>
      </c>
      <c r="AX626" s="24"/>
      <c r="AY626" s="24"/>
      <c r="AZ626" s="24"/>
      <c r="BA626" s="24"/>
      <c r="BC626" s="24"/>
      <c r="BD626" s="24"/>
      <c r="BE626" s="24"/>
      <c r="BF626" s="24"/>
      <c r="BH626" s="24"/>
      <c r="BI626" s="24"/>
      <c r="BJ626" s="24"/>
      <c r="BK626" s="24"/>
      <c r="BM626" s="24"/>
      <c r="BN626" s="24"/>
      <c r="BO626" s="24"/>
      <c r="BP626" s="24"/>
      <c r="BR626" s="24"/>
      <c r="BS626" s="24"/>
      <c r="BT626" s="24"/>
      <c r="BU626" s="24"/>
      <c r="BW626" s="24"/>
      <c r="BX626" s="24"/>
      <c r="BY626" s="24"/>
      <c r="BZ626" s="24"/>
      <c r="CB626" s="24">
        <v>45825.346115694447</v>
      </c>
      <c r="CC626" s="24">
        <v>45825.346115694447</v>
      </c>
      <c r="CD626">
        <v>1</v>
      </c>
      <c r="CE626" s="24"/>
      <c r="CF626" s="24"/>
      <c r="CH626" s="24"/>
      <c r="CI626" s="24"/>
      <c r="CJ626" s="24"/>
      <c r="CK626" s="24"/>
      <c r="DE626" s="24"/>
      <c r="DF626" s="24"/>
      <c r="DG626" s="24"/>
      <c r="DH626" s="24"/>
      <c r="DJ626" t="s">
        <v>149</v>
      </c>
      <c r="DK626" t="s">
        <v>149</v>
      </c>
      <c r="DQ626" t="s">
        <v>1000</v>
      </c>
      <c r="DR626" t="s">
        <v>149</v>
      </c>
      <c r="DS626" s="24">
        <v>46160.384426226854</v>
      </c>
    </row>
    <row r="627" spans="1:123" x14ac:dyDescent="0.3">
      <c r="A627" t="s">
        <v>877</v>
      </c>
      <c r="D627" t="s">
        <v>225</v>
      </c>
      <c r="E627" s="24">
        <v>45559.5940625</v>
      </c>
      <c r="G627" t="s">
        <v>150</v>
      </c>
      <c r="H627" t="s">
        <v>155</v>
      </c>
      <c r="I627" s="24"/>
      <c r="J627" s="24"/>
      <c r="K627" s="24"/>
      <c r="L627" s="24"/>
      <c r="N627" s="24">
        <v>45610.408165717592</v>
      </c>
      <c r="O627" s="24">
        <v>45610.408165717592</v>
      </c>
      <c r="P627" s="24">
        <v>45615.354073009257</v>
      </c>
      <c r="Q627" s="24">
        <v>45615.354073009257</v>
      </c>
      <c r="R627">
        <v>1</v>
      </c>
      <c r="V627" s="24"/>
      <c r="W627" s="24"/>
      <c r="X627" s="24"/>
      <c r="Y627" s="24"/>
      <c r="AA627" s="24">
        <v>45615.354073009257</v>
      </c>
      <c r="AB627" s="24">
        <v>45602.461892349536</v>
      </c>
      <c r="AC627" s="24">
        <v>45610.408165717592</v>
      </c>
      <c r="AD627" s="24">
        <v>45616.700782604166</v>
      </c>
      <c r="AE627">
        <v>2</v>
      </c>
      <c r="AF627" s="24">
        <v>45616.700782604166</v>
      </c>
      <c r="AG627" s="24">
        <v>45616.700782604166</v>
      </c>
      <c r="AH627" s="24">
        <v>45618.509544259257</v>
      </c>
      <c r="AI627" s="24">
        <v>45618.509544259257</v>
      </c>
      <c r="AJ627">
        <v>1</v>
      </c>
      <c r="AK627" s="24">
        <v>45618.509544259257</v>
      </c>
      <c r="AL627" s="24">
        <v>45618.509544259257</v>
      </c>
      <c r="AM627" s="24">
        <v>45621.57871710648</v>
      </c>
      <c r="AN627" s="24">
        <v>45621.57871710648</v>
      </c>
      <c r="AO627">
        <v>1</v>
      </c>
      <c r="AP627" s="24"/>
      <c r="AQ627" s="24"/>
      <c r="AR627" s="24">
        <v>45565.494250266202</v>
      </c>
      <c r="AS627" s="24">
        <v>45565.494250266202</v>
      </c>
      <c r="AX627" s="24"/>
      <c r="AY627" s="24"/>
      <c r="AZ627" s="24"/>
      <c r="BA627" s="24"/>
      <c r="BC627" s="24">
        <v>45621.578851678241</v>
      </c>
      <c r="BD627" s="24">
        <v>45621.578851678241</v>
      </c>
      <c r="BE627" s="24">
        <v>45883.598981828705</v>
      </c>
      <c r="BF627" s="24">
        <v>45883.598981828705</v>
      </c>
      <c r="BG627">
        <v>1</v>
      </c>
      <c r="BH627" s="24">
        <v>45565.494250266202</v>
      </c>
      <c r="BI627" s="24">
        <v>45565.494250266202</v>
      </c>
      <c r="BJ627" s="24">
        <v>45602.461892349536</v>
      </c>
      <c r="BK627" s="24">
        <v>45602.461892349536</v>
      </c>
      <c r="BL627">
        <v>1</v>
      </c>
      <c r="BM627" s="24"/>
      <c r="BN627" s="24"/>
      <c r="BO627" s="24"/>
      <c r="BP627" s="24"/>
      <c r="BR627" s="24">
        <v>45621.57871710648</v>
      </c>
      <c r="BS627" s="24">
        <v>45621.57871710648</v>
      </c>
      <c r="BT627" s="24">
        <v>45621.578851678241</v>
      </c>
      <c r="BU627" s="24">
        <v>45621.578851678241</v>
      </c>
      <c r="BV627">
        <v>1</v>
      </c>
      <c r="BW627" s="24"/>
      <c r="BX627" s="24"/>
      <c r="BY627" s="24"/>
      <c r="BZ627" s="24"/>
      <c r="CB627" s="24">
        <v>45883.598981828705</v>
      </c>
      <c r="CC627" s="24">
        <v>45883.598981828705</v>
      </c>
      <c r="CD627">
        <v>1</v>
      </c>
      <c r="CE627" s="24"/>
      <c r="CF627" s="24"/>
      <c r="CH627" s="24"/>
      <c r="CI627" s="24"/>
      <c r="CJ627" s="24"/>
      <c r="CK627" s="24"/>
      <c r="DE627" s="24"/>
      <c r="DF627" s="24"/>
      <c r="DG627" s="24"/>
      <c r="DH627" s="24"/>
      <c r="DJ627" t="s">
        <v>149</v>
      </c>
      <c r="DK627" t="s">
        <v>149</v>
      </c>
      <c r="DL627">
        <v>4.9459072916666669</v>
      </c>
      <c r="DQ627" t="s">
        <v>1000</v>
      </c>
      <c r="DR627" t="s">
        <v>149</v>
      </c>
      <c r="DS627" s="24">
        <v>46160.384426226854</v>
      </c>
    </row>
    <row r="628" spans="1:123" x14ac:dyDescent="0.3">
      <c r="A628" t="s">
        <v>878</v>
      </c>
      <c r="D628" t="s">
        <v>225</v>
      </c>
      <c r="E628" s="24">
        <v>45545.363495370373</v>
      </c>
      <c r="G628" t="s">
        <v>150</v>
      </c>
      <c r="H628" t="s">
        <v>155</v>
      </c>
      <c r="I628" s="24"/>
      <c r="J628" s="24"/>
      <c r="K628" s="24"/>
      <c r="L628" s="24"/>
      <c r="N628" s="24"/>
      <c r="O628" s="24"/>
      <c r="P628" s="24"/>
      <c r="Q628" s="24"/>
      <c r="V628" s="24"/>
      <c r="W628" s="24"/>
      <c r="X628" s="24"/>
      <c r="Y628" s="24"/>
      <c r="AA628" s="24"/>
      <c r="AB628" s="24"/>
      <c r="AC628" s="24"/>
      <c r="AD628" s="24"/>
      <c r="AF628" s="24"/>
      <c r="AG628" s="24"/>
      <c r="AH628" s="24"/>
      <c r="AI628" s="24"/>
      <c r="AK628" s="24"/>
      <c r="AL628" s="24"/>
      <c r="AM628" s="24"/>
      <c r="AN628" s="24"/>
      <c r="AP628" s="24"/>
      <c r="AQ628" s="24"/>
      <c r="AR628" s="24">
        <v>45922.632794467594</v>
      </c>
      <c r="AS628" s="24">
        <v>45922.632794467594</v>
      </c>
      <c r="AX628" s="24"/>
      <c r="AY628" s="24"/>
      <c r="AZ628" s="24"/>
      <c r="BA628" s="24"/>
      <c r="BC628" s="24"/>
      <c r="BD628" s="24"/>
      <c r="BE628" s="24"/>
      <c r="BF628" s="24"/>
      <c r="BH628" s="24"/>
      <c r="BI628" s="24"/>
      <c r="BJ628" s="24"/>
      <c r="BK628" s="24"/>
      <c r="BM628" s="24"/>
      <c r="BN628" s="24"/>
      <c r="BO628" s="24"/>
      <c r="BP628" s="24"/>
      <c r="BR628" s="24"/>
      <c r="BS628" s="24"/>
      <c r="BT628" s="24"/>
      <c r="BU628" s="24"/>
      <c r="BW628" s="24"/>
      <c r="BX628" s="24"/>
      <c r="BY628" s="24"/>
      <c r="BZ628" s="24"/>
      <c r="CB628" s="24">
        <v>45922.632794467594</v>
      </c>
      <c r="CC628" s="24">
        <v>45922.632794467594</v>
      </c>
      <c r="CD628">
        <v>1</v>
      </c>
      <c r="CE628" s="24"/>
      <c r="CF628" s="24"/>
      <c r="CH628" s="24"/>
      <c r="CI628" s="24"/>
      <c r="CJ628" s="24"/>
      <c r="CK628" s="24"/>
      <c r="DE628" s="24"/>
      <c r="DF628" s="24"/>
      <c r="DG628" s="24"/>
      <c r="DH628" s="24"/>
      <c r="DJ628" t="s">
        <v>149</v>
      </c>
      <c r="DK628" t="s">
        <v>149</v>
      </c>
      <c r="DQ628" t="s">
        <v>1000</v>
      </c>
      <c r="DR628" t="s">
        <v>149</v>
      </c>
      <c r="DS628" s="24">
        <v>46160.384426226854</v>
      </c>
    </row>
    <row r="629" spans="1:123" x14ac:dyDescent="0.3">
      <c r="A629" t="s">
        <v>879</v>
      </c>
      <c r="D629" t="s">
        <v>223</v>
      </c>
      <c r="E629" s="24">
        <v>45533.423576388886</v>
      </c>
      <c r="G629" t="s">
        <v>150</v>
      </c>
      <c r="H629" t="s">
        <v>155</v>
      </c>
      <c r="I629" s="24">
        <v>46001.464404432867</v>
      </c>
      <c r="J629" s="24">
        <v>46001.464404432867</v>
      </c>
      <c r="K629" s="24">
        <v>46001.464483263888</v>
      </c>
      <c r="L629" s="24">
        <v>46001.464483263888</v>
      </c>
      <c r="M629">
        <v>1</v>
      </c>
      <c r="N629" s="24"/>
      <c r="O629" s="24"/>
      <c r="P629" s="24"/>
      <c r="Q629" s="24"/>
      <c r="V629" s="24"/>
      <c r="W629" s="24"/>
      <c r="X629" s="24"/>
      <c r="Y629" s="24"/>
      <c r="AA629" s="24"/>
      <c r="AB629" s="24"/>
      <c r="AC629" s="24"/>
      <c r="AD629" s="24"/>
      <c r="AF629" s="24"/>
      <c r="AG629" s="24"/>
      <c r="AH629" s="24"/>
      <c r="AI629" s="24"/>
      <c r="AK629" s="24"/>
      <c r="AL629" s="24"/>
      <c r="AM629" s="24"/>
      <c r="AN629" s="24"/>
      <c r="AP629" s="24"/>
      <c r="AQ629" s="24"/>
      <c r="AR629" s="24">
        <v>46001.464404432867</v>
      </c>
      <c r="AS629" s="24">
        <v>46001.464404432867</v>
      </c>
      <c r="AX629" s="24"/>
      <c r="AY629" s="24"/>
      <c r="AZ629" s="24"/>
      <c r="BA629" s="24"/>
      <c r="BC629" s="24"/>
      <c r="BD629" s="24"/>
      <c r="BE629" s="24"/>
      <c r="BF629" s="24"/>
      <c r="BH629" s="24"/>
      <c r="BI629" s="24"/>
      <c r="BJ629" s="24"/>
      <c r="BK629" s="24"/>
      <c r="BM629" s="24"/>
      <c r="BN629" s="24"/>
      <c r="BO629" s="24"/>
      <c r="BP629" s="24"/>
      <c r="BR629" s="24"/>
      <c r="BS629" s="24"/>
      <c r="BT629" s="24"/>
      <c r="BU629" s="24"/>
      <c r="BW629" s="24"/>
      <c r="BX629" s="24"/>
      <c r="BY629" s="24"/>
      <c r="BZ629" s="24"/>
      <c r="CB629" s="24">
        <v>46001.464483263888</v>
      </c>
      <c r="CC629" s="24">
        <v>46001.464483263888</v>
      </c>
      <c r="CD629">
        <v>1</v>
      </c>
      <c r="CE629" s="24"/>
      <c r="CF629" s="24"/>
      <c r="CH629" s="24"/>
      <c r="CI629" s="24"/>
      <c r="CJ629" s="24"/>
      <c r="CK629" s="24"/>
      <c r="DE629" s="24"/>
      <c r="DF629" s="24"/>
      <c r="DG629" s="24"/>
      <c r="DH629" s="24"/>
      <c r="DJ629" t="s">
        <v>149</v>
      </c>
      <c r="DK629" t="s">
        <v>149</v>
      </c>
      <c r="DQ629" t="s">
        <v>1000</v>
      </c>
      <c r="DR629" t="s">
        <v>149</v>
      </c>
      <c r="DS629" s="24">
        <v>46160.384426226854</v>
      </c>
    </row>
    <row r="630" spans="1:123" x14ac:dyDescent="0.3">
      <c r="A630" t="s">
        <v>880</v>
      </c>
      <c r="D630" t="s">
        <v>223</v>
      </c>
      <c r="E630" s="24">
        <v>45526.378275462965</v>
      </c>
      <c r="G630" t="s">
        <v>150</v>
      </c>
      <c r="H630" t="s">
        <v>155</v>
      </c>
      <c r="I630" s="24"/>
      <c r="J630" s="24"/>
      <c r="K630" s="24"/>
      <c r="L630" s="24"/>
      <c r="N630" s="24"/>
      <c r="O630" s="24"/>
      <c r="P630" s="24"/>
      <c r="Q630" s="24"/>
      <c r="V630" s="24"/>
      <c r="W630" s="24"/>
      <c r="X630" s="24"/>
      <c r="Y630" s="24"/>
      <c r="AA630" s="24"/>
      <c r="AB630" s="24"/>
      <c r="AC630" s="24"/>
      <c r="AD630" s="24"/>
      <c r="AF630" s="24"/>
      <c r="AG630" s="24"/>
      <c r="AH630" s="24"/>
      <c r="AI630" s="24"/>
      <c r="AK630" s="24"/>
      <c r="AL630" s="24"/>
      <c r="AM630" s="24"/>
      <c r="AN630" s="24"/>
      <c r="AP630" s="24"/>
      <c r="AQ630" s="24"/>
      <c r="AR630" s="24">
        <v>45825.34642613426</v>
      </c>
      <c r="AS630" s="24">
        <v>45825.34642613426</v>
      </c>
      <c r="AX630" s="24"/>
      <c r="AY630" s="24"/>
      <c r="AZ630" s="24"/>
      <c r="BA630" s="24"/>
      <c r="BC630" s="24"/>
      <c r="BD630" s="24"/>
      <c r="BE630" s="24"/>
      <c r="BF630" s="24"/>
      <c r="BH630" s="24"/>
      <c r="BI630" s="24"/>
      <c r="BJ630" s="24"/>
      <c r="BK630" s="24"/>
      <c r="BM630" s="24"/>
      <c r="BN630" s="24"/>
      <c r="BO630" s="24"/>
      <c r="BP630" s="24"/>
      <c r="BR630" s="24"/>
      <c r="BS630" s="24"/>
      <c r="BT630" s="24"/>
      <c r="BU630" s="24"/>
      <c r="BW630" s="24"/>
      <c r="BX630" s="24"/>
      <c r="BY630" s="24"/>
      <c r="BZ630" s="24"/>
      <c r="CB630" s="24">
        <v>45825.34642613426</v>
      </c>
      <c r="CC630" s="24">
        <v>45825.34642613426</v>
      </c>
      <c r="CD630">
        <v>1</v>
      </c>
      <c r="CE630" s="24"/>
      <c r="CF630" s="24"/>
      <c r="CH630" s="24"/>
      <c r="CI630" s="24"/>
      <c r="CJ630" s="24"/>
      <c r="CK630" s="24"/>
      <c r="DE630" s="24"/>
      <c r="DF630" s="24"/>
      <c r="DG630" s="24"/>
      <c r="DH630" s="24"/>
      <c r="DJ630" t="s">
        <v>149</v>
      </c>
      <c r="DK630" t="s">
        <v>149</v>
      </c>
      <c r="DQ630" t="s">
        <v>1000</v>
      </c>
      <c r="DR630" t="s">
        <v>149</v>
      </c>
      <c r="DS630" s="24">
        <v>46160.384426226854</v>
      </c>
    </row>
    <row r="631" spans="1:123" x14ac:dyDescent="0.3">
      <c r="A631" t="s">
        <v>881</v>
      </c>
      <c r="D631" t="s">
        <v>223</v>
      </c>
      <c r="E631" s="24">
        <v>45519.335462962961</v>
      </c>
      <c r="G631" t="s">
        <v>150</v>
      </c>
      <c r="H631" t="s">
        <v>155</v>
      </c>
      <c r="I631" s="24"/>
      <c r="J631" s="24"/>
      <c r="K631" s="24"/>
      <c r="L631" s="24"/>
      <c r="N631" s="24"/>
      <c r="O631" s="24"/>
      <c r="P631" s="24"/>
      <c r="Q631" s="24"/>
      <c r="V631" s="24"/>
      <c r="W631" s="24"/>
      <c r="X631" s="24"/>
      <c r="Y631" s="24"/>
      <c r="AA631" s="24"/>
      <c r="AB631" s="24"/>
      <c r="AC631" s="24"/>
      <c r="AD631" s="24"/>
      <c r="AF631" s="24"/>
      <c r="AG631" s="24"/>
      <c r="AH631" s="24"/>
      <c r="AI631" s="24"/>
      <c r="AK631" s="24"/>
      <c r="AL631" s="24"/>
      <c r="AM631" s="24"/>
      <c r="AN631" s="24"/>
      <c r="AP631" s="24"/>
      <c r="AQ631" s="24"/>
      <c r="AR631" s="24">
        <v>45876.294497303243</v>
      </c>
      <c r="AS631" s="24">
        <v>45876.294497303243</v>
      </c>
      <c r="AX631" s="24"/>
      <c r="AY631" s="24"/>
      <c r="AZ631" s="24"/>
      <c r="BA631" s="24"/>
      <c r="BC631" s="24"/>
      <c r="BD631" s="24"/>
      <c r="BE631" s="24"/>
      <c r="BF631" s="24"/>
      <c r="BH631" s="24"/>
      <c r="BI631" s="24"/>
      <c r="BJ631" s="24"/>
      <c r="BK631" s="24"/>
      <c r="BM631" s="24"/>
      <c r="BN631" s="24"/>
      <c r="BO631" s="24"/>
      <c r="BP631" s="24"/>
      <c r="BR631" s="24"/>
      <c r="BS631" s="24"/>
      <c r="BT631" s="24"/>
      <c r="BU631" s="24"/>
      <c r="BW631" s="24"/>
      <c r="BX631" s="24"/>
      <c r="BY631" s="24"/>
      <c r="BZ631" s="24"/>
      <c r="CB631" s="24">
        <v>45876.294497303243</v>
      </c>
      <c r="CC631" s="24">
        <v>45876.294497303243</v>
      </c>
      <c r="CD631">
        <v>1</v>
      </c>
      <c r="CE631" s="24"/>
      <c r="CF631" s="24"/>
      <c r="CH631" s="24"/>
      <c r="CI631" s="24"/>
      <c r="CJ631" s="24"/>
      <c r="CK631" s="24"/>
      <c r="DE631" s="24"/>
      <c r="DF631" s="24"/>
      <c r="DG631" s="24"/>
      <c r="DH631" s="24"/>
      <c r="DJ631" t="s">
        <v>149</v>
      </c>
      <c r="DK631" t="s">
        <v>149</v>
      </c>
      <c r="DQ631" t="s">
        <v>1000</v>
      </c>
      <c r="DR631" t="s">
        <v>149</v>
      </c>
      <c r="DS631" s="24">
        <v>46160.384426226854</v>
      </c>
    </row>
    <row r="632" spans="1:123" x14ac:dyDescent="0.3">
      <c r="A632" t="s">
        <v>882</v>
      </c>
      <c r="D632" t="s">
        <v>223</v>
      </c>
      <c r="E632" s="24">
        <v>45518.656921296293</v>
      </c>
      <c r="G632" t="s">
        <v>150</v>
      </c>
      <c r="H632" t="s">
        <v>155</v>
      </c>
      <c r="I632" s="24"/>
      <c r="J632" s="24"/>
      <c r="K632" s="24"/>
      <c r="L632" s="24"/>
      <c r="N632" s="24"/>
      <c r="O632" s="24"/>
      <c r="P632" s="24"/>
      <c r="Q632" s="24"/>
      <c r="V632" s="24"/>
      <c r="W632" s="24"/>
      <c r="X632" s="24"/>
      <c r="Y632" s="24"/>
      <c r="AA632" s="24"/>
      <c r="AB632" s="24"/>
      <c r="AC632" s="24"/>
      <c r="AD632" s="24"/>
      <c r="AF632" s="24"/>
      <c r="AG632" s="24"/>
      <c r="AH632" s="24"/>
      <c r="AI632" s="24"/>
      <c r="AK632" s="24"/>
      <c r="AL632" s="24"/>
      <c r="AM632" s="24"/>
      <c r="AN632" s="24"/>
      <c r="AP632" s="24"/>
      <c r="AQ632" s="24"/>
      <c r="AR632" s="24">
        <v>45825.346288854169</v>
      </c>
      <c r="AS632" s="24">
        <v>45825.346288854169</v>
      </c>
      <c r="AX632" s="24"/>
      <c r="AY632" s="24"/>
      <c r="AZ632" s="24"/>
      <c r="BA632" s="24"/>
      <c r="BC632" s="24"/>
      <c r="BD632" s="24"/>
      <c r="BE632" s="24"/>
      <c r="BF632" s="24"/>
      <c r="BH632" s="24"/>
      <c r="BI632" s="24"/>
      <c r="BJ632" s="24"/>
      <c r="BK632" s="24"/>
      <c r="BM632" s="24"/>
      <c r="BN632" s="24"/>
      <c r="BO632" s="24"/>
      <c r="BP632" s="24"/>
      <c r="BR632" s="24"/>
      <c r="BS632" s="24"/>
      <c r="BT632" s="24"/>
      <c r="BU632" s="24"/>
      <c r="BW632" s="24"/>
      <c r="BX632" s="24"/>
      <c r="BY632" s="24"/>
      <c r="BZ632" s="24"/>
      <c r="CB632" s="24">
        <v>45825.346288854169</v>
      </c>
      <c r="CC632" s="24">
        <v>45825.346288854169</v>
      </c>
      <c r="CD632">
        <v>1</v>
      </c>
      <c r="CE632" s="24"/>
      <c r="CF632" s="24"/>
      <c r="CH632" s="24"/>
      <c r="CI632" s="24"/>
      <c r="CJ632" s="24"/>
      <c r="CK632" s="24"/>
      <c r="DE632" s="24"/>
      <c r="DF632" s="24"/>
      <c r="DG632" s="24"/>
      <c r="DH632" s="24"/>
      <c r="DJ632" t="s">
        <v>149</v>
      </c>
      <c r="DK632" t="s">
        <v>149</v>
      </c>
      <c r="DQ632" t="s">
        <v>1000</v>
      </c>
      <c r="DR632" t="s">
        <v>149</v>
      </c>
      <c r="DS632" s="24">
        <v>46160.384426226854</v>
      </c>
    </row>
    <row r="633" spans="1:123" x14ac:dyDescent="0.3">
      <c r="A633" t="s">
        <v>883</v>
      </c>
      <c r="D633" t="s">
        <v>223</v>
      </c>
      <c r="E633" s="24">
        <v>45500.46266203704</v>
      </c>
      <c r="G633" t="s">
        <v>90</v>
      </c>
      <c r="H633" t="s">
        <v>155</v>
      </c>
      <c r="I633" s="24">
        <v>45820.324924490742</v>
      </c>
      <c r="J633" s="24">
        <v>45505.410145821763</v>
      </c>
      <c r="K633" s="24">
        <v>45505.41045142361</v>
      </c>
      <c r="L633" s="24">
        <v>45820.325002569443</v>
      </c>
      <c r="M633">
        <v>3</v>
      </c>
      <c r="N633" s="24"/>
      <c r="O633" s="24"/>
      <c r="P633" s="24"/>
      <c r="Q633" s="24"/>
      <c r="V633" s="24"/>
      <c r="W633" s="24"/>
      <c r="X633" s="24"/>
      <c r="Y633" s="24"/>
      <c r="AA633" s="24">
        <v>45824.696483784719</v>
      </c>
      <c r="AB633" s="24">
        <v>45502.372413530094</v>
      </c>
      <c r="AC633" s="24">
        <v>45505.410145821763</v>
      </c>
      <c r="AD633" s="24">
        <v>45825.727460798611</v>
      </c>
      <c r="AE633">
        <v>4</v>
      </c>
      <c r="AF633" s="24">
        <v>45825.727460798611</v>
      </c>
      <c r="AG633" s="24">
        <v>45825.727460798611</v>
      </c>
      <c r="AH633" s="24">
        <v>45826.622159293984</v>
      </c>
      <c r="AI633" s="24">
        <v>45826.622159293984</v>
      </c>
      <c r="AJ633">
        <v>1</v>
      </c>
      <c r="AK633" s="24"/>
      <c r="AL633" s="24"/>
      <c r="AM633" s="24"/>
      <c r="AN633" s="24"/>
      <c r="AP633" s="24"/>
      <c r="AQ633" s="24"/>
      <c r="AR633" s="24"/>
      <c r="AS633" s="24"/>
      <c r="AX633" s="24"/>
      <c r="AY633" s="24"/>
      <c r="AZ633" s="24"/>
      <c r="BA633" s="24"/>
      <c r="BC633" s="24"/>
      <c r="BD633" s="24"/>
      <c r="BE633" s="24"/>
      <c r="BF633" s="24"/>
      <c r="BH633" s="24">
        <v>45820.325002569443</v>
      </c>
      <c r="BI633" s="24">
        <v>45505.41045142361</v>
      </c>
      <c r="BJ633" s="24">
        <v>45505.716200740739</v>
      </c>
      <c r="BK633" s="24">
        <v>45824.696483784719</v>
      </c>
      <c r="BL633">
        <v>3</v>
      </c>
      <c r="BM633" s="24"/>
      <c r="BN633" s="24"/>
      <c r="BO633" s="24"/>
      <c r="BP633" s="24"/>
      <c r="BR633" s="24">
        <v>45826.622159293984</v>
      </c>
      <c r="BS633" s="24">
        <v>45826.622159293984</v>
      </c>
      <c r="BT633" s="24">
        <v>45826.622894907407</v>
      </c>
      <c r="BU633" s="24">
        <v>45826.622894907407</v>
      </c>
      <c r="BV633">
        <v>1</v>
      </c>
      <c r="BW633" s="24"/>
      <c r="BX633" s="24"/>
      <c r="BY633" s="24"/>
      <c r="BZ633" s="24"/>
      <c r="CB633" s="24"/>
      <c r="CC633" s="24"/>
      <c r="CE633" s="24">
        <v>45826.622894907407</v>
      </c>
      <c r="CF633" s="24">
        <v>45826.622894907407</v>
      </c>
      <c r="CG633">
        <v>1</v>
      </c>
      <c r="CH633" s="24"/>
      <c r="CI633" s="24"/>
      <c r="CJ633" s="24"/>
      <c r="CK633" s="24"/>
      <c r="DE633" s="24"/>
      <c r="DF633" s="24"/>
      <c r="DG633" s="24"/>
      <c r="DH633" s="24"/>
      <c r="DJ633" t="s">
        <v>149</v>
      </c>
      <c r="DK633" t="s">
        <v>149</v>
      </c>
      <c r="DM633">
        <v>322</v>
      </c>
      <c r="DN633">
        <v>325</v>
      </c>
      <c r="DQ633" t="s">
        <v>1000</v>
      </c>
      <c r="DR633" t="s">
        <v>149</v>
      </c>
      <c r="DS633" s="24">
        <v>46160.384426226854</v>
      </c>
    </row>
    <row r="634" spans="1:123" x14ac:dyDescent="0.3">
      <c r="A634" t="s">
        <v>884</v>
      </c>
      <c r="D634" t="s">
        <v>225</v>
      </c>
      <c r="E634" s="24">
        <v>45499.431388888886</v>
      </c>
      <c r="G634" t="s">
        <v>107</v>
      </c>
      <c r="H634" t="s">
        <v>154</v>
      </c>
      <c r="I634" s="24">
        <v>45538.490105185185</v>
      </c>
      <c r="J634" s="24">
        <v>45538.490105185185</v>
      </c>
      <c r="K634" s="24">
        <v>45538.490447476855</v>
      </c>
      <c r="L634" s="24">
        <v>45538.490447476855</v>
      </c>
      <c r="M634">
        <v>1</v>
      </c>
      <c r="N634" s="24"/>
      <c r="O634" s="24"/>
      <c r="P634" s="24"/>
      <c r="Q634" s="24"/>
      <c r="V634" s="24"/>
      <c r="W634" s="24"/>
      <c r="X634" s="24"/>
      <c r="Y634" s="24"/>
      <c r="AA634" s="24">
        <v>45502.451661018516</v>
      </c>
      <c r="AB634" s="24">
        <v>45499.464270300923</v>
      </c>
      <c r="AC634" s="24">
        <v>45499.613758055559</v>
      </c>
      <c r="AD634" s="24">
        <v>45502.451693587966</v>
      </c>
      <c r="AE634">
        <v>3</v>
      </c>
      <c r="AF634" s="24">
        <v>45502.451693587966</v>
      </c>
      <c r="AG634" s="24">
        <v>45502.311452557871</v>
      </c>
      <c r="AH634" s="24">
        <v>45502.451498784721</v>
      </c>
      <c r="AI634" s="24">
        <v>45538.490105185185</v>
      </c>
      <c r="AJ634">
        <v>2</v>
      </c>
      <c r="AK634" s="24">
        <v>45502.451498784721</v>
      </c>
      <c r="AL634" s="24">
        <v>45502.451498784721</v>
      </c>
      <c r="AM634" s="24">
        <v>45502.451661018516</v>
      </c>
      <c r="AN634" s="24">
        <v>45502.451661018516</v>
      </c>
      <c r="AO634">
        <v>1</v>
      </c>
      <c r="AP634" s="24"/>
      <c r="AQ634" s="24"/>
      <c r="AR634" s="24">
        <v>45499.464270300923</v>
      </c>
      <c r="AS634" s="24">
        <v>45499.464270300923</v>
      </c>
      <c r="AU634">
        <v>45499.613758055559</v>
      </c>
      <c r="AV634">
        <v>45499.613758055559</v>
      </c>
      <c r="AW634">
        <v>1</v>
      </c>
      <c r="AX634" s="24"/>
      <c r="AY634" s="24"/>
      <c r="AZ634" s="24"/>
      <c r="BA634" s="24"/>
      <c r="BC634" s="24"/>
      <c r="BD634" s="24"/>
      <c r="BE634" s="24"/>
      <c r="BF634" s="24"/>
      <c r="BH634" s="24">
        <v>45538.490447476855</v>
      </c>
      <c r="BI634" s="24">
        <v>45538.490447476855</v>
      </c>
      <c r="BJ634" s="24"/>
      <c r="BK634" s="24"/>
      <c r="BL634">
        <v>1</v>
      </c>
      <c r="BM634" s="24"/>
      <c r="BN634" s="24"/>
      <c r="BO634" s="24"/>
      <c r="BP634" s="24"/>
      <c r="BR634" s="24"/>
      <c r="BS634" s="24"/>
      <c r="BT634" s="24"/>
      <c r="BU634" s="24"/>
      <c r="BW634" s="24"/>
      <c r="BX634" s="24"/>
      <c r="BY634" s="24"/>
      <c r="BZ634" s="24"/>
      <c r="CB634" s="24"/>
      <c r="CC634" s="24"/>
      <c r="CE634" s="24"/>
      <c r="CF634" s="24"/>
      <c r="CH634" s="24"/>
      <c r="CI634" s="24"/>
      <c r="CJ634" s="24"/>
      <c r="CK634" s="24"/>
      <c r="DE634" s="24"/>
      <c r="DF634" s="24"/>
      <c r="DG634" s="24"/>
      <c r="DH634" s="24"/>
      <c r="DJ634" t="s">
        <v>149</v>
      </c>
      <c r="DK634" t="s">
        <v>149</v>
      </c>
      <c r="DO634">
        <v>661</v>
      </c>
      <c r="DP634">
        <v>622</v>
      </c>
      <c r="DQ634" t="s">
        <v>1000</v>
      </c>
      <c r="DR634" t="s">
        <v>149</v>
      </c>
      <c r="DS634" s="24">
        <v>46160.384426226854</v>
      </c>
    </row>
    <row r="635" spans="1:123" x14ac:dyDescent="0.3">
      <c r="A635" t="s">
        <v>885</v>
      </c>
      <c r="D635" t="s">
        <v>223</v>
      </c>
      <c r="E635" s="24">
        <v>45499.424687500003</v>
      </c>
      <c r="G635" t="s">
        <v>102</v>
      </c>
      <c r="H635" t="s">
        <v>154</v>
      </c>
      <c r="I635" s="24"/>
      <c r="J635" s="24"/>
      <c r="K635" s="24"/>
      <c r="L635" s="24"/>
      <c r="N635" s="24"/>
      <c r="O635" s="24"/>
      <c r="P635" s="24"/>
      <c r="Q635" s="24"/>
      <c r="V635" s="24"/>
      <c r="W635" s="24"/>
      <c r="X635" s="24"/>
      <c r="Y635" s="24"/>
      <c r="AA635" s="24"/>
      <c r="AB635" s="24"/>
      <c r="AC635" s="24"/>
      <c r="AD635" s="24"/>
      <c r="AF635" s="24"/>
      <c r="AG635" s="24"/>
      <c r="AH635" s="24"/>
      <c r="AI635" s="24"/>
      <c r="AK635" s="24"/>
      <c r="AL635" s="24"/>
      <c r="AM635" s="24"/>
      <c r="AN635" s="24"/>
      <c r="AP635" s="24"/>
      <c r="AQ635" s="24"/>
      <c r="AR635" s="24"/>
      <c r="AS635" s="24"/>
      <c r="AX635" s="24"/>
      <c r="AY635" s="24"/>
      <c r="AZ635" s="24"/>
      <c r="BA635" s="24"/>
      <c r="BC635" s="24"/>
      <c r="BD635" s="24"/>
      <c r="BE635" s="24"/>
      <c r="BF635" s="24"/>
      <c r="BH635" s="24"/>
      <c r="BI635" s="24"/>
      <c r="BJ635" s="24"/>
      <c r="BK635" s="24"/>
      <c r="BM635" s="24"/>
      <c r="BN635" s="24"/>
      <c r="BO635" s="24"/>
      <c r="BP635" s="24"/>
      <c r="BR635" s="24"/>
      <c r="BS635" s="24"/>
      <c r="BT635" s="24"/>
      <c r="BU635" s="24"/>
      <c r="BW635" s="24"/>
      <c r="BX635" s="24"/>
      <c r="BY635" s="24"/>
      <c r="BZ635" s="24"/>
      <c r="CB635" s="24"/>
      <c r="CC635" s="24"/>
      <c r="CE635" s="24"/>
      <c r="CF635" s="24"/>
      <c r="CH635" s="24"/>
      <c r="CI635" s="24"/>
      <c r="CJ635" s="24"/>
      <c r="CK635" s="24"/>
      <c r="DE635" s="24"/>
      <c r="DF635" s="24"/>
      <c r="DG635" s="24"/>
      <c r="DH635" s="24"/>
      <c r="DJ635" t="s">
        <v>149</v>
      </c>
      <c r="DK635" t="s">
        <v>149</v>
      </c>
      <c r="DQ635" t="s">
        <v>1000</v>
      </c>
      <c r="DR635" t="s">
        <v>149</v>
      </c>
      <c r="DS635" s="24">
        <v>46160.384426226854</v>
      </c>
    </row>
    <row r="636" spans="1:123" x14ac:dyDescent="0.3">
      <c r="A636" t="s">
        <v>886</v>
      </c>
      <c r="D636" t="s">
        <v>225</v>
      </c>
      <c r="E636" s="24">
        <v>45498.447060185186</v>
      </c>
      <c r="G636" t="s">
        <v>107</v>
      </c>
      <c r="H636" t="s">
        <v>154</v>
      </c>
      <c r="I636" s="24"/>
      <c r="J636" s="24"/>
      <c r="K636" s="24"/>
      <c r="L636" s="24"/>
      <c r="N636" s="24"/>
      <c r="O636" s="24"/>
      <c r="P636" s="24"/>
      <c r="Q636" s="24"/>
      <c r="V636" s="24"/>
      <c r="W636" s="24"/>
      <c r="X636" s="24"/>
      <c r="Y636" s="24"/>
      <c r="AA636" s="24"/>
      <c r="AB636" s="24"/>
      <c r="AC636" s="24"/>
      <c r="AD636" s="24"/>
      <c r="AF636" s="24"/>
      <c r="AG636" s="24"/>
      <c r="AH636" s="24"/>
      <c r="AI636" s="24"/>
      <c r="AK636" s="24"/>
      <c r="AL636" s="24"/>
      <c r="AM636" s="24"/>
      <c r="AN636" s="24"/>
      <c r="AP636" s="24"/>
      <c r="AQ636" s="24"/>
      <c r="AR636" s="24">
        <v>45523.581474710649</v>
      </c>
      <c r="AS636" s="24">
        <v>45523.581474710649</v>
      </c>
      <c r="AX636" s="24"/>
      <c r="AY636" s="24"/>
      <c r="AZ636" s="24"/>
      <c r="BA636" s="24"/>
      <c r="BC636" s="24"/>
      <c r="BD636" s="24"/>
      <c r="BE636" s="24"/>
      <c r="BF636" s="24"/>
      <c r="BH636" s="24">
        <v>45523.581474710649</v>
      </c>
      <c r="BI636" s="24">
        <v>45523.581474710649</v>
      </c>
      <c r="BJ636" s="24"/>
      <c r="BK636" s="24"/>
      <c r="BL636">
        <v>1</v>
      </c>
      <c r="BM636" s="24"/>
      <c r="BN636" s="24"/>
      <c r="BO636" s="24"/>
      <c r="BP636" s="24"/>
      <c r="BR636" s="24"/>
      <c r="BS636" s="24"/>
      <c r="BT636" s="24"/>
      <c r="BU636" s="24"/>
      <c r="BW636" s="24"/>
      <c r="BX636" s="24"/>
      <c r="BY636" s="24"/>
      <c r="BZ636" s="24"/>
      <c r="CB636" s="24"/>
      <c r="CC636" s="24"/>
      <c r="CE636" s="24"/>
      <c r="CF636" s="24"/>
      <c r="CH636" s="24"/>
      <c r="CI636" s="24"/>
      <c r="CJ636" s="24"/>
      <c r="CK636" s="24"/>
      <c r="DE636" s="24"/>
      <c r="DF636" s="24"/>
      <c r="DG636" s="24"/>
      <c r="DH636" s="24"/>
      <c r="DJ636" t="s">
        <v>149</v>
      </c>
      <c r="DK636" t="s">
        <v>149</v>
      </c>
      <c r="DP636">
        <v>637</v>
      </c>
      <c r="DQ636" t="s">
        <v>1000</v>
      </c>
      <c r="DR636" t="s">
        <v>149</v>
      </c>
      <c r="DS636" s="24">
        <v>46160.384426226854</v>
      </c>
    </row>
    <row r="637" spans="1:123" x14ac:dyDescent="0.3">
      <c r="A637" t="s">
        <v>887</v>
      </c>
      <c r="D637" t="s">
        <v>225</v>
      </c>
      <c r="E637" s="24">
        <v>45487.49962962963</v>
      </c>
      <c r="G637" t="s">
        <v>102</v>
      </c>
      <c r="H637" t="s">
        <v>154</v>
      </c>
      <c r="I637" s="24"/>
      <c r="J637" s="24"/>
      <c r="K637" s="24"/>
      <c r="L637" s="24"/>
      <c r="N637" s="24"/>
      <c r="O637" s="24"/>
      <c r="P637" s="24"/>
      <c r="Q637" s="24"/>
      <c r="V637" s="24"/>
      <c r="W637" s="24"/>
      <c r="X637" s="24"/>
      <c r="Y637" s="24"/>
      <c r="AA637" s="24"/>
      <c r="AB637" s="24"/>
      <c r="AC637" s="24"/>
      <c r="AD637" s="24"/>
      <c r="AF637" s="24"/>
      <c r="AG637" s="24"/>
      <c r="AH637" s="24"/>
      <c r="AI637" s="24"/>
      <c r="AK637" s="24"/>
      <c r="AL637" s="24"/>
      <c r="AM637" s="24"/>
      <c r="AN637" s="24"/>
      <c r="AP637" s="24"/>
      <c r="AQ637" s="24"/>
      <c r="AR637" s="24"/>
      <c r="AS637" s="24"/>
      <c r="AX637" s="24"/>
      <c r="AY637" s="24"/>
      <c r="AZ637" s="24"/>
      <c r="BA637" s="24"/>
      <c r="BC637" s="24"/>
      <c r="BD637" s="24"/>
      <c r="BE637" s="24"/>
      <c r="BF637" s="24"/>
      <c r="BH637" s="24"/>
      <c r="BI637" s="24"/>
      <c r="BJ637" s="24"/>
      <c r="BK637" s="24"/>
      <c r="BM637" s="24"/>
      <c r="BN637" s="24"/>
      <c r="BO637" s="24"/>
      <c r="BP637" s="24"/>
      <c r="BR637" s="24"/>
      <c r="BS637" s="24"/>
      <c r="BT637" s="24"/>
      <c r="BU637" s="24"/>
      <c r="BW637" s="24"/>
      <c r="BX637" s="24"/>
      <c r="BY637" s="24"/>
      <c r="BZ637" s="24"/>
      <c r="CB637" s="24"/>
      <c r="CC637" s="24"/>
      <c r="CE637" s="24"/>
      <c r="CF637" s="24"/>
      <c r="CH637" s="24"/>
      <c r="CI637" s="24"/>
      <c r="CJ637" s="24"/>
      <c r="CK637" s="24"/>
      <c r="DE637" s="24"/>
      <c r="DF637" s="24"/>
      <c r="DG637" s="24"/>
      <c r="DH637" s="24"/>
      <c r="DJ637" t="s">
        <v>149</v>
      </c>
      <c r="DK637" t="s">
        <v>149</v>
      </c>
      <c r="DQ637" t="s">
        <v>1000</v>
      </c>
      <c r="DR637" t="s">
        <v>149</v>
      </c>
      <c r="DS637" s="24">
        <v>46160.384426226854</v>
      </c>
    </row>
    <row r="638" spans="1:123" x14ac:dyDescent="0.3">
      <c r="A638" t="s">
        <v>888</v>
      </c>
      <c r="D638" t="s">
        <v>225</v>
      </c>
      <c r="E638" s="24">
        <v>45478.39640046296</v>
      </c>
      <c r="G638" t="s">
        <v>102</v>
      </c>
      <c r="H638" t="s">
        <v>154</v>
      </c>
      <c r="I638" s="24"/>
      <c r="J638" s="24"/>
      <c r="K638" s="24"/>
      <c r="L638" s="24"/>
      <c r="N638" s="24"/>
      <c r="O638" s="24"/>
      <c r="P638" s="24"/>
      <c r="Q638" s="24"/>
      <c r="V638" s="24"/>
      <c r="W638" s="24"/>
      <c r="X638" s="24"/>
      <c r="Y638" s="24"/>
      <c r="AA638" s="24"/>
      <c r="AB638" s="24"/>
      <c r="AC638" s="24"/>
      <c r="AD638" s="24"/>
      <c r="AF638" s="24"/>
      <c r="AG638" s="24"/>
      <c r="AH638" s="24"/>
      <c r="AI638" s="24"/>
      <c r="AK638" s="24"/>
      <c r="AL638" s="24"/>
      <c r="AM638" s="24"/>
      <c r="AN638" s="24"/>
      <c r="AP638" s="24">
        <v>45504.488807650465</v>
      </c>
      <c r="AQ638" s="24">
        <v>45504.488807650465</v>
      </c>
      <c r="AR638" s="24"/>
      <c r="AS638" s="24"/>
      <c r="AT638">
        <v>1</v>
      </c>
      <c r="AX638" s="24"/>
      <c r="AY638" s="24"/>
      <c r="AZ638" s="24"/>
      <c r="BA638" s="24"/>
      <c r="BC638" s="24"/>
      <c r="BD638" s="24"/>
      <c r="BE638" s="24"/>
      <c r="BF638" s="24"/>
      <c r="BH638" s="24"/>
      <c r="BI638" s="24"/>
      <c r="BJ638" s="24"/>
      <c r="BK638" s="24"/>
      <c r="BM638" s="24"/>
      <c r="BN638" s="24"/>
      <c r="BO638" s="24"/>
      <c r="BP638" s="24"/>
      <c r="BR638" s="24"/>
      <c r="BS638" s="24"/>
      <c r="BT638" s="24"/>
      <c r="BU638" s="24"/>
      <c r="BW638" s="24"/>
      <c r="BX638" s="24"/>
      <c r="BY638" s="24"/>
      <c r="BZ638" s="24"/>
      <c r="CB638" s="24"/>
      <c r="CC638" s="24"/>
      <c r="CE638" s="24"/>
      <c r="CF638" s="24"/>
      <c r="CH638" s="24"/>
      <c r="CI638" s="24"/>
      <c r="CJ638" s="24"/>
      <c r="CK638" s="24"/>
      <c r="DE638" s="24"/>
      <c r="DF638" s="24"/>
      <c r="DG638" s="24"/>
      <c r="DH638" s="24"/>
      <c r="DJ638" t="s">
        <v>149</v>
      </c>
      <c r="DK638" t="s">
        <v>149</v>
      </c>
      <c r="DP638">
        <v>656</v>
      </c>
      <c r="DQ638" t="s">
        <v>1000</v>
      </c>
      <c r="DR638" t="s">
        <v>149</v>
      </c>
      <c r="DS638" s="24">
        <v>46160.384426226854</v>
      </c>
    </row>
    <row r="639" spans="1:123" x14ac:dyDescent="0.3">
      <c r="A639" t="s">
        <v>889</v>
      </c>
      <c r="D639" t="s">
        <v>223</v>
      </c>
      <c r="E639" s="24">
        <v>45477.505266203705</v>
      </c>
      <c r="G639" t="s">
        <v>150</v>
      </c>
      <c r="H639" t="s">
        <v>155</v>
      </c>
      <c r="I639" s="24"/>
      <c r="J639" s="24"/>
      <c r="K639" s="24"/>
      <c r="L639" s="24"/>
      <c r="N639" s="24"/>
      <c r="O639" s="24"/>
      <c r="P639" s="24"/>
      <c r="Q639" s="24"/>
      <c r="V639" s="24"/>
      <c r="W639" s="24"/>
      <c r="X639" s="24"/>
      <c r="Y639" s="24"/>
      <c r="AA639" s="24"/>
      <c r="AB639" s="24"/>
      <c r="AC639" s="24"/>
      <c r="AD639" s="24"/>
      <c r="AF639" s="24"/>
      <c r="AG639" s="24"/>
      <c r="AH639" s="24"/>
      <c r="AI639" s="24"/>
      <c r="AK639" s="24"/>
      <c r="AL639" s="24"/>
      <c r="AM639" s="24"/>
      <c r="AN639" s="24"/>
      <c r="AP639" s="24"/>
      <c r="AQ639" s="24"/>
      <c r="AR639" s="24">
        <v>45477.510176851851</v>
      </c>
      <c r="AS639" s="24">
        <v>45477.510176851851</v>
      </c>
      <c r="AX639" s="24"/>
      <c r="AY639" s="24"/>
      <c r="AZ639" s="24"/>
      <c r="BA639" s="24"/>
      <c r="BC639" s="24"/>
      <c r="BD639" s="24"/>
      <c r="BE639" s="24"/>
      <c r="BF639" s="24"/>
      <c r="BH639" s="24">
        <v>45477.510176851851</v>
      </c>
      <c r="BI639" s="24">
        <v>45477.510176851851</v>
      </c>
      <c r="BJ639" s="24">
        <v>45968.645342303244</v>
      </c>
      <c r="BK639" s="24">
        <v>45968.645342303244</v>
      </c>
      <c r="BL639">
        <v>1</v>
      </c>
      <c r="BM639" s="24"/>
      <c r="BN639" s="24"/>
      <c r="BO639" s="24"/>
      <c r="BP639" s="24"/>
      <c r="BR639" s="24"/>
      <c r="BS639" s="24"/>
      <c r="BT639" s="24"/>
      <c r="BU639" s="24"/>
      <c r="BW639" s="24"/>
      <c r="BX639" s="24"/>
      <c r="BY639" s="24"/>
      <c r="BZ639" s="24"/>
      <c r="CB639" s="24">
        <v>45968.645342303244</v>
      </c>
      <c r="CC639" s="24">
        <v>45968.645342303244</v>
      </c>
      <c r="CD639">
        <v>1</v>
      </c>
      <c r="CE639" s="24"/>
      <c r="CF639" s="24"/>
      <c r="CH639" s="24"/>
      <c r="CI639" s="24"/>
      <c r="CJ639" s="24"/>
      <c r="CK639" s="24"/>
      <c r="DE639" s="24"/>
      <c r="DF639" s="24"/>
      <c r="DG639" s="24"/>
      <c r="DH639" s="24"/>
      <c r="DJ639" t="s">
        <v>149</v>
      </c>
      <c r="DK639" t="s">
        <v>149</v>
      </c>
      <c r="DQ639" t="s">
        <v>1000</v>
      </c>
      <c r="DR639" t="s">
        <v>149</v>
      </c>
      <c r="DS639" s="24">
        <v>46160.384426226854</v>
      </c>
    </row>
    <row r="640" spans="1:123" x14ac:dyDescent="0.3">
      <c r="A640" t="s">
        <v>890</v>
      </c>
      <c r="D640" t="s">
        <v>223</v>
      </c>
      <c r="E640" s="24">
        <v>45462.396516203706</v>
      </c>
      <c r="G640" t="s">
        <v>90</v>
      </c>
      <c r="H640" t="s">
        <v>155</v>
      </c>
      <c r="I640" s="24"/>
      <c r="J640" s="24"/>
      <c r="K640" s="24"/>
      <c r="L640" s="24"/>
      <c r="N640" s="24">
        <v>45819.682318148145</v>
      </c>
      <c r="O640" s="24">
        <v>45819.682318148145</v>
      </c>
      <c r="P640" s="24">
        <v>45831.4133702662</v>
      </c>
      <c r="Q640" s="24">
        <v>45831.4133702662</v>
      </c>
      <c r="R640">
        <v>1</v>
      </c>
      <c r="V640" s="24"/>
      <c r="W640" s="24"/>
      <c r="X640" s="24"/>
      <c r="Y640" s="24"/>
      <c r="AA640" s="24">
        <v>45831.4133702662</v>
      </c>
      <c r="AB640" s="24">
        <v>45814.388080474535</v>
      </c>
      <c r="AC640" s="24">
        <v>45819.682318148145</v>
      </c>
      <c r="AD640" s="24">
        <v>45832.33646755787</v>
      </c>
      <c r="AE640">
        <v>2</v>
      </c>
      <c r="AF640" s="24">
        <v>45832.33646755787</v>
      </c>
      <c r="AG640" s="24">
        <v>45832.33646755787</v>
      </c>
      <c r="AH640" s="24">
        <v>45832.336519641205</v>
      </c>
      <c r="AI640" s="24">
        <v>45832.336519641205</v>
      </c>
      <c r="AJ640">
        <v>1</v>
      </c>
      <c r="AK640" s="24"/>
      <c r="AL640" s="24"/>
      <c r="AM640" s="24"/>
      <c r="AN640" s="24"/>
      <c r="AP640" s="24"/>
      <c r="AQ640" s="24"/>
      <c r="AR640" s="24">
        <v>45678.464670439818</v>
      </c>
      <c r="AS640" s="24">
        <v>45678.464670439818</v>
      </c>
      <c r="AX640" s="24"/>
      <c r="AY640" s="24"/>
      <c r="AZ640" s="24"/>
      <c r="BA640" s="24"/>
      <c r="BC640" s="24"/>
      <c r="BD640" s="24"/>
      <c r="BE640" s="24"/>
      <c r="BF640" s="24"/>
      <c r="BH640" s="24">
        <v>45678.464670439818</v>
      </c>
      <c r="BI640" s="24">
        <v>45678.464670439818</v>
      </c>
      <c r="BJ640" s="24">
        <v>45814.388080474535</v>
      </c>
      <c r="BK640" s="24">
        <v>45814.388080474535</v>
      </c>
      <c r="BL640">
        <v>1</v>
      </c>
      <c r="BM640" s="24"/>
      <c r="BN640" s="24"/>
      <c r="BO640" s="24"/>
      <c r="BP640" s="24"/>
      <c r="BR640" s="24">
        <v>45832.336519641205</v>
      </c>
      <c r="BS640" s="24">
        <v>45832.336519641205</v>
      </c>
      <c r="BT640" s="24">
        <v>45832.460146076388</v>
      </c>
      <c r="BU640" s="24">
        <v>45832.460146076388</v>
      </c>
      <c r="BV640">
        <v>1</v>
      </c>
      <c r="BW640" s="24"/>
      <c r="BX640" s="24"/>
      <c r="BY640" s="24"/>
      <c r="BZ640" s="24"/>
      <c r="CB640" s="24"/>
      <c r="CC640" s="24"/>
      <c r="CE640" s="24">
        <v>45832.460146076388</v>
      </c>
      <c r="CF640" s="24">
        <v>45832.460146076388</v>
      </c>
      <c r="CG640">
        <v>1</v>
      </c>
      <c r="CH640" s="24"/>
      <c r="CI640" s="24"/>
      <c r="CJ640" s="24"/>
      <c r="CK640" s="24"/>
      <c r="DE640" s="24"/>
      <c r="DF640" s="24"/>
      <c r="DG640" s="24"/>
      <c r="DH640" s="24"/>
      <c r="DJ640" t="s">
        <v>149</v>
      </c>
      <c r="DK640" t="s">
        <v>149</v>
      </c>
      <c r="DL640">
        <v>11.731052083333333</v>
      </c>
      <c r="DM640">
        <v>154</v>
      </c>
      <c r="DN640">
        <v>19</v>
      </c>
      <c r="DQ640" t="s">
        <v>1000</v>
      </c>
      <c r="DR640" t="s">
        <v>149</v>
      </c>
      <c r="DS640" s="24">
        <v>46160.384426226854</v>
      </c>
    </row>
    <row r="641" spans="1:123" x14ac:dyDescent="0.3">
      <c r="A641" t="s">
        <v>891</v>
      </c>
      <c r="D641" t="s">
        <v>225</v>
      </c>
      <c r="E641" s="24">
        <v>45456.632094907407</v>
      </c>
      <c r="G641" t="s">
        <v>150</v>
      </c>
      <c r="H641" t="s">
        <v>155</v>
      </c>
      <c r="I641" s="24">
        <v>45478.410400115739</v>
      </c>
      <c r="J641" s="24">
        <v>45478.410400115739</v>
      </c>
      <c r="K641" s="24">
        <v>45478.410460324078</v>
      </c>
      <c r="L641" s="24">
        <v>45478.410460324078</v>
      </c>
      <c r="M641">
        <v>1</v>
      </c>
      <c r="N641" s="24"/>
      <c r="O641" s="24"/>
      <c r="P641" s="24"/>
      <c r="Q641" s="24"/>
      <c r="V641" s="24"/>
      <c r="W641" s="24"/>
      <c r="X641" s="24"/>
      <c r="Y641" s="24"/>
      <c r="AA641" s="24">
        <v>45474.678071180555</v>
      </c>
      <c r="AB641" s="24">
        <v>45474.678071180555</v>
      </c>
      <c r="AC641" s="24">
        <v>45478.410400115739</v>
      </c>
      <c r="AD641" s="24">
        <v>45478.410400115739</v>
      </c>
      <c r="AE641">
        <v>1</v>
      </c>
      <c r="AF641" s="24"/>
      <c r="AG641" s="24"/>
      <c r="AH641" s="24"/>
      <c r="AI641" s="24"/>
      <c r="AK641" s="24"/>
      <c r="AL641" s="24"/>
      <c r="AM641" s="24"/>
      <c r="AN641" s="24"/>
      <c r="AP641" s="24"/>
      <c r="AQ641" s="24"/>
      <c r="AR641" s="24">
        <v>45467.487763773148</v>
      </c>
      <c r="AS641" s="24">
        <v>45467.487763773148</v>
      </c>
      <c r="AX641" s="24"/>
      <c r="AY641" s="24"/>
      <c r="AZ641" s="24"/>
      <c r="BA641" s="24"/>
      <c r="BC641" s="24"/>
      <c r="BD641" s="24"/>
      <c r="BE641" s="24"/>
      <c r="BF641" s="24"/>
      <c r="BH641" s="24">
        <v>45478.410460324078</v>
      </c>
      <c r="BI641" s="24">
        <v>45467.487763773148</v>
      </c>
      <c r="BJ641" s="24">
        <v>45474.678071180555</v>
      </c>
      <c r="BK641" s="24">
        <v>46000.414319537034</v>
      </c>
      <c r="BL641">
        <v>2</v>
      </c>
      <c r="BM641" s="24"/>
      <c r="BN641" s="24"/>
      <c r="BO641" s="24"/>
      <c r="BP641" s="24"/>
      <c r="BR641" s="24"/>
      <c r="BS641" s="24"/>
      <c r="BT641" s="24"/>
      <c r="BU641" s="24"/>
      <c r="BW641" s="24"/>
      <c r="BX641" s="24"/>
      <c r="BY641" s="24"/>
      <c r="BZ641" s="24"/>
      <c r="CB641" s="24">
        <v>46000.414319537034</v>
      </c>
      <c r="CC641" s="24">
        <v>46000.414319537034</v>
      </c>
      <c r="CD641">
        <v>1</v>
      </c>
      <c r="CE641" s="24"/>
      <c r="CF641" s="24"/>
      <c r="CH641" s="24"/>
      <c r="CI641" s="24"/>
      <c r="CJ641" s="24"/>
      <c r="CK641" s="24"/>
      <c r="DE641" s="24"/>
      <c r="DF641" s="24"/>
      <c r="DG641" s="24"/>
      <c r="DH641" s="24"/>
      <c r="DJ641" t="s">
        <v>149</v>
      </c>
      <c r="DK641" t="s">
        <v>149</v>
      </c>
      <c r="DQ641" t="s">
        <v>1000</v>
      </c>
      <c r="DR641" t="s">
        <v>149</v>
      </c>
      <c r="DS641" s="24">
        <v>46160.384426226854</v>
      </c>
    </row>
    <row r="642" spans="1:123" x14ac:dyDescent="0.3">
      <c r="A642" t="s">
        <v>892</v>
      </c>
      <c r="D642" t="s">
        <v>223</v>
      </c>
      <c r="E642" s="24">
        <v>45456.344895833332</v>
      </c>
      <c r="G642" t="s">
        <v>150</v>
      </c>
      <c r="H642" t="s">
        <v>155</v>
      </c>
      <c r="I642" s="24"/>
      <c r="J642" s="24"/>
      <c r="K642" s="24"/>
      <c r="L642" s="24"/>
      <c r="N642" s="24"/>
      <c r="O642" s="24"/>
      <c r="P642" s="24"/>
      <c r="Q642" s="24"/>
      <c r="V642" s="24"/>
      <c r="W642" s="24"/>
      <c r="X642" s="24"/>
      <c r="Y642" s="24"/>
      <c r="AA642" s="24"/>
      <c r="AB642" s="24"/>
      <c r="AC642" s="24"/>
      <c r="AD642" s="24"/>
      <c r="AF642" s="24"/>
      <c r="AG642" s="24"/>
      <c r="AH642" s="24"/>
      <c r="AI642" s="24"/>
      <c r="AK642" s="24"/>
      <c r="AL642" s="24"/>
      <c r="AM642" s="24"/>
      <c r="AN642" s="24"/>
      <c r="AP642" s="24"/>
      <c r="AQ642" s="24"/>
      <c r="AR642" s="24">
        <v>46003.576852997685</v>
      </c>
      <c r="AS642" s="24">
        <v>46003.576852997685</v>
      </c>
      <c r="AX642" s="24"/>
      <c r="AY642" s="24"/>
      <c r="AZ642" s="24"/>
      <c r="BA642" s="24"/>
      <c r="BC642" s="24"/>
      <c r="BD642" s="24"/>
      <c r="BE642" s="24"/>
      <c r="BF642" s="24"/>
      <c r="BH642" s="24"/>
      <c r="BI642" s="24"/>
      <c r="BJ642" s="24"/>
      <c r="BK642" s="24"/>
      <c r="BM642" s="24"/>
      <c r="BN642" s="24"/>
      <c r="BO642" s="24"/>
      <c r="BP642" s="24"/>
      <c r="BR642" s="24"/>
      <c r="BS642" s="24"/>
      <c r="BT642" s="24"/>
      <c r="BU642" s="24"/>
      <c r="BW642" s="24"/>
      <c r="BX642" s="24"/>
      <c r="BY642" s="24"/>
      <c r="BZ642" s="24"/>
      <c r="CB642" s="24">
        <v>46003.576852997685</v>
      </c>
      <c r="CC642" s="24">
        <v>46003.576852997685</v>
      </c>
      <c r="CD642">
        <v>1</v>
      </c>
      <c r="CE642" s="24"/>
      <c r="CF642" s="24"/>
      <c r="CH642" s="24"/>
      <c r="CI642" s="24"/>
      <c r="CJ642" s="24"/>
      <c r="CK642" s="24"/>
      <c r="DE642" s="24"/>
      <c r="DF642" s="24"/>
      <c r="DG642" s="24"/>
      <c r="DH642" s="24"/>
      <c r="DJ642" t="s">
        <v>149</v>
      </c>
      <c r="DK642" t="s">
        <v>149</v>
      </c>
      <c r="DQ642" t="s">
        <v>1000</v>
      </c>
      <c r="DR642" t="s">
        <v>149</v>
      </c>
      <c r="DS642" s="24">
        <v>46160.384426226854</v>
      </c>
    </row>
    <row r="643" spans="1:123" x14ac:dyDescent="0.3">
      <c r="A643" t="s">
        <v>893</v>
      </c>
      <c r="D643" t="s">
        <v>225</v>
      </c>
      <c r="E643" s="24">
        <v>45455.653958333336</v>
      </c>
      <c r="G643" t="s">
        <v>90</v>
      </c>
      <c r="H643" t="s">
        <v>155</v>
      </c>
      <c r="I643" s="24"/>
      <c r="J643" s="24"/>
      <c r="K643" s="24"/>
      <c r="L643" s="24"/>
      <c r="N643" s="24">
        <v>45762.403181481481</v>
      </c>
      <c r="O643" s="24">
        <v>45762.403181481481</v>
      </c>
      <c r="P643" s="24">
        <v>45791.407554479163</v>
      </c>
      <c r="Q643" s="24">
        <v>45791.407554479163</v>
      </c>
      <c r="R643">
        <v>1</v>
      </c>
      <c r="V643" s="24"/>
      <c r="W643" s="24"/>
      <c r="X643" s="24"/>
      <c r="Y643" s="24"/>
      <c r="AA643" s="24">
        <v>45791.407554479163</v>
      </c>
      <c r="AB643" s="24">
        <v>45756.383919490741</v>
      </c>
      <c r="AC643" s="24">
        <v>45762.403181481481</v>
      </c>
      <c r="AD643" s="24">
        <v>45791.687640983793</v>
      </c>
      <c r="AE643">
        <v>2</v>
      </c>
      <c r="AF643" s="24">
        <v>45791.687640983793</v>
      </c>
      <c r="AG643" s="24">
        <v>45791.687640983793</v>
      </c>
      <c r="AH643" s="24">
        <v>45791.70948247685</v>
      </c>
      <c r="AI643" s="24">
        <v>45791.70948247685</v>
      </c>
      <c r="AJ643">
        <v>1</v>
      </c>
      <c r="AK643" s="24">
        <v>45791.70948247685</v>
      </c>
      <c r="AL643" s="24">
        <v>45791.70948247685</v>
      </c>
      <c r="AM643" s="24">
        <v>45792.408353993058</v>
      </c>
      <c r="AN643" s="24">
        <v>45792.408353993058</v>
      </c>
      <c r="AO643">
        <v>1</v>
      </c>
      <c r="AP643" s="24"/>
      <c r="AQ643" s="24"/>
      <c r="AR643" s="24">
        <v>45538.468308634256</v>
      </c>
      <c r="AS643" s="24">
        <v>45538.468308634256</v>
      </c>
      <c r="AX643" s="24"/>
      <c r="AY643" s="24"/>
      <c r="AZ643" s="24"/>
      <c r="BA643" s="24"/>
      <c r="BC643" s="24">
        <v>45792.408416481485</v>
      </c>
      <c r="BD643" s="24">
        <v>45792.408416481485</v>
      </c>
      <c r="BE643" s="24">
        <v>45803.643643067131</v>
      </c>
      <c r="BF643" s="24">
        <v>45803.643643067131</v>
      </c>
      <c r="BG643">
        <v>1</v>
      </c>
      <c r="BH643" s="24">
        <v>45538.468308634256</v>
      </c>
      <c r="BI643" s="24">
        <v>45538.468308634256</v>
      </c>
      <c r="BJ643" s="24">
        <v>45756.383919490741</v>
      </c>
      <c r="BK643" s="24">
        <v>45756.383919490741</v>
      </c>
      <c r="BL643">
        <v>1</v>
      </c>
      <c r="BM643" s="24"/>
      <c r="BN643" s="24"/>
      <c r="BO643" s="24"/>
      <c r="BP643" s="24"/>
      <c r="BR643" s="24">
        <v>45792.408353993058</v>
      </c>
      <c r="BS643" s="24">
        <v>45792.408353993058</v>
      </c>
      <c r="BT643" s="24">
        <v>45792.408416481485</v>
      </c>
      <c r="BU643" s="24">
        <v>45792.408416481485</v>
      </c>
      <c r="BV643">
        <v>1</v>
      </c>
      <c r="BW643" s="24"/>
      <c r="BX643" s="24"/>
      <c r="BY643" s="24"/>
      <c r="BZ643" s="24"/>
      <c r="CB643" s="24"/>
      <c r="CC643" s="24"/>
      <c r="CE643" s="24">
        <v>45803.643643067131</v>
      </c>
      <c r="CF643" s="24">
        <v>45803.643643067131</v>
      </c>
      <c r="CG643">
        <v>1</v>
      </c>
      <c r="CH643" s="24"/>
      <c r="CI643" s="24"/>
      <c r="CJ643" s="24"/>
      <c r="CK643" s="24"/>
      <c r="DE643" s="24"/>
      <c r="DF643" s="24"/>
      <c r="DG643" s="24"/>
      <c r="DH643" s="24"/>
      <c r="DJ643" t="s">
        <v>149</v>
      </c>
      <c r="DK643" t="s">
        <v>149</v>
      </c>
      <c r="DL643">
        <v>29.004372916666668</v>
      </c>
      <c r="DM643">
        <v>266</v>
      </c>
      <c r="DN643">
        <v>48</v>
      </c>
      <c r="DQ643" t="s">
        <v>1000</v>
      </c>
      <c r="DR643" t="s">
        <v>149</v>
      </c>
      <c r="DS643" s="24">
        <v>46160.384426226854</v>
      </c>
    </row>
    <row r="644" spans="1:123" x14ac:dyDescent="0.3">
      <c r="A644" t="s">
        <v>894</v>
      </c>
      <c r="D644" t="s">
        <v>223</v>
      </c>
      <c r="E644" s="24">
        <v>45454.429525462961</v>
      </c>
      <c r="G644" t="s">
        <v>102</v>
      </c>
      <c r="H644" t="s">
        <v>154</v>
      </c>
      <c r="I644" s="24"/>
      <c r="J644" s="24"/>
      <c r="K644" s="24"/>
      <c r="L644" s="24"/>
      <c r="N644" s="24"/>
      <c r="O644" s="24"/>
      <c r="P644" s="24"/>
      <c r="Q644" s="24"/>
      <c r="V644" s="24"/>
      <c r="W644" s="24"/>
      <c r="X644" s="24"/>
      <c r="Y644" s="24"/>
      <c r="AA644" s="24"/>
      <c r="AB644" s="24"/>
      <c r="AC644" s="24"/>
      <c r="AD644" s="24"/>
      <c r="AF644" s="24"/>
      <c r="AG644" s="24"/>
      <c r="AH644" s="24"/>
      <c r="AI644" s="24"/>
      <c r="AK644" s="24"/>
      <c r="AL644" s="24"/>
      <c r="AM644" s="24"/>
      <c r="AN644" s="24"/>
      <c r="AP644" s="24">
        <v>45463.465040555559</v>
      </c>
      <c r="AQ644" s="24">
        <v>45463.465040555559</v>
      </c>
      <c r="AR644" s="24"/>
      <c r="AS644" s="24"/>
      <c r="AT644">
        <v>1</v>
      </c>
      <c r="AX644" s="24"/>
      <c r="AY644" s="24"/>
      <c r="AZ644" s="24"/>
      <c r="BA644" s="24"/>
      <c r="BC644" s="24"/>
      <c r="BD644" s="24"/>
      <c r="BE644" s="24"/>
      <c r="BF644" s="24"/>
      <c r="BH644" s="24"/>
      <c r="BI644" s="24"/>
      <c r="BJ644" s="24"/>
      <c r="BK644" s="24"/>
      <c r="BM644" s="24"/>
      <c r="BN644" s="24"/>
      <c r="BO644" s="24"/>
      <c r="BP644" s="24"/>
      <c r="BR644" s="24"/>
      <c r="BS644" s="24"/>
      <c r="BT644" s="24"/>
      <c r="BU644" s="24"/>
      <c r="BW644" s="24"/>
      <c r="BX644" s="24"/>
      <c r="BY644" s="24"/>
      <c r="BZ644" s="24"/>
      <c r="CB644" s="24"/>
      <c r="CC644" s="24"/>
      <c r="CE644" s="24"/>
      <c r="CF644" s="24"/>
      <c r="CH644" s="24"/>
      <c r="CI644" s="24"/>
      <c r="CJ644" s="24"/>
      <c r="CK644" s="24"/>
      <c r="DE644" s="24"/>
      <c r="DF644" s="24"/>
      <c r="DG644" s="24"/>
      <c r="DH644" s="24"/>
      <c r="DJ644" t="s">
        <v>149</v>
      </c>
      <c r="DK644" t="s">
        <v>149</v>
      </c>
      <c r="DP644">
        <v>697</v>
      </c>
      <c r="DQ644" t="s">
        <v>1000</v>
      </c>
      <c r="DR644" t="s">
        <v>149</v>
      </c>
      <c r="DS644" s="24">
        <v>46160.384426226854</v>
      </c>
    </row>
    <row r="645" spans="1:123" x14ac:dyDescent="0.3">
      <c r="A645" t="s">
        <v>895</v>
      </c>
      <c r="D645" t="s">
        <v>223</v>
      </c>
      <c r="E645" s="24">
        <v>45453.393379629626</v>
      </c>
      <c r="G645" t="s">
        <v>90</v>
      </c>
      <c r="H645" t="s">
        <v>155</v>
      </c>
      <c r="I645" s="24"/>
      <c r="J645" s="24"/>
      <c r="K645" s="24"/>
      <c r="L645" s="24"/>
      <c r="N645" s="24"/>
      <c r="O645" s="24"/>
      <c r="P645" s="24"/>
      <c r="Q645" s="24"/>
      <c r="V645" s="24"/>
      <c r="W645" s="24"/>
      <c r="X645" s="24"/>
      <c r="Y645" s="24"/>
      <c r="AA645" s="24">
        <v>45833.396797384259</v>
      </c>
      <c r="AB645" s="24">
        <v>45833.396797384259</v>
      </c>
      <c r="AC645" s="24">
        <v>45845.418271168979</v>
      </c>
      <c r="AD645" s="24">
        <v>45845.418271168979</v>
      </c>
      <c r="AE645">
        <v>1</v>
      </c>
      <c r="AF645" s="24"/>
      <c r="AG645" s="24"/>
      <c r="AH645" s="24"/>
      <c r="AI645" s="24"/>
      <c r="AK645" s="24"/>
      <c r="AL645" s="24"/>
      <c r="AM645" s="24"/>
      <c r="AN645" s="24"/>
      <c r="AP645" s="24"/>
      <c r="AQ645" s="24"/>
      <c r="AR645" s="24">
        <v>45831.575082858799</v>
      </c>
      <c r="AS645" s="24">
        <v>45831.575082858799</v>
      </c>
      <c r="AX645" s="24"/>
      <c r="AY645" s="24"/>
      <c r="AZ645" s="24"/>
      <c r="BA645" s="24"/>
      <c r="BC645" s="24"/>
      <c r="BD645" s="24"/>
      <c r="BE645" s="24"/>
      <c r="BF645" s="24"/>
      <c r="BH645" s="24">
        <v>45831.575082858799</v>
      </c>
      <c r="BI645" s="24">
        <v>45831.575082858799</v>
      </c>
      <c r="BJ645" s="24">
        <v>45833.396797384259</v>
      </c>
      <c r="BK645" s="24">
        <v>45833.396797384259</v>
      </c>
      <c r="BL645">
        <v>1</v>
      </c>
      <c r="BM645" s="24"/>
      <c r="BN645" s="24"/>
      <c r="BO645" s="24"/>
      <c r="BP645" s="24"/>
      <c r="BR645" s="24">
        <v>45845.418271168979</v>
      </c>
      <c r="BS645" s="24">
        <v>45845.418271168979</v>
      </c>
      <c r="BT645" s="24">
        <v>45845.432405358799</v>
      </c>
      <c r="BU645" s="24">
        <v>45845.432405358799</v>
      </c>
      <c r="BV645">
        <v>1</v>
      </c>
      <c r="BW645" s="24"/>
      <c r="BX645" s="24"/>
      <c r="BY645" s="24"/>
      <c r="BZ645" s="24"/>
      <c r="CB645" s="24"/>
      <c r="CC645" s="24"/>
      <c r="CE645" s="24">
        <v>45845.432405358799</v>
      </c>
      <c r="CF645" s="24">
        <v>45845.432405358799</v>
      </c>
      <c r="CG645">
        <v>1</v>
      </c>
      <c r="CH645" s="24"/>
      <c r="CI645" s="24"/>
      <c r="CJ645" s="24"/>
      <c r="CK645" s="24"/>
      <c r="DE645" s="24"/>
      <c r="DF645" s="24"/>
      <c r="DG645" s="24"/>
      <c r="DH645" s="24"/>
      <c r="DJ645" t="s">
        <v>149</v>
      </c>
      <c r="DK645" t="s">
        <v>149</v>
      </c>
      <c r="DM645">
        <v>14</v>
      </c>
      <c r="DN645">
        <v>13</v>
      </c>
      <c r="DQ645" t="s">
        <v>1000</v>
      </c>
      <c r="DR645" t="s">
        <v>149</v>
      </c>
      <c r="DS645" s="24">
        <v>46160.384426226854</v>
      </c>
    </row>
    <row r="646" spans="1:123" x14ac:dyDescent="0.3">
      <c r="A646" t="s">
        <v>896</v>
      </c>
      <c r="D646" t="s">
        <v>225</v>
      </c>
      <c r="E646" s="24">
        <v>45449.355671296296</v>
      </c>
      <c r="G646" t="s">
        <v>107</v>
      </c>
      <c r="H646" t="s">
        <v>154</v>
      </c>
      <c r="I646" s="24"/>
      <c r="J646" s="24"/>
      <c r="K646" s="24"/>
      <c r="L646" s="24"/>
      <c r="N646" s="24"/>
      <c r="O646" s="24"/>
      <c r="P646" s="24"/>
      <c r="Q646" s="24"/>
      <c r="V646" s="24"/>
      <c r="W646" s="24"/>
      <c r="X646" s="24"/>
      <c r="Y646" s="24"/>
      <c r="AA646" s="24"/>
      <c r="AB646" s="24"/>
      <c r="AC646" s="24"/>
      <c r="AD646" s="24"/>
      <c r="AF646" s="24"/>
      <c r="AG646" s="24"/>
      <c r="AH646" s="24"/>
      <c r="AI646" s="24"/>
      <c r="AK646" s="24"/>
      <c r="AL646" s="24"/>
      <c r="AM646" s="24"/>
      <c r="AN646" s="24"/>
      <c r="AP646" s="24"/>
      <c r="AQ646" s="24"/>
      <c r="AR646" s="24">
        <v>45453.485841562499</v>
      </c>
      <c r="AS646" s="24">
        <v>45453.485841562499</v>
      </c>
      <c r="AX646" s="24"/>
      <c r="AY646" s="24"/>
      <c r="AZ646" s="24"/>
      <c r="BA646" s="24"/>
      <c r="BC646" s="24"/>
      <c r="BD646" s="24"/>
      <c r="BE646" s="24"/>
      <c r="BF646" s="24"/>
      <c r="BH646" s="24">
        <v>45453.485841562499</v>
      </c>
      <c r="BI646" s="24">
        <v>45453.485841562499</v>
      </c>
      <c r="BJ646" s="24"/>
      <c r="BK646" s="24"/>
      <c r="BL646">
        <v>1</v>
      </c>
      <c r="BM646" s="24"/>
      <c r="BN646" s="24"/>
      <c r="BO646" s="24"/>
      <c r="BP646" s="24"/>
      <c r="BR646" s="24"/>
      <c r="BS646" s="24"/>
      <c r="BT646" s="24"/>
      <c r="BU646" s="24"/>
      <c r="BW646" s="24"/>
      <c r="BX646" s="24"/>
      <c r="BY646" s="24"/>
      <c r="BZ646" s="24"/>
      <c r="CB646" s="24"/>
      <c r="CC646" s="24"/>
      <c r="CE646" s="24"/>
      <c r="CF646" s="24"/>
      <c r="CH646" s="24"/>
      <c r="CI646" s="24"/>
      <c r="CJ646" s="24"/>
      <c r="CK646" s="24"/>
      <c r="DE646" s="24"/>
      <c r="DF646" s="24"/>
      <c r="DG646" s="24"/>
      <c r="DH646" s="24"/>
      <c r="DJ646" t="s">
        <v>149</v>
      </c>
      <c r="DK646" t="s">
        <v>149</v>
      </c>
      <c r="DP646">
        <v>707</v>
      </c>
      <c r="DQ646" t="s">
        <v>1000</v>
      </c>
      <c r="DR646" t="s">
        <v>149</v>
      </c>
      <c r="DS646" s="24">
        <v>46160.384426226854</v>
      </c>
    </row>
    <row r="647" spans="1:123" x14ac:dyDescent="0.3">
      <c r="A647" t="s">
        <v>897</v>
      </c>
      <c r="D647" t="s">
        <v>224</v>
      </c>
      <c r="E647" s="24">
        <v>45428.452407407407</v>
      </c>
      <c r="G647" t="s">
        <v>90</v>
      </c>
      <c r="H647" t="s">
        <v>155</v>
      </c>
      <c r="I647" s="24"/>
      <c r="J647" s="24"/>
      <c r="K647" s="24"/>
      <c r="L647" s="24"/>
      <c r="N647" s="24"/>
      <c r="O647" s="24"/>
      <c r="P647" s="24"/>
      <c r="Q647" s="24"/>
      <c r="V647" s="24"/>
      <c r="W647" s="24"/>
      <c r="X647" s="24"/>
      <c r="Y647" s="24"/>
      <c r="AA647" s="24">
        <v>45428.712026979163</v>
      </c>
      <c r="AB647" s="24">
        <v>45428.467290532404</v>
      </c>
      <c r="AC647" s="24">
        <v>45428.475257106482</v>
      </c>
      <c r="AD647" s="24">
        <v>45429.393916180554</v>
      </c>
      <c r="AE647">
        <v>3</v>
      </c>
      <c r="AF647" s="24">
        <v>45429.393916180554</v>
      </c>
      <c r="AG647" s="24">
        <v>45428.475257106482</v>
      </c>
      <c r="AH647" s="24">
        <v>45428.499433946759</v>
      </c>
      <c r="AI647" s="24">
        <v>45429.393994421298</v>
      </c>
      <c r="AJ647">
        <v>3</v>
      </c>
      <c r="AK647" s="24">
        <v>45429.393994421298</v>
      </c>
      <c r="AL647" s="24">
        <v>45428.499433946759</v>
      </c>
      <c r="AM647" s="24">
        <v>45428.499470590279</v>
      </c>
      <c r="AN647" s="24">
        <v>45429.394064351851</v>
      </c>
      <c r="AO647">
        <v>3</v>
      </c>
      <c r="AP647" s="24"/>
      <c r="AQ647" s="24"/>
      <c r="AR647" s="24">
        <v>45428.454121620372</v>
      </c>
      <c r="AS647" s="24">
        <v>45428.454121620372</v>
      </c>
      <c r="AX647" s="24"/>
      <c r="AY647" s="24"/>
      <c r="AZ647" s="24"/>
      <c r="BA647" s="24"/>
      <c r="BC647" s="24">
        <v>45429.401001226855</v>
      </c>
      <c r="BD647" s="24">
        <v>45429.401001226855</v>
      </c>
      <c r="BE647" s="24">
        <v>45883.607020300929</v>
      </c>
      <c r="BF647" s="24">
        <v>45883.607020300929</v>
      </c>
      <c r="BG647">
        <v>1</v>
      </c>
      <c r="BH647" s="24">
        <v>45428.454121620372</v>
      </c>
      <c r="BI647" s="24">
        <v>45428.454121620372</v>
      </c>
      <c r="BJ647" s="24">
        <v>45428.467290532404</v>
      </c>
      <c r="BK647" s="24">
        <v>45428.467290532404</v>
      </c>
      <c r="BL647">
        <v>1</v>
      </c>
      <c r="BM647" s="24"/>
      <c r="BN647" s="24"/>
      <c r="BO647" s="24"/>
      <c r="BP647" s="24"/>
      <c r="BR647" s="24">
        <v>45429.394064351851</v>
      </c>
      <c r="BS647" s="24">
        <v>45428.499470590279</v>
      </c>
      <c r="BT647" s="24">
        <v>45428.522917152775</v>
      </c>
      <c r="BU647" s="24">
        <v>45429.401001226855</v>
      </c>
      <c r="BV647">
        <v>2</v>
      </c>
      <c r="BW647" s="24"/>
      <c r="BX647" s="24"/>
      <c r="BY647" s="24"/>
      <c r="BZ647" s="24"/>
      <c r="CB647" s="24"/>
      <c r="CC647" s="24"/>
      <c r="CE647" s="24">
        <v>45883.607020300929</v>
      </c>
      <c r="CF647" s="24">
        <v>45883.607020300929</v>
      </c>
      <c r="CG647">
        <v>1</v>
      </c>
      <c r="CH647" s="24"/>
      <c r="CI647" s="24"/>
      <c r="CJ647" s="24"/>
      <c r="CK647" s="24"/>
      <c r="DE647" s="24"/>
      <c r="DF647" s="24"/>
      <c r="DG647" s="24"/>
      <c r="DH647" s="24"/>
      <c r="DJ647" t="s">
        <v>149</v>
      </c>
      <c r="DK647" t="s">
        <v>149</v>
      </c>
      <c r="DM647">
        <v>456</v>
      </c>
      <c r="DN647">
        <v>456</v>
      </c>
      <c r="DQ647" t="s">
        <v>1000</v>
      </c>
      <c r="DR647" t="s">
        <v>149</v>
      </c>
      <c r="DS647" s="24">
        <v>46160.384426226854</v>
      </c>
    </row>
    <row r="648" spans="1:123" x14ac:dyDescent="0.3">
      <c r="A648" t="s">
        <v>898</v>
      </c>
      <c r="D648" t="s">
        <v>225</v>
      </c>
      <c r="E648" s="24">
        <v>45426.401377314818</v>
      </c>
      <c r="G648" t="s">
        <v>90</v>
      </c>
      <c r="H648" t="s">
        <v>155</v>
      </c>
      <c r="I648" s="24"/>
      <c r="J648" s="24"/>
      <c r="K648" s="24"/>
      <c r="L648" s="24"/>
      <c r="N648" s="24"/>
      <c r="O648" s="24"/>
      <c r="P648" s="24"/>
      <c r="Q648" s="24"/>
      <c r="V648" s="24"/>
      <c r="W648" s="24"/>
      <c r="X648" s="24"/>
      <c r="Y648" s="24"/>
      <c r="AA648" s="24">
        <v>45427.403568020833</v>
      </c>
      <c r="AB648" s="24">
        <v>45427.403568020833</v>
      </c>
      <c r="AC648" s="24">
        <v>45428.392936828706</v>
      </c>
      <c r="AD648" s="24">
        <v>45428.392936828706</v>
      </c>
      <c r="AE648">
        <v>1</v>
      </c>
      <c r="AF648" s="24"/>
      <c r="AG648" s="24"/>
      <c r="AH648" s="24"/>
      <c r="AI648" s="24"/>
      <c r="AK648" s="24">
        <v>45428.392936828706</v>
      </c>
      <c r="AL648" s="24">
        <v>45428.392936828706</v>
      </c>
      <c r="AM648" s="24">
        <v>45428.415545185184</v>
      </c>
      <c r="AN648" s="24">
        <v>45428.415545185184</v>
      </c>
      <c r="AO648">
        <v>1</v>
      </c>
      <c r="AP648" s="24"/>
      <c r="AQ648" s="24"/>
      <c r="AR648" s="24">
        <v>45426.468746782404</v>
      </c>
      <c r="AS648" s="24">
        <v>45426.468746782404</v>
      </c>
      <c r="AX648" s="24"/>
      <c r="AY648" s="24"/>
      <c r="AZ648" s="24"/>
      <c r="BA648" s="24"/>
      <c r="BC648" s="24">
        <v>45428.416066574071</v>
      </c>
      <c r="BD648" s="24">
        <v>45428.416066574071</v>
      </c>
      <c r="BE648" s="24">
        <v>45883.606944386571</v>
      </c>
      <c r="BF648" s="24">
        <v>45883.606944386571</v>
      </c>
      <c r="BG648">
        <v>1</v>
      </c>
      <c r="BH648" s="24">
        <v>45426.468746782404</v>
      </c>
      <c r="BI648" s="24">
        <v>45426.468746782404</v>
      </c>
      <c r="BJ648" s="24">
        <v>45427.403568020833</v>
      </c>
      <c r="BK648" s="24">
        <v>45427.403568020833</v>
      </c>
      <c r="BL648">
        <v>1</v>
      </c>
      <c r="BM648" s="24"/>
      <c r="BN648" s="24"/>
      <c r="BO648" s="24"/>
      <c r="BP648" s="24"/>
      <c r="BR648" s="24">
        <v>45428.415545185184</v>
      </c>
      <c r="BS648" s="24">
        <v>45428.415545185184</v>
      </c>
      <c r="BT648" s="24">
        <v>45428.416066574071</v>
      </c>
      <c r="BU648" s="24">
        <v>45428.416066574071</v>
      </c>
      <c r="BV648">
        <v>1</v>
      </c>
      <c r="BW648" s="24"/>
      <c r="BX648" s="24"/>
      <c r="BY648" s="24"/>
      <c r="BZ648" s="24"/>
      <c r="CB648" s="24"/>
      <c r="CC648" s="24"/>
      <c r="CE648" s="24">
        <v>45883.606944386571</v>
      </c>
      <c r="CF648" s="24">
        <v>45883.606944386571</v>
      </c>
      <c r="CG648">
        <v>1</v>
      </c>
      <c r="CH648" s="24"/>
      <c r="CI648" s="24"/>
      <c r="CJ648" s="24"/>
      <c r="CK648" s="24"/>
      <c r="DE648" s="24"/>
      <c r="DF648" s="24"/>
      <c r="DG648" s="24"/>
      <c r="DH648" s="24"/>
      <c r="DJ648" t="s">
        <v>149</v>
      </c>
      <c r="DK648" t="s">
        <v>149</v>
      </c>
      <c r="DM648">
        <v>458</v>
      </c>
      <c r="DN648">
        <v>457</v>
      </c>
      <c r="DQ648" t="s">
        <v>1000</v>
      </c>
      <c r="DR648" t="s">
        <v>149</v>
      </c>
      <c r="DS648" s="24">
        <v>46160.384426226854</v>
      </c>
    </row>
    <row r="649" spans="1:123" x14ac:dyDescent="0.3">
      <c r="A649" t="s">
        <v>899</v>
      </c>
      <c r="D649" t="s">
        <v>223</v>
      </c>
      <c r="E649" s="24">
        <v>45420.740381944444</v>
      </c>
      <c r="G649" t="s">
        <v>107</v>
      </c>
      <c r="H649" t="s">
        <v>154</v>
      </c>
      <c r="I649" s="24">
        <v>45631.655079317126</v>
      </c>
      <c r="J649" s="24">
        <v>45631.655079317126</v>
      </c>
      <c r="K649" s="24">
        <v>45631.655177800923</v>
      </c>
      <c r="L649" s="24">
        <v>45631.655177800923</v>
      </c>
      <c r="M649">
        <v>1</v>
      </c>
      <c r="N649" s="24">
        <v>45455.413955995369</v>
      </c>
      <c r="O649" s="24">
        <v>45455.413955995369</v>
      </c>
      <c r="P649" s="24">
        <v>45631.655079317126</v>
      </c>
      <c r="Q649" s="24">
        <v>45631.655079317126</v>
      </c>
      <c r="R649">
        <v>1</v>
      </c>
      <c r="V649" s="24"/>
      <c r="W649" s="24"/>
      <c r="X649" s="24"/>
      <c r="Y649" s="24"/>
      <c r="AA649" s="24">
        <v>45439.407672164351</v>
      </c>
      <c r="AB649" s="24">
        <v>45439.407672164351</v>
      </c>
      <c r="AC649" s="24">
        <v>45455.413955995369</v>
      </c>
      <c r="AD649" s="24">
        <v>45455.413955995369</v>
      </c>
      <c r="AE649">
        <v>1</v>
      </c>
      <c r="AF649" s="24"/>
      <c r="AG649" s="24"/>
      <c r="AH649" s="24"/>
      <c r="AI649" s="24"/>
      <c r="AK649" s="24"/>
      <c r="AL649" s="24"/>
      <c r="AM649" s="24"/>
      <c r="AN649" s="24"/>
      <c r="AP649" s="24">
        <v>45420.741101574073</v>
      </c>
      <c r="AQ649" s="24">
        <v>45420.741101574073</v>
      </c>
      <c r="AR649" s="24">
        <v>45439.407580312502</v>
      </c>
      <c r="AS649" s="24">
        <v>45439.407580312502</v>
      </c>
      <c r="AT649">
        <v>1</v>
      </c>
      <c r="AX649" s="24"/>
      <c r="AY649" s="24"/>
      <c r="AZ649" s="24"/>
      <c r="BA649" s="24"/>
      <c r="BC649" s="24"/>
      <c r="BD649" s="24"/>
      <c r="BE649" s="24"/>
      <c r="BF649" s="24"/>
      <c r="BH649" s="24">
        <v>45631.655177800923</v>
      </c>
      <c r="BI649" s="24">
        <v>45439.407580312502</v>
      </c>
      <c r="BJ649" s="24">
        <v>45439.407672164351</v>
      </c>
      <c r="BK649" s="24">
        <v>45439.407672164351</v>
      </c>
      <c r="BL649">
        <v>2</v>
      </c>
      <c r="BM649" s="24"/>
      <c r="BN649" s="24"/>
      <c r="BO649" s="24"/>
      <c r="BP649" s="24"/>
      <c r="BR649" s="24"/>
      <c r="BS649" s="24"/>
      <c r="BT649" s="24"/>
      <c r="BU649" s="24"/>
      <c r="BW649" s="24"/>
      <c r="BX649" s="24"/>
      <c r="BY649" s="24"/>
      <c r="BZ649" s="24"/>
      <c r="CB649" s="24"/>
      <c r="CC649" s="24"/>
      <c r="CE649" s="24"/>
      <c r="CF649" s="24"/>
      <c r="CH649" s="24"/>
      <c r="CI649" s="24"/>
      <c r="CJ649" s="24"/>
      <c r="CK649" s="24"/>
      <c r="DE649" s="24"/>
      <c r="DF649" s="24"/>
      <c r="DG649" s="24"/>
      <c r="DH649" s="24"/>
      <c r="DJ649" t="s">
        <v>149</v>
      </c>
      <c r="DK649" t="s">
        <v>149</v>
      </c>
      <c r="DO649">
        <v>721</v>
      </c>
      <c r="DP649">
        <v>529</v>
      </c>
      <c r="DQ649" t="s">
        <v>1000</v>
      </c>
      <c r="DR649" t="s">
        <v>149</v>
      </c>
      <c r="DS649" s="24">
        <v>46160.384426226854</v>
      </c>
    </row>
    <row r="650" spans="1:123" x14ac:dyDescent="0.3">
      <c r="A650" t="s">
        <v>900</v>
      </c>
      <c r="D650" t="s">
        <v>225</v>
      </c>
      <c r="E650" s="24">
        <v>45406.370532407411</v>
      </c>
      <c r="G650" t="s">
        <v>102</v>
      </c>
      <c r="H650" t="s">
        <v>154</v>
      </c>
      <c r="I650" s="24"/>
      <c r="J650" s="24"/>
      <c r="K650" s="24"/>
      <c r="L650" s="24"/>
      <c r="N650" s="24"/>
      <c r="O650" s="24"/>
      <c r="P650" s="24"/>
      <c r="Q650" s="24"/>
      <c r="V650" s="24"/>
      <c r="W650" s="24"/>
      <c r="X650" s="24"/>
      <c r="Y650" s="24"/>
      <c r="AA650" s="24"/>
      <c r="AB650" s="24"/>
      <c r="AC650" s="24"/>
      <c r="AD650" s="24"/>
      <c r="AF650" s="24"/>
      <c r="AG650" s="24"/>
      <c r="AH650" s="24"/>
      <c r="AI650" s="24"/>
      <c r="AK650" s="24"/>
      <c r="AL650" s="24"/>
      <c r="AM650" s="24"/>
      <c r="AN650" s="24"/>
      <c r="AP650" s="24"/>
      <c r="AQ650" s="24"/>
      <c r="AR650" s="24"/>
      <c r="AS650" s="24"/>
      <c r="AX650" s="24"/>
      <c r="AY650" s="24"/>
      <c r="AZ650" s="24"/>
      <c r="BA650" s="24"/>
      <c r="BC650" s="24"/>
      <c r="BD650" s="24"/>
      <c r="BE650" s="24"/>
      <c r="BF650" s="24"/>
      <c r="BH650" s="24"/>
      <c r="BI650" s="24"/>
      <c r="BJ650" s="24"/>
      <c r="BK650" s="24"/>
      <c r="BM650" s="24"/>
      <c r="BN650" s="24"/>
      <c r="BO650" s="24"/>
      <c r="BP650" s="24"/>
      <c r="BR650" s="24"/>
      <c r="BS650" s="24"/>
      <c r="BT650" s="24"/>
      <c r="BU650" s="24"/>
      <c r="BW650" s="24"/>
      <c r="BX650" s="24"/>
      <c r="BY650" s="24"/>
      <c r="BZ650" s="24"/>
      <c r="CB650" s="24"/>
      <c r="CC650" s="24"/>
      <c r="CE650" s="24"/>
      <c r="CF650" s="24"/>
      <c r="CH650" s="24"/>
      <c r="CI650" s="24"/>
      <c r="CJ650" s="24"/>
      <c r="CK650" s="24"/>
      <c r="DE650" s="24"/>
      <c r="DF650" s="24"/>
      <c r="DG650" s="24"/>
      <c r="DH650" s="24"/>
      <c r="DJ650" t="s">
        <v>149</v>
      </c>
      <c r="DK650" t="s">
        <v>149</v>
      </c>
      <c r="DQ650" t="s">
        <v>1000</v>
      </c>
      <c r="DR650" t="s">
        <v>149</v>
      </c>
      <c r="DS650" s="24">
        <v>46160.384426226854</v>
      </c>
    </row>
    <row r="651" spans="1:123" x14ac:dyDescent="0.3">
      <c r="A651" t="s">
        <v>901</v>
      </c>
      <c r="D651" t="s">
        <v>225</v>
      </c>
      <c r="E651" s="24">
        <v>45406.368692129632</v>
      </c>
      <c r="G651" t="s">
        <v>102</v>
      </c>
      <c r="H651" t="s">
        <v>154</v>
      </c>
      <c r="I651" s="24"/>
      <c r="J651" s="24"/>
      <c r="K651" s="24"/>
      <c r="L651" s="24"/>
      <c r="N651" s="24"/>
      <c r="O651" s="24"/>
      <c r="P651" s="24"/>
      <c r="Q651" s="24"/>
      <c r="V651" s="24"/>
      <c r="W651" s="24"/>
      <c r="X651" s="24"/>
      <c r="Y651" s="24"/>
      <c r="AA651" s="24"/>
      <c r="AB651" s="24"/>
      <c r="AC651" s="24"/>
      <c r="AD651" s="24"/>
      <c r="AF651" s="24"/>
      <c r="AG651" s="24"/>
      <c r="AH651" s="24"/>
      <c r="AI651" s="24"/>
      <c r="AK651" s="24"/>
      <c r="AL651" s="24"/>
      <c r="AM651" s="24"/>
      <c r="AN651" s="24"/>
      <c r="AP651" s="24"/>
      <c r="AQ651" s="24"/>
      <c r="AR651" s="24"/>
      <c r="AS651" s="24"/>
      <c r="AX651" s="24"/>
      <c r="AY651" s="24"/>
      <c r="AZ651" s="24"/>
      <c r="BA651" s="24"/>
      <c r="BC651" s="24"/>
      <c r="BD651" s="24"/>
      <c r="BE651" s="24"/>
      <c r="BF651" s="24"/>
      <c r="BH651" s="24"/>
      <c r="BI651" s="24"/>
      <c r="BJ651" s="24"/>
      <c r="BK651" s="24"/>
      <c r="BM651" s="24"/>
      <c r="BN651" s="24"/>
      <c r="BO651" s="24"/>
      <c r="BP651" s="24"/>
      <c r="BR651" s="24"/>
      <c r="BS651" s="24"/>
      <c r="BT651" s="24"/>
      <c r="BU651" s="24"/>
      <c r="BW651" s="24"/>
      <c r="BX651" s="24"/>
      <c r="BY651" s="24"/>
      <c r="BZ651" s="24"/>
      <c r="CB651" s="24"/>
      <c r="CC651" s="24"/>
      <c r="CE651" s="24"/>
      <c r="CF651" s="24"/>
      <c r="CH651" s="24"/>
      <c r="CI651" s="24"/>
      <c r="CJ651" s="24"/>
      <c r="CK651" s="24"/>
      <c r="DE651" s="24"/>
      <c r="DF651" s="24"/>
      <c r="DG651" s="24"/>
      <c r="DH651" s="24"/>
      <c r="DJ651" t="s">
        <v>149</v>
      </c>
      <c r="DK651" t="s">
        <v>149</v>
      </c>
      <c r="DQ651" t="s">
        <v>1000</v>
      </c>
      <c r="DR651" t="s">
        <v>149</v>
      </c>
      <c r="DS651" s="24">
        <v>46160.384426226854</v>
      </c>
    </row>
    <row r="652" spans="1:123" x14ac:dyDescent="0.3">
      <c r="A652" t="s">
        <v>902</v>
      </c>
      <c r="D652" t="s">
        <v>225</v>
      </c>
      <c r="E652" s="24">
        <v>45406.3675</v>
      </c>
      <c r="G652" t="s">
        <v>107</v>
      </c>
      <c r="H652" t="s">
        <v>154</v>
      </c>
      <c r="I652" s="24"/>
      <c r="J652" s="24"/>
      <c r="K652" s="24"/>
      <c r="L652" s="24"/>
      <c r="N652" s="24"/>
      <c r="O652" s="24"/>
      <c r="P652" s="24"/>
      <c r="Q652" s="24"/>
      <c r="V652" s="24"/>
      <c r="W652" s="24"/>
      <c r="X652" s="24"/>
      <c r="Y652" s="24"/>
      <c r="AA652" s="24"/>
      <c r="AB652" s="24"/>
      <c r="AC652" s="24"/>
      <c r="AD652" s="24"/>
      <c r="AF652" s="24"/>
      <c r="AG652" s="24"/>
      <c r="AH652" s="24"/>
      <c r="AI652" s="24"/>
      <c r="AK652" s="24"/>
      <c r="AL652" s="24"/>
      <c r="AM652" s="24"/>
      <c r="AN652" s="24"/>
      <c r="AP652" s="24"/>
      <c r="AQ652" s="24"/>
      <c r="AR652" s="24">
        <v>45426.449918483799</v>
      </c>
      <c r="AS652" s="24">
        <v>45426.449918483799</v>
      </c>
      <c r="AX652" s="24"/>
      <c r="AY652" s="24"/>
      <c r="AZ652" s="24"/>
      <c r="BA652" s="24"/>
      <c r="BC652" s="24"/>
      <c r="BD652" s="24"/>
      <c r="BE652" s="24"/>
      <c r="BF652" s="24"/>
      <c r="BH652" s="24">
        <v>45426.449918483799</v>
      </c>
      <c r="BI652" s="24">
        <v>45426.449918483799</v>
      </c>
      <c r="BJ652" s="24"/>
      <c r="BK652" s="24"/>
      <c r="BL652">
        <v>1</v>
      </c>
      <c r="BM652" s="24"/>
      <c r="BN652" s="24"/>
      <c r="BO652" s="24"/>
      <c r="BP652" s="24"/>
      <c r="BR652" s="24"/>
      <c r="BS652" s="24"/>
      <c r="BT652" s="24"/>
      <c r="BU652" s="24"/>
      <c r="BW652" s="24"/>
      <c r="BX652" s="24"/>
      <c r="BY652" s="24"/>
      <c r="BZ652" s="24"/>
      <c r="CB652" s="24"/>
      <c r="CC652" s="24"/>
      <c r="CE652" s="24"/>
      <c r="CF652" s="24"/>
      <c r="CH652" s="24"/>
      <c r="CI652" s="24"/>
      <c r="CJ652" s="24"/>
      <c r="CK652" s="24"/>
      <c r="DE652" s="24"/>
      <c r="DF652" s="24"/>
      <c r="DG652" s="24"/>
      <c r="DH652" s="24"/>
      <c r="DJ652" t="s">
        <v>149</v>
      </c>
      <c r="DK652" t="s">
        <v>149</v>
      </c>
      <c r="DP652">
        <v>734</v>
      </c>
      <c r="DQ652" t="s">
        <v>1000</v>
      </c>
      <c r="DR652" t="s">
        <v>149</v>
      </c>
      <c r="DS652" s="24">
        <v>46160.384426226854</v>
      </c>
    </row>
    <row r="653" spans="1:123" x14ac:dyDescent="0.3">
      <c r="A653" t="s">
        <v>903</v>
      </c>
      <c r="D653" t="s">
        <v>225</v>
      </c>
      <c r="E653" s="24">
        <v>45406.364930555559</v>
      </c>
      <c r="G653" t="s">
        <v>150</v>
      </c>
      <c r="H653" t="s">
        <v>155</v>
      </c>
      <c r="I653" s="24"/>
      <c r="J653" s="24"/>
      <c r="K653" s="24"/>
      <c r="L653" s="24"/>
      <c r="N653" s="24"/>
      <c r="O653" s="24"/>
      <c r="P653" s="24"/>
      <c r="Q653" s="24"/>
      <c r="V653" s="24"/>
      <c r="W653" s="24"/>
      <c r="X653" s="24"/>
      <c r="Y653" s="24"/>
      <c r="AA653" s="24"/>
      <c r="AB653" s="24"/>
      <c r="AC653" s="24"/>
      <c r="AD653" s="24"/>
      <c r="AF653" s="24"/>
      <c r="AG653" s="24"/>
      <c r="AH653" s="24"/>
      <c r="AI653" s="24"/>
      <c r="AK653" s="24"/>
      <c r="AL653" s="24"/>
      <c r="AM653" s="24"/>
      <c r="AN653" s="24"/>
      <c r="AP653" s="24"/>
      <c r="AQ653" s="24"/>
      <c r="AR653" s="24">
        <v>45426.450167662035</v>
      </c>
      <c r="AS653" s="24">
        <v>45426.450167662035</v>
      </c>
      <c r="AX653" s="24"/>
      <c r="AY653" s="24"/>
      <c r="AZ653" s="24"/>
      <c r="BA653" s="24"/>
      <c r="BC653" s="24"/>
      <c r="BD653" s="24"/>
      <c r="BE653" s="24"/>
      <c r="BF653" s="24"/>
      <c r="BH653" s="24">
        <v>45426.450167662035</v>
      </c>
      <c r="BI653" s="24">
        <v>45426.450167662035</v>
      </c>
      <c r="BJ653" s="24">
        <v>46154.364632789351</v>
      </c>
      <c r="BK653" s="24">
        <v>46154.364632789351</v>
      </c>
      <c r="BL653">
        <v>1</v>
      </c>
      <c r="BM653" s="24"/>
      <c r="BN653" s="24"/>
      <c r="BO653" s="24"/>
      <c r="BP653" s="24"/>
      <c r="BR653" s="24"/>
      <c r="BS653" s="24"/>
      <c r="BT653" s="24"/>
      <c r="BU653" s="24"/>
      <c r="BW653" s="24"/>
      <c r="BX653" s="24"/>
      <c r="BY653" s="24"/>
      <c r="BZ653" s="24"/>
      <c r="CB653" s="24">
        <v>46154.364632789351</v>
      </c>
      <c r="CC653" s="24">
        <v>46154.364632789351</v>
      </c>
      <c r="CD653">
        <v>1</v>
      </c>
      <c r="CE653" s="24"/>
      <c r="CF653" s="24"/>
      <c r="CH653" s="24"/>
      <c r="CI653" s="24"/>
      <c r="CJ653" s="24"/>
      <c r="CK653" s="24"/>
      <c r="DE653" s="24"/>
      <c r="DF653" s="24"/>
      <c r="DG653" s="24"/>
      <c r="DH653" s="24"/>
      <c r="DJ653" t="s">
        <v>149</v>
      </c>
      <c r="DK653" t="s">
        <v>149</v>
      </c>
      <c r="DQ653" t="s">
        <v>1000</v>
      </c>
      <c r="DR653" t="s">
        <v>149</v>
      </c>
      <c r="DS653" s="24">
        <v>46160.384426226854</v>
      </c>
    </row>
    <row r="654" spans="1:123" x14ac:dyDescent="0.3">
      <c r="A654" t="s">
        <v>904</v>
      </c>
      <c r="D654" t="s">
        <v>225</v>
      </c>
      <c r="E654" s="24">
        <v>45406.325902777775</v>
      </c>
      <c r="G654" t="s">
        <v>102</v>
      </c>
      <c r="H654" t="s">
        <v>154</v>
      </c>
      <c r="I654" s="24"/>
      <c r="J654" s="24"/>
      <c r="K654" s="24"/>
      <c r="L654" s="24"/>
      <c r="N654" s="24"/>
      <c r="O654" s="24"/>
      <c r="P654" s="24"/>
      <c r="Q654" s="24"/>
      <c r="V654" s="24"/>
      <c r="W654" s="24"/>
      <c r="X654" s="24"/>
      <c r="Y654" s="24"/>
      <c r="AA654" s="24"/>
      <c r="AB654" s="24"/>
      <c r="AC654" s="24"/>
      <c r="AD654" s="24"/>
      <c r="AF654" s="24"/>
      <c r="AG654" s="24"/>
      <c r="AH654" s="24"/>
      <c r="AI654" s="24"/>
      <c r="AK654" s="24"/>
      <c r="AL654" s="24"/>
      <c r="AM654" s="24"/>
      <c r="AN654" s="24"/>
      <c r="AP654" s="24"/>
      <c r="AQ654" s="24"/>
      <c r="AR654" s="24"/>
      <c r="AS654" s="24"/>
      <c r="AX654" s="24"/>
      <c r="AY654" s="24"/>
      <c r="AZ654" s="24"/>
      <c r="BA654" s="24"/>
      <c r="BC654" s="24"/>
      <c r="BD654" s="24"/>
      <c r="BE654" s="24"/>
      <c r="BF654" s="24"/>
      <c r="BH654" s="24"/>
      <c r="BI654" s="24"/>
      <c r="BJ654" s="24"/>
      <c r="BK654" s="24"/>
      <c r="BM654" s="24"/>
      <c r="BN654" s="24"/>
      <c r="BO654" s="24"/>
      <c r="BP654" s="24"/>
      <c r="BR654" s="24"/>
      <c r="BS654" s="24"/>
      <c r="BT654" s="24"/>
      <c r="BU654" s="24"/>
      <c r="BW654" s="24"/>
      <c r="BX654" s="24"/>
      <c r="BY654" s="24"/>
      <c r="BZ654" s="24"/>
      <c r="CB654" s="24"/>
      <c r="CC654" s="24"/>
      <c r="CE654" s="24"/>
      <c r="CF654" s="24"/>
      <c r="CH654" s="24"/>
      <c r="CI654" s="24"/>
      <c r="CJ654" s="24"/>
      <c r="CK654" s="24"/>
      <c r="DE654" s="24"/>
      <c r="DF654" s="24"/>
      <c r="DG654" s="24"/>
      <c r="DH654" s="24"/>
      <c r="DJ654" t="s">
        <v>149</v>
      </c>
      <c r="DK654" t="s">
        <v>149</v>
      </c>
      <c r="DQ654" t="s">
        <v>1000</v>
      </c>
      <c r="DR654" t="s">
        <v>149</v>
      </c>
      <c r="DS654" s="24">
        <v>46160.384426226854</v>
      </c>
    </row>
    <row r="655" spans="1:123" x14ac:dyDescent="0.3">
      <c r="A655" t="s">
        <v>905</v>
      </c>
      <c r="D655" t="s">
        <v>225</v>
      </c>
      <c r="E655" s="24">
        <v>45405.588101851848</v>
      </c>
      <c r="G655" t="s">
        <v>102</v>
      </c>
      <c r="H655" t="s">
        <v>154</v>
      </c>
      <c r="I655" s="24"/>
      <c r="J655" s="24"/>
      <c r="K655" s="24"/>
      <c r="L655" s="24"/>
      <c r="N655" s="24"/>
      <c r="O655" s="24"/>
      <c r="P655" s="24"/>
      <c r="Q655" s="24"/>
      <c r="V655" s="24"/>
      <c r="W655" s="24"/>
      <c r="X655" s="24"/>
      <c r="Y655" s="24"/>
      <c r="AA655" s="24"/>
      <c r="AB655" s="24"/>
      <c r="AC655" s="24"/>
      <c r="AD655" s="24"/>
      <c r="AF655" s="24"/>
      <c r="AG655" s="24"/>
      <c r="AH655" s="24"/>
      <c r="AI655" s="24"/>
      <c r="AK655" s="24"/>
      <c r="AL655" s="24"/>
      <c r="AM655" s="24"/>
      <c r="AN655" s="24"/>
      <c r="AP655" s="24"/>
      <c r="AQ655" s="24"/>
      <c r="AR655" s="24"/>
      <c r="AS655" s="24"/>
      <c r="AX655" s="24"/>
      <c r="AY655" s="24"/>
      <c r="AZ655" s="24"/>
      <c r="BA655" s="24"/>
      <c r="BC655" s="24"/>
      <c r="BD655" s="24"/>
      <c r="BE655" s="24"/>
      <c r="BF655" s="24"/>
      <c r="BH655" s="24"/>
      <c r="BI655" s="24"/>
      <c r="BJ655" s="24"/>
      <c r="BK655" s="24"/>
      <c r="BM655" s="24"/>
      <c r="BN655" s="24"/>
      <c r="BO655" s="24"/>
      <c r="BP655" s="24"/>
      <c r="BR655" s="24"/>
      <c r="BS655" s="24"/>
      <c r="BT655" s="24"/>
      <c r="BU655" s="24"/>
      <c r="BW655" s="24"/>
      <c r="BX655" s="24"/>
      <c r="BY655" s="24"/>
      <c r="BZ655" s="24"/>
      <c r="CB655" s="24"/>
      <c r="CC655" s="24"/>
      <c r="CE655" s="24"/>
      <c r="CF655" s="24"/>
      <c r="CH655" s="24"/>
      <c r="CI655" s="24"/>
      <c r="CJ655" s="24"/>
      <c r="CK655" s="24"/>
      <c r="DE655" s="24"/>
      <c r="DF655" s="24"/>
      <c r="DG655" s="24"/>
      <c r="DH655" s="24"/>
      <c r="DJ655" t="s">
        <v>149</v>
      </c>
      <c r="DK655" t="s">
        <v>149</v>
      </c>
      <c r="DQ655" t="s">
        <v>1000</v>
      </c>
      <c r="DR655" t="s">
        <v>149</v>
      </c>
      <c r="DS655" s="24">
        <v>46160.384426226854</v>
      </c>
    </row>
    <row r="656" spans="1:123" x14ac:dyDescent="0.3">
      <c r="A656" t="s">
        <v>906</v>
      </c>
      <c r="D656" t="s">
        <v>224</v>
      </c>
      <c r="E656" s="24">
        <v>45405.586261574077</v>
      </c>
      <c r="G656" t="s">
        <v>150</v>
      </c>
      <c r="H656" t="s">
        <v>155</v>
      </c>
      <c r="I656" s="24"/>
      <c r="J656" s="24"/>
      <c r="K656" s="24"/>
      <c r="L656" s="24"/>
      <c r="N656" s="24"/>
      <c r="O656" s="24"/>
      <c r="P656" s="24"/>
      <c r="Q656" s="24"/>
      <c r="V656" s="24"/>
      <c r="W656" s="24"/>
      <c r="X656" s="24"/>
      <c r="Y656" s="24"/>
      <c r="AA656" s="24"/>
      <c r="AB656" s="24"/>
      <c r="AC656" s="24"/>
      <c r="AD656" s="24"/>
      <c r="AF656" s="24"/>
      <c r="AG656" s="24"/>
      <c r="AH656" s="24"/>
      <c r="AI656" s="24"/>
      <c r="AK656" s="24"/>
      <c r="AL656" s="24"/>
      <c r="AM656" s="24"/>
      <c r="AN656" s="24"/>
      <c r="AP656" s="24"/>
      <c r="AQ656" s="24"/>
      <c r="AR656" s="24">
        <v>46154.364411354167</v>
      </c>
      <c r="AS656" s="24">
        <v>46154.364411354167</v>
      </c>
      <c r="AX656" s="24"/>
      <c r="AY656" s="24"/>
      <c r="AZ656" s="24"/>
      <c r="BA656" s="24"/>
      <c r="BC656" s="24"/>
      <c r="BD656" s="24"/>
      <c r="BE656" s="24"/>
      <c r="BF656" s="24"/>
      <c r="BH656" s="24"/>
      <c r="BI656" s="24"/>
      <c r="BJ656" s="24"/>
      <c r="BK656" s="24"/>
      <c r="BM656" s="24"/>
      <c r="BN656" s="24"/>
      <c r="BO656" s="24"/>
      <c r="BP656" s="24"/>
      <c r="BR656" s="24"/>
      <c r="BS656" s="24"/>
      <c r="BT656" s="24"/>
      <c r="BU656" s="24"/>
      <c r="BW656" s="24"/>
      <c r="BX656" s="24"/>
      <c r="BY656" s="24"/>
      <c r="BZ656" s="24"/>
      <c r="CB656" s="24">
        <v>46154.364411354167</v>
      </c>
      <c r="CC656" s="24">
        <v>46154.364411354167</v>
      </c>
      <c r="CD656">
        <v>1</v>
      </c>
      <c r="CE656" s="24"/>
      <c r="CF656" s="24"/>
      <c r="CH656" s="24"/>
      <c r="CI656" s="24"/>
      <c r="CJ656" s="24"/>
      <c r="CK656" s="24"/>
      <c r="DE656" s="24"/>
      <c r="DF656" s="24"/>
      <c r="DG656" s="24"/>
      <c r="DH656" s="24"/>
      <c r="DJ656" t="s">
        <v>149</v>
      </c>
      <c r="DK656" t="s">
        <v>149</v>
      </c>
      <c r="DQ656" t="s">
        <v>1000</v>
      </c>
      <c r="DR656" t="s">
        <v>149</v>
      </c>
      <c r="DS656" s="24">
        <v>46160.384426226854</v>
      </c>
    </row>
    <row r="657" spans="1:123" x14ac:dyDescent="0.3">
      <c r="A657" t="s">
        <v>907</v>
      </c>
      <c r="D657" t="s">
        <v>225</v>
      </c>
      <c r="E657" s="24">
        <v>45405.508923611109</v>
      </c>
      <c r="G657" t="s">
        <v>102</v>
      </c>
      <c r="H657" t="s">
        <v>154</v>
      </c>
      <c r="I657" s="24"/>
      <c r="J657" s="24"/>
      <c r="K657" s="24"/>
      <c r="L657" s="24"/>
      <c r="N657" s="24"/>
      <c r="O657" s="24"/>
      <c r="P657" s="24"/>
      <c r="Q657" s="24"/>
      <c r="V657" s="24"/>
      <c r="W657" s="24"/>
      <c r="X657" s="24"/>
      <c r="Y657" s="24"/>
      <c r="AA657" s="24"/>
      <c r="AB657" s="24"/>
      <c r="AC657" s="24"/>
      <c r="AD657" s="24"/>
      <c r="AF657" s="24"/>
      <c r="AG657" s="24"/>
      <c r="AH657" s="24"/>
      <c r="AI657" s="24"/>
      <c r="AK657" s="24"/>
      <c r="AL657" s="24"/>
      <c r="AM657" s="24"/>
      <c r="AN657" s="24"/>
      <c r="AP657" s="24"/>
      <c r="AQ657" s="24"/>
      <c r="AR657" s="24"/>
      <c r="AS657" s="24"/>
      <c r="AX657" s="24"/>
      <c r="AY657" s="24"/>
      <c r="AZ657" s="24"/>
      <c r="BA657" s="24"/>
      <c r="BC657" s="24"/>
      <c r="BD657" s="24"/>
      <c r="BE657" s="24"/>
      <c r="BF657" s="24"/>
      <c r="BH657" s="24"/>
      <c r="BI657" s="24"/>
      <c r="BJ657" s="24"/>
      <c r="BK657" s="24"/>
      <c r="BM657" s="24"/>
      <c r="BN657" s="24"/>
      <c r="BO657" s="24"/>
      <c r="BP657" s="24"/>
      <c r="BR657" s="24"/>
      <c r="BS657" s="24"/>
      <c r="BT657" s="24"/>
      <c r="BU657" s="24"/>
      <c r="BW657" s="24"/>
      <c r="BX657" s="24"/>
      <c r="BY657" s="24"/>
      <c r="BZ657" s="24"/>
      <c r="CB657" s="24"/>
      <c r="CC657" s="24"/>
      <c r="CE657" s="24"/>
      <c r="CF657" s="24"/>
      <c r="CH657" s="24"/>
      <c r="CI657" s="24"/>
      <c r="CJ657" s="24"/>
      <c r="CK657" s="24"/>
      <c r="DE657" s="24"/>
      <c r="DF657" s="24"/>
      <c r="DG657" s="24"/>
      <c r="DH657" s="24"/>
      <c r="DJ657" t="s">
        <v>149</v>
      </c>
      <c r="DK657" t="s">
        <v>149</v>
      </c>
      <c r="DQ657" t="s">
        <v>1000</v>
      </c>
      <c r="DR657" t="s">
        <v>149</v>
      </c>
      <c r="DS657" s="24">
        <v>46160.384426226854</v>
      </c>
    </row>
    <row r="658" spans="1:123" x14ac:dyDescent="0.3">
      <c r="A658" t="s">
        <v>908</v>
      </c>
      <c r="D658" t="s">
        <v>225</v>
      </c>
      <c r="E658" s="24">
        <v>45405.499988425923</v>
      </c>
      <c r="G658" t="s">
        <v>102</v>
      </c>
      <c r="H658" t="s">
        <v>154</v>
      </c>
      <c r="I658" s="24"/>
      <c r="J658" s="24"/>
      <c r="K658" s="24"/>
      <c r="L658" s="24"/>
      <c r="N658" s="24"/>
      <c r="O658" s="24"/>
      <c r="P658" s="24"/>
      <c r="Q658" s="24"/>
      <c r="V658" s="24"/>
      <c r="W658" s="24"/>
      <c r="X658" s="24"/>
      <c r="Y658" s="24"/>
      <c r="AA658" s="24"/>
      <c r="AB658" s="24"/>
      <c r="AC658" s="24"/>
      <c r="AD658" s="24"/>
      <c r="AF658" s="24"/>
      <c r="AG658" s="24"/>
      <c r="AH658" s="24"/>
      <c r="AI658" s="24"/>
      <c r="AK658" s="24"/>
      <c r="AL658" s="24"/>
      <c r="AM658" s="24"/>
      <c r="AN658" s="24"/>
      <c r="AP658" s="24"/>
      <c r="AQ658" s="24"/>
      <c r="AR658" s="24"/>
      <c r="AS658" s="24"/>
      <c r="AX658" s="24"/>
      <c r="AY658" s="24"/>
      <c r="AZ658" s="24"/>
      <c r="BA658" s="24"/>
      <c r="BC658" s="24"/>
      <c r="BD658" s="24"/>
      <c r="BE658" s="24"/>
      <c r="BF658" s="24"/>
      <c r="BH658" s="24"/>
      <c r="BI658" s="24"/>
      <c r="BJ658" s="24"/>
      <c r="BK658" s="24"/>
      <c r="BM658" s="24"/>
      <c r="BN658" s="24"/>
      <c r="BO658" s="24"/>
      <c r="BP658" s="24"/>
      <c r="BR658" s="24"/>
      <c r="BS658" s="24"/>
      <c r="BT658" s="24"/>
      <c r="BU658" s="24"/>
      <c r="BW658" s="24"/>
      <c r="BX658" s="24"/>
      <c r="BY658" s="24"/>
      <c r="BZ658" s="24"/>
      <c r="CB658" s="24"/>
      <c r="CC658" s="24"/>
      <c r="CE658" s="24"/>
      <c r="CF658" s="24"/>
      <c r="CH658" s="24"/>
      <c r="CI658" s="24"/>
      <c r="CJ658" s="24"/>
      <c r="CK658" s="24"/>
      <c r="DE658" s="24"/>
      <c r="DF658" s="24"/>
      <c r="DG658" s="24"/>
      <c r="DH658" s="24"/>
      <c r="DJ658" t="s">
        <v>149</v>
      </c>
      <c r="DK658" t="s">
        <v>149</v>
      </c>
      <c r="DQ658" t="s">
        <v>1000</v>
      </c>
      <c r="DR658" t="s">
        <v>149</v>
      </c>
      <c r="DS658" s="24">
        <v>46160.384426226854</v>
      </c>
    </row>
    <row r="659" spans="1:123" x14ac:dyDescent="0.3">
      <c r="A659" t="s">
        <v>909</v>
      </c>
      <c r="D659" t="s">
        <v>223</v>
      </c>
      <c r="E659" s="24">
        <v>45401.60527777778</v>
      </c>
      <c r="G659" t="s">
        <v>150</v>
      </c>
      <c r="H659" t="s">
        <v>155</v>
      </c>
      <c r="I659" s="24"/>
      <c r="J659" s="24"/>
      <c r="K659" s="24"/>
      <c r="L659" s="24"/>
      <c r="N659" s="24"/>
      <c r="O659" s="24"/>
      <c r="P659" s="24"/>
      <c r="Q659" s="24"/>
      <c r="V659" s="24"/>
      <c r="W659" s="24"/>
      <c r="X659" s="24"/>
      <c r="Y659" s="24"/>
      <c r="AA659" s="24"/>
      <c r="AB659" s="24"/>
      <c r="AC659" s="24"/>
      <c r="AD659" s="24"/>
      <c r="AF659" s="24"/>
      <c r="AG659" s="24"/>
      <c r="AH659" s="24"/>
      <c r="AI659" s="24"/>
      <c r="AK659" s="24"/>
      <c r="AL659" s="24"/>
      <c r="AM659" s="24"/>
      <c r="AN659" s="24"/>
      <c r="AP659" s="24">
        <v>45405.438007291668</v>
      </c>
      <c r="AQ659" s="24">
        <v>45405.438007291668</v>
      </c>
      <c r="AR659" s="24">
        <v>46003.560180162036</v>
      </c>
      <c r="AS659" s="24">
        <v>46003.560180162036</v>
      </c>
      <c r="AT659">
        <v>1</v>
      </c>
      <c r="AX659" s="24"/>
      <c r="AY659" s="24"/>
      <c r="AZ659" s="24"/>
      <c r="BA659" s="24"/>
      <c r="BC659" s="24"/>
      <c r="BD659" s="24"/>
      <c r="BE659" s="24"/>
      <c r="BF659" s="24"/>
      <c r="BH659" s="24"/>
      <c r="BI659" s="24"/>
      <c r="BJ659" s="24"/>
      <c r="BK659" s="24"/>
      <c r="BM659" s="24"/>
      <c r="BN659" s="24"/>
      <c r="BO659" s="24"/>
      <c r="BP659" s="24"/>
      <c r="BR659" s="24"/>
      <c r="BS659" s="24"/>
      <c r="BT659" s="24"/>
      <c r="BU659" s="24"/>
      <c r="BW659" s="24"/>
      <c r="BX659" s="24"/>
      <c r="BY659" s="24"/>
      <c r="BZ659" s="24"/>
      <c r="CB659" s="24">
        <v>46003.560180162036</v>
      </c>
      <c r="CC659" s="24">
        <v>46003.560180162036</v>
      </c>
      <c r="CD659">
        <v>1</v>
      </c>
      <c r="CE659" s="24"/>
      <c r="CF659" s="24"/>
      <c r="CH659" s="24"/>
      <c r="CI659" s="24"/>
      <c r="CJ659" s="24"/>
      <c r="CK659" s="24"/>
      <c r="DE659" s="24"/>
      <c r="DF659" s="24"/>
      <c r="DG659" s="24"/>
      <c r="DH659" s="24"/>
      <c r="DJ659" t="s">
        <v>149</v>
      </c>
      <c r="DK659" t="s">
        <v>149</v>
      </c>
      <c r="DQ659" t="s">
        <v>1000</v>
      </c>
      <c r="DR659" t="s">
        <v>149</v>
      </c>
      <c r="DS659" s="24">
        <v>46160.384426226854</v>
      </c>
    </row>
    <row r="660" spans="1:123" x14ac:dyDescent="0.3">
      <c r="A660" t="s">
        <v>910</v>
      </c>
      <c r="D660" t="s">
        <v>225</v>
      </c>
      <c r="E660" s="24">
        <v>45397.711562500001</v>
      </c>
      <c r="G660" t="s">
        <v>103</v>
      </c>
      <c r="H660" t="s">
        <v>154</v>
      </c>
      <c r="I660" s="24">
        <v>45631.578303912036</v>
      </c>
      <c r="J660" s="24">
        <v>45631.578303912036</v>
      </c>
      <c r="K660" s="24"/>
      <c r="L660" s="24"/>
      <c r="M660">
        <v>1</v>
      </c>
      <c r="N660" s="24">
        <v>45427.398530358798</v>
      </c>
      <c r="O660" s="24">
        <v>45427.398530358798</v>
      </c>
      <c r="P660" s="24">
        <v>45631.578303912036</v>
      </c>
      <c r="Q660" s="24">
        <v>45631.578303912036</v>
      </c>
      <c r="R660">
        <v>1</v>
      </c>
      <c r="V660" s="24"/>
      <c r="W660" s="24"/>
      <c r="X660" s="24"/>
      <c r="Y660" s="24"/>
      <c r="AA660" s="24">
        <v>45412.344615740738</v>
      </c>
      <c r="AB660" s="24">
        <v>45412.344615740738</v>
      </c>
      <c r="AC660" s="24">
        <v>45427.398530358798</v>
      </c>
      <c r="AD660" s="24">
        <v>45427.398530358798</v>
      </c>
      <c r="AE660">
        <v>1</v>
      </c>
      <c r="AF660" s="24"/>
      <c r="AG660" s="24"/>
      <c r="AH660" s="24"/>
      <c r="AI660" s="24"/>
      <c r="AK660" s="24"/>
      <c r="AL660" s="24"/>
      <c r="AM660" s="24"/>
      <c r="AN660" s="24"/>
      <c r="AP660" s="24"/>
      <c r="AQ660" s="24"/>
      <c r="AR660" s="24"/>
      <c r="AS660" s="24"/>
      <c r="AX660" s="24"/>
      <c r="AY660" s="24"/>
      <c r="AZ660" s="24"/>
      <c r="BA660" s="24"/>
      <c r="BC660" s="24"/>
      <c r="BD660" s="24"/>
      <c r="BE660" s="24"/>
      <c r="BF660" s="24"/>
      <c r="BH660" s="24"/>
      <c r="BI660" s="24"/>
      <c r="BJ660" s="24"/>
      <c r="BK660" s="24"/>
      <c r="BM660" s="24"/>
      <c r="BN660" s="24"/>
      <c r="BO660" s="24"/>
      <c r="BP660" s="24"/>
      <c r="BR660" s="24"/>
      <c r="BS660" s="24"/>
      <c r="BT660" s="24"/>
      <c r="BU660" s="24"/>
      <c r="BW660" s="24"/>
      <c r="BX660" s="24"/>
      <c r="BY660" s="24"/>
      <c r="BZ660" s="24"/>
      <c r="CB660" s="24"/>
      <c r="CC660" s="24"/>
      <c r="CE660" s="24"/>
      <c r="CF660" s="24"/>
      <c r="CH660" s="24"/>
      <c r="CI660" s="24"/>
      <c r="CJ660" s="24"/>
      <c r="CK660" s="24"/>
      <c r="DE660" s="24"/>
      <c r="DF660" s="24"/>
      <c r="DG660" s="24"/>
      <c r="DH660" s="24"/>
      <c r="DJ660" t="s">
        <v>149</v>
      </c>
      <c r="DK660" t="s">
        <v>149</v>
      </c>
      <c r="DO660">
        <v>749</v>
      </c>
      <c r="DP660">
        <v>529</v>
      </c>
      <c r="DQ660" t="s">
        <v>1000</v>
      </c>
      <c r="DR660" t="s">
        <v>149</v>
      </c>
      <c r="DS660" s="24">
        <v>46160.384426226854</v>
      </c>
    </row>
    <row r="661" spans="1:123" x14ac:dyDescent="0.3">
      <c r="A661" t="s">
        <v>911</v>
      </c>
      <c r="D661" t="s">
        <v>223</v>
      </c>
      <c r="E661" s="24">
        <v>45397.509097222224</v>
      </c>
      <c r="G661" t="s">
        <v>90</v>
      </c>
      <c r="H661" t="s">
        <v>155</v>
      </c>
      <c r="I661" s="24"/>
      <c r="J661" s="24"/>
      <c r="K661" s="24"/>
      <c r="L661" s="24"/>
      <c r="N661" s="24"/>
      <c r="O661" s="24"/>
      <c r="P661" s="24"/>
      <c r="Q661" s="24"/>
      <c r="V661" s="24"/>
      <c r="W661" s="24"/>
      <c r="X661" s="24"/>
      <c r="Y661" s="24"/>
      <c r="AA661" s="24">
        <v>45852.766121203706</v>
      </c>
      <c r="AB661" s="24">
        <v>45852.766121203706</v>
      </c>
      <c r="AC661" s="24">
        <v>45853.643459999999</v>
      </c>
      <c r="AD661" s="24">
        <v>45853.643459999999</v>
      </c>
      <c r="AE661">
        <v>1</v>
      </c>
      <c r="AF661" s="24">
        <v>45853.643459999999</v>
      </c>
      <c r="AG661" s="24">
        <v>45853.643459999999</v>
      </c>
      <c r="AH661" s="24">
        <v>45854.411030451389</v>
      </c>
      <c r="AI661" s="24">
        <v>45854.411030451389</v>
      </c>
      <c r="AJ661">
        <v>1</v>
      </c>
      <c r="AK661" s="24"/>
      <c r="AL661" s="24"/>
      <c r="AM661" s="24"/>
      <c r="AN661" s="24"/>
      <c r="AP661" s="24"/>
      <c r="AQ661" s="24"/>
      <c r="AR661" s="24">
        <v>45425.428281678243</v>
      </c>
      <c r="AS661" s="24">
        <v>45425.428281678243</v>
      </c>
      <c r="AX661" s="24"/>
      <c r="AY661" s="24"/>
      <c r="AZ661" s="24"/>
      <c r="BA661" s="24"/>
      <c r="BC661" s="24"/>
      <c r="BD661" s="24"/>
      <c r="BE661" s="24"/>
      <c r="BF661" s="24"/>
      <c r="BH661" s="24">
        <v>45425.428281678243</v>
      </c>
      <c r="BI661" s="24">
        <v>45425.428281678243</v>
      </c>
      <c r="BJ661" s="24">
        <v>45852.766121203706</v>
      </c>
      <c r="BK661" s="24">
        <v>45852.766121203706</v>
      </c>
      <c r="BL661">
        <v>1</v>
      </c>
      <c r="BM661" s="24"/>
      <c r="BN661" s="24"/>
      <c r="BO661" s="24"/>
      <c r="BP661" s="24"/>
      <c r="BR661" s="24">
        <v>45854.411030451389</v>
      </c>
      <c r="BS661" s="24">
        <v>45854.411030451389</v>
      </c>
      <c r="BT661" s="24">
        <v>45854.411160949072</v>
      </c>
      <c r="BU661" s="24">
        <v>45854.411160949072</v>
      </c>
      <c r="BV661">
        <v>1</v>
      </c>
      <c r="BW661" s="24"/>
      <c r="BX661" s="24"/>
      <c r="BY661" s="24"/>
      <c r="BZ661" s="24"/>
      <c r="CB661" s="24"/>
      <c r="CC661" s="24"/>
      <c r="CE661" s="24">
        <v>45854.411160949072</v>
      </c>
      <c r="CF661" s="24">
        <v>45854.411160949072</v>
      </c>
      <c r="CG661">
        <v>1</v>
      </c>
      <c r="CH661" s="24"/>
      <c r="CI661" s="24"/>
      <c r="CJ661" s="24"/>
      <c r="CK661" s="24"/>
      <c r="DE661" s="24"/>
      <c r="DF661" s="24"/>
      <c r="DG661" s="24"/>
      <c r="DH661" s="24"/>
      <c r="DJ661" t="s">
        <v>149</v>
      </c>
      <c r="DK661" t="s">
        <v>149</v>
      </c>
      <c r="DM661">
        <v>429</v>
      </c>
      <c r="DN661">
        <v>2</v>
      </c>
      <c r="DQ661" t="s">
        <v>1000</v>
      </c>
      <c r="DR661" t="s">
        <v>149</v>
      </c>
      <c r="DS661" s="24">
        <v>46160.384426226854</v>
      </c>
    </row>
    <row r="662" spans="1:123" x14ac:dyDescent="0.3">
      <c r="A662" t="s">
        <v>912</v>
      </c>
      <c r="D662" t="s">
        <v>225</v>
      </c>
      <c r="E662" s="24">
        <v>45394.641863425924</v>
      </c>
      <c r="G662" t="s">
        <v>150</v>
      </c>
      <c r="H662" t="s">
        <v>155</v>
      </c>
      <c r="I662" s="24"/>
      <c r="J662" s="24"/>
      <c r="K662" s="24"/>
      <c r="L662" s="24"/>
      <c r="N662" s="24"/>
      <c r="O662" s="24"/>
      <c r="P662" s="24"/>
      <c r="Q662" s="24"/>
      <c r="V662" s="24"/>
      <c r="W662" s="24"/>
      <c r="X662" s="24"/>
      <c r="Y662" s="24"/>
      <c r="AA662" s="24"/>
      <c r="AB662" s="24"/>
      <c r="AC662" s="24"/>
      <c r="AD662" s="24"/>
      <c r="AF662" s="24"/>
      <c r="AG662" s="24"/>
      <c r="AH662" s="24"/>
      <c r="AI662" s="24"/>
      <c r="AK662" s="24"/>
      <c r="AL662" s="24"/>
      <c r="AM662" s="24"/>
      <c r="AN662" s="24"/>
      <c r="AP662" s="24"/>
      <c r="AQ662" s="24"/>
      <c r="AR662" s="24">
        <v>46003.56217784722</v>
      </c>
      <c r="AS662" s="24">
        <v>46003.56217784722</v>
      </c>
      <c r="AX662" s="24"/>
      <c r="AY662" s="24"/>
      <c r="AZ662" s="24"/>
      <c r="BA662" s="24"/>
      <c r="BC662" s="24"/>
      <c r="BD662" s="24"/>
      <c r="BE662" s="24"/>
      <c r="BF662" s="24"/>
      <c r="BH662" s="24"/>
      <c r="BI662" s="24"/>
      <c r="BJ662" s="24"/>
      <c r="BK662" s="24"/>
      <c r="BM662" s="24"/>
      <c r="BN662" s="24"/>
      <c r="BO662" s="24"/>
      <c r="BP662" s="24"/>
      <c r="BR662" s="24"/>
      <c r="BS662" s="24"/>
      <c r="BT662" s="24"/>
      <c r="BU662" s="24"/>
      <c r="BW662" s="24"/>
      <c r="BX662" s="24"/>
      <c r="BY662" s="24"/>
      <c r="BZ662" s="24"/>
      <c r="CB662" s="24">
        <v>46003.56217784722</v>
      </c>
      <c r="CC662" s="24">
        <v>46003.56217784722</v>
      </c>
      <c r="CD662">
        <v>1</v>
      </c>
      <c r="CE662" s="24"/>
      <c r="CF662" s="24"/>
      <c r="CH662" s="24"/>
      <c r="CI662" s="24"/>
      <c r="CJ662" s="24"/>
      <c r="CK662" s="24"/>
      <c r="DE662" s="24"/>
      <c r="DF662" s="24"/>
      <c r="DG662" s="24"/>
      <c r="DH662" s="24"/>
      <c r="DJ662" t="s">
        <v>149</v>
      </c>
      <c r="DK662" t="s">
        <v>149</v>
      </c>
      <c r="DQ662" t="s">
        <v>1000</v>
      </c>
      <c r="DR662" t="s">
        <v>149</v>
      </c>
      <c r="DS662" s="24">
        <v>46160.384426226854</v>
      </c>
    </row>
    <row r="663" spans="1:123" x14ac:dyDescent="0.3">
      <c r="A663" t="s">
        <v>913</v>
      </c>
      <c r="D663" t="s">
        <v>225</v>
      </c>
      <c r="E663" s="24">
        <v>45394.638136574074</v>
      </c>
      <c r="G663" t="s">
        <v>150</v>
      </c>
      <c r="H663" t="s">
        <v>155</v>
      </c>
      <c r="I663" s="24"/>
      <c r="J663" s="24"/>
      <c r="K663" s="24"/>
      <c r="L663" s="24"/>
      <c r="N663" s="24"/>
      <c r="O663" s="24"/>
      <c r="P663" s="24"/>
      <c r="Q663" s="24"/>
      <c r="V663" s="24"/>
      <c r="W663" s="24"/>
      <c r="X663" s="24"/>
      <c r="Y663" s="24"/>
      <c r="AA663" s="24"/>
      <c r="AB663" s="24"/>
      <c r="AC663" s="24"/>
      <c r="AD663" s="24"/>
      <c r="AF663" s="24"/>
      <c r="AG663" s="24"/>
      <c r="AH663" s="24"/>
      <c r="AI663" s="24"/>
      <c r="AK663" s="24"/>
      <c r="AL663" s="24"/>
      <c r="AM663" s="24"/>
      <c r="AN663" s="24"/>
      <c r="AP663" s="24"/>
      <c r="AQ663" s="24"/>
      <c r="AR663" s="24">
        <v>46003.443669340275</v>
      </c>
      <c r="AS663" s="24">
        <v>46003.443669340275</v>
      </c>
      <c r="AX663" s="24"/>
      <c r="AY663" s="24"/>
      <c r="AZ663" s="24"/>
      <c r="BA663" s="24"/>
      <c r="BC663" s="24"/>
      <c r="BD663" s="24"/>
      <c r="BE663" s="24"/>
      <c r="BF663" s="24"/>
      <c r="BH663" s="24"/>
      <c r="BI663" s="24"/>
      <c r="BJ663" s="24"/>
      <c r="BK663" s="24"/>
      <c r="BM663" s="24"/>
      <c r="BN663" s="24"/>
      <c r="BO663" s="24"/>
      <c r="BP663" s="24"/>
      <c r="BR663" s="24"/>
      <c r="BS663" s="24"/>
      <c r="BT663" s="24"/>
      <c r="BU663" s="24"/>
      <c r="BW663" s="24"/>
      <c r="BX663" s="24"/>
      <c r="BY663" s="24"/>
      <c r="BZ663" s="24"/>
      <c r="CB663" s="24">
        <v>46003.443669340275</v>
      </c>
      <c r="CC663" s="24">
        <v>46003.443669340275</v>
      </c>
      <c r="CD663">
        <v>1</v>
      </c>
      <c r="CE663" s="24"/>
      <c r="CF663" s="24"/>
      <c r="CH663" s="24"/>
      <c r="CI663" s="24"/>
      <c r="CJ663" s="24"/>
      <c r="CK663" s="24"/>
      <c r="DE663" s="24"/>
      <c r="DF663" s="24"/>
      <c r="DG663" s="24"/>
      <c r="DH663" s="24"/>
      <c r="DJ663" t="s">
        <v>149</v>
      </c>
      <c r="DK663" t="s">
        <v>149</v>
      </c>
      <c r="DQ663" t="s">
        <v>1000</v>
      </c>
      <c r="DR663" t="s">
        <v>149</v>
      </c>
      <c r="DS663" s="24">
        <v>46160.384426226854</v>
      </c>
    </row>
    <row r="664" spans="1:123" x14ac:dyDescent="0.3">
      <c r="A664" t="s">
        <v>914</v>
      </c>
      <c r="D664" t="s">
        <v>224</v>
      </c>
      <c r="E664" s="24">
        <v>45393.546550925923</v>
      </c>
      <c r="G664" t="s">
        <v>150</v>
      </c>
      <c r="H664" t="s">
        <v>155</v>
      </c>
      <c r="I664" s="24"/>
      <c r="J664" s="24"/>
      <c r="K664" s="24"/>
      <c r="L664" s="24"/>
      <c r="N664" s="24"/>
      <c r="O664" s="24"/>
      <c r="P664" s="24"/>
      <c r="Q664" s="24"/>
      <c r="V664" s="24"/>
      <c r="W664" s="24"/>
      <c r="X664" s="24"/>
      <c r="Y664" s="24"/>
      <c r="AA664" s="24"/>
      <c r="AB664" s="24"/>
      <c r="AC664" s="24"/>
      <c r="AD664" s="24"/>
      <c r="AF664" s="24"/>
      <c r="AG664" s="24"/>
      <c r="AH664" s="24"/>
      <c r="AI664" s="24"/>
      <c r="AK664" s="24"/>
      <c r="AL664" s="24"/>
      <c r="AM664" s="24"/>
      <c r="AN664" s="24"/>
      <c r="AP664" s="24"/>
      <c r="AQ664" s="24"/>
      <c r="AR664" s="24">
        <v>45398.501459525462</v>
      </c>
      <c r="AS664" s="24">
        <v>45398.501459525462</v>
      </c>
      <c r="AX664" s="24"/>
      <c r="AY664" s="24"/>
      <c r="AZ664" s="24"/>
      <c r="BA664" s="24"/>
      <c r="BC664" s="24"/>
      <c r="BD664" s="24"/>
      <c r="BE664" s="24"/>
      <c r="BF664" s="24"/>
      <c r="BH664" s="24">
        <v>45398.501459525462</v>
      </c>
      <c r="BI664" s="24">
        <v>45398.501459525462</v>
      </c>
      <c r="BJ664" s="24">
        <v>46027.587637534722</v>
      </c>
      <c r="BK664" s="24">
        <v>46027.587637534722</v>
      </c>
      <c r="BL664">
        <v>1</v>
      </c>
      <c r="BM664" s="24"/>
      <c r="BN664" s="24"/>
      <c r="BO664" s="24"/>
      <c r="BP664" s="24"/>
      <c r="BR664" s="24"/>
      <c r="BS664" s="24"/>
      <c r="BT664" s="24"/>
      <c r="BU664" s="24"/>
      <c r="BW664" s="24"/>
      <c r="BX664" s="24"/>
      <c r="BY664" s="24"/>
      <c r="BZ664" s="24"/>
      <c r="CB664" s="24">
        <v>46027.587637534722</v>
      </c>
      <c r="CC664" s="24">
        <v>46027.587637534722</v>
      </c>
      <c r="CD664">
        <v>1</v>
      </c>
      <c r="CE664" s="24"/>
      <c r="CF664" s="24"/>
      <c r="CH664" s="24"/>
      <c r="CI664" s="24"/>
      <c r="CJ664" s="24"/>
      <c r="CK664" s="24"/>
      <c r="DE664" s="24"/>
      <c r="DF664" s="24"/>
      <c r="DG664" s="24"/>
      <c r="DH664" s="24"/>
      <c r="DJ664" t="s">
        <v>149</v>
      </c>
      <c r="DK664" t="s">
        <v>149</v>
      </c>
      <c r="DQ664" t="s">
        <v>1000</v>
      </c>
      <c r="DR664" t="s">
        <v>149</v>
      </c>
      <c r="DS664" s="24">
        <v>46160.384426226854</v>
      </c>
    </row>
    <row r="665" spans="1:123" x14ac:dyDescent="0.3">
      <c r="A665" t="s">
        <v>915</v>
      </c>
      <c r="D665" t="s">
        <v>225</v>
      </c>
      <c r="E665" s="24">
        <v>45392.475335648145</v>
      </c>
      <c r="G665" t="s">
        <v>150</v>
      </c>
      <c r="H665" t="s">
        <v>155</v>
      </c>
      <c r="I665" s="24"/>
      <c r="J665" s="24"/>
      <c r="K665" s="24"/>
      <c r="L665" s="24"/>
      <c r="N665" s="24"/>
      <c r="O665" s="24"/>
      <c r="P665" s="24"/>
      <c r="Q665" s="24"/>
      <c r="V665" s="24"/>
      <c r="W665" s="24"/>
      <c r="X665" s="24"/>
      <c r="Y665" s="24"/>
      <c r="AA665" s="24"/>
      <c r="AB665" s="24"/>
      <c r="AC665" s="24"/>
      <c r="AD665" s="24"/>
      <c r="AF665" s="24"/>
      <c r="AG665" s="24"/>
      <c r="AH665" s="24"/>
      <c r="AI665" s="24"/>
      <c r="AK665" s="24"/>
      <c r="AL665" s="24"/>
      <c r="AM665" s="24"/>
      <c r="AN665" s="24"/>
      <c r="AP665" s="24"/>
      <c r="AQ665" s="24"/>
      <c r="AR665" s="24">
        <v>46154.366581678238</v>
      </c>
      <c r="AS665" s="24">
        <v>46154.366581678238</v>
      </c>
      <c r="AX665" s="24"/>
      <c r="AY665" s="24"/>
      <c r="AZ665" s="24"/>
      <c r="BA665" s="24"/>
      <c r="BC665" s="24"/>
      <c r="BD665" s="24"/>
      <c r="BE665" s="24"/>
      <c r="BF665" s="24"/>
      <c r="BH665" s="24"/>
      <c r="BI665" s="24"/>
      <c r="BJ665" s="24"/>
      <c r="BK665" s="24"/>
      <c r="BM665" s="24"/>
      <c r="BN665" s="24"/>
      <c r="BO665" s="24"/>
      <c r="BP665" s="24"/>
      <c r="BR665" s="24"/>
      <c r="BS665" s="24"/>
      <c r="BT665" s="24"/>
      <c r="BU665" s="24"/>
      <c r="BW665" s="24"/>
      <c r="BX665" s="24"/>
      <c r="BY665" s="24"/>
      <c r="BZ665" s="24"/>
      <c r="CB665" s="24">
        <v>46154.366581678238</v>
      </c>
      <c r="CC665" s="24">
        <v>46154.366581678238</v>
      </c>
      <c r="CD665">
        <v>1</v>
      </c>
      <c r="CE665" s="24"/>
      <c r="CF665" s="24"/>
      <c r="CH665" s="24"/>
      <c r="CI665" s="24"/>
      <c r="CJ665" s="24"/>
      <c r="CK665" s="24"/>
      <c r="DE665" s="24"/>
      <c r="DF665" s="24"/>
      <c r="DG665" s="24"/>
      <c r="DH665" s="24"/>
      <c r="DJ665" t="s">
        <v>149</v>
      </c>
      <c r="DK665" t="s">
        <v>149</v>
      </c>
      <c r="DQ665" t="s">
        <v>1000</v>
      </c>
      <c r="DR665" t="s">
        <v>149</v>
      </c>
      <c r="DS665" s="24">
        <v>46160.384426226854</v>
      </c>
    </row>
    <row r="666" spans="1:123" x14ac:dyDescent="0.3">
      <c r="A666" t="s">
        <v>916</v>
      </c>
      <c r="D666" t="s">
        <v>225</v>
      </c>
      <c r="E666" s="24">
        <v>45392.472222222219</v>
      </c>
      <c r="G666" t="s">
        <v>102</v>
      </c>
      <c r="H666" t="s">
        <v>154</v>
      </c>
      <c r="I666" s="24"/>
      <c r="J666" s="24"/>
      <c r="K666" s="24"/>
      <c r="L666" s="24"/>
      <c r="N666" s="24"/>
      <c r="O666" s="24"/>
      <c r="P666" s="24"/>
      <c r="Q666" s="24"/>
      <c r="V666" s="24"/>
      <c r="W666" s="24"/>
      <c r="X666" s="24"/>
      <c r="Y666" s="24"/>
      <c r="AA666" s="24"/>
      <c r="AB666" s="24"/>
      <c r="AC666" s="24"/>
      <c r="AD666" s="24"/>
      <c r="AF666" s="24"/>
      <c r="AG666" s="24"/>
      <c r="AH666" s="24"/>
      <c r="AI666" s="24"/>
      <c r="AK666" s="24"/>
      <c r="AL666" s="24"/>
      <c r="AM666" s="24"/>
      <c r="AN666" s="24"/>
      <c r="AP666" s="24"/>
      <c r="AQ666" s="24"/>
      <c r="AR666" s="24"/>
      <c r="AS666" s="24"/>
      <c r="AX666" s="24"/>
      <c r="AY666" s="24"/>
      <c r="AZ666" s="24"/>
      <c r="BA666" s="24"/>
      <c r="BC666" s="24"/>
      <c r="BD666" s="24"/>
      <c r="BE666" s="24"/>
      <c r="BF666" s="24"/>
      <c r="BH666" s="24"/>
      <c r="BI666" s="24"/>
      <c r="BJ666" s="24"/>
      <c r="BK666" s="24"/>
      <c r="BM666" s="24"/>
      <c r="BN666" s="24"/>
      <c r="BO666" s="24"/>
      <c r="BP666" s="24"/>
      <c r="BR666" s="24"/>
      <c r="BS666" s="24"/>
      <c r="BT666" s="24"/>
      <c r="BU666" s="24"/>
      <c r="BW666" s="24"/>
      <c r="BX666" s="24"/>
      <c r="BY666" s="24"/>
      <c r="BZ666" s="24"/>
      <c r="CB666" s="24"/>
      <c r="CC666" s="24"/>
      <c r="CE666" s="24"/>
      <c r="CF666" s="24"/>
      <c r="CH666" s="24"/>
      <c r="CI666" s="24"/>
      <c r="CJ666" s="24"/>
      <c r="CK666" s="24"/>
      <c r="DE666" s="24"/>
      <c r="DF666" s="24"/>
      <c r="DG666" s="24"/>
      <c r="DH666" s="24"/>
      <c r="DJ666" t="s">
        <v>149</v>
      </c>
      <c r="DK666" t="s">
        <v>149</v>
      </c>
      <c r="DQ666" t="s">
        <v>1000</v>
      </c>
      <c r="DR666" t="s">
        <v>149</v>
      </c>
      <c r="DS666" s="24">
        <v>46160.384426226854</v>
      </c>
    </row>
    <row r="667" spans="1:123" x14ac:dyDescent="0.3">
      <c r="A667" t="s">
        <v>917</v>
      </c>
      <c r="D667" t="s">
        <v>225</v>
      </c>
      <c r="E667" s="24">
        <v>45392.470601851855</v>
      </c>
      <c r="G667" t="s">
        <v>150</v>
      </c>
      <c r="H667" t="s">
        <v>155</v>
      </c>
      <c r="I667" s="24"/>
      <c r="J667" s="24"/>
      <c r="K667" s="24"/>
      <c r="L667" s="24"/>
      <c r="N667" s="24"/>
      <c r="O667" s="24"/>
      <c r="P667" s="24"/>
      <c r="Q667" s="24"/>
      <c r="V667" s="24"/>
      <c r="W667" s="24"/>
      <c r="X667" s="24"/>
      <c r="Y667" s="24"/>
      <c r="AA667" s="24"/>
      <c r="AB667" s="24"/>
      <c r="AC667" s="24"/>
      <c r="AD667" s="24"/>
      <c r="AF667" s="24"/>
      <c r="AG667" s="24"/>
      <c r="AH667" s="24"/>
      <c r="AI667" s="24"/>
      <c r="AK667" s="24"/>
      <c r="AL667" s="24"/>
      <c r="AM667" s="24"/>
      <c r="AN667" s="24"/>
      <c r="AP667" s="24"/>
      <c r="AQ667" s="24"/>
      <c r="AR667" s="24">
        <v>46154.366989212962</v>
      </c>
      <c r="AS667" s="24">
        <v>46154.366989212962</v>
      </c>
      <c r="AX667" s="24"/>
      <c r="AY667" s="24"/>
      <c r="AZ667" s="24"/>
      <c r="BA667" s="24"/>
      <c r="BC667" s="24"/>
      <c r="BD667" s="24"/>
      <c r="BE667" s="24"/>
      <c r="BF667" s="24"/>
      <c r="BH667" s="24"/>
      <c r="BI667" s="24"/>
      <c r="BJ667" s="24"/>
      <c r="BK667" s="24"/>
      <c r="BM667" s="24"/>
      <c r="BN667" s="24"/>
      <c r="BO667" s="24"/>
      <c r="BP667" s="24"/>
      <c r="BR667" s="24"/>
      <c r="BS667" s="24"/>
      <c r="BT667" s="24"/>
      <c r="BU667" s="24"/>
      <c r="BW667" s="24"/>
      <c r="BX667" s="24"/>
      <c r="BY667" s="24"/>
      <c r="BZ667" s="24"/>
      <c r="CB667" s="24">
        <v>46154.366989212962</v>
      </c>
      <c r="CC667" s="24">
        <v>46154.366989212962</v>
      </c>
      <c r="CD667">
        <v>1</v>
      </c>
      <c r="CE667" s="24"/>
      <c r="CF667" s="24"/>
      <c r="CH667" s="24"/>
      <c r="CI667" s="24"/>
      <c r="CJ667" s="24"/>
      <c r="CK667" s="24"/>
      <c r="DE667" s="24"/>
      <c r="DF667" s="24"/>
      <c r="DG667" s="24"/>
      <c r="DH667" s="24"/>
      <c r="DJ667" t="s">
        <v>149</v>
      </c>
      <c r="DK667" t="s">
        <v>149</v>
      </c>
      <c r="DQ667" t="s">
        <v>1000</v>
      </c>
      <c r="DR667" t="s">
        <v>149</v>
      </c>
      <c r="DS667" s="24">
        <v>46160.384426226854</v>
      </c>
    </row>
    <row r="668" spans="1:123" x14ac:dyDescent="0.3">
      <c r="A668" t="s">
        <v>918</v>
      </c>
      <c r="D668" t="s">
        <v>225</v>
      </c>
      <c r="E668" s="24">
        <v>45391.714548611111</v>
      </c>
      <c r="G668" t="s">
        <v>107</v>
      </c>
      <c r="H668" t="s">
        <v>154</v>
      </c>
      <c r="I668" s="24"/>
      <c r="J668" s="24"/>
      <c r="K668" s="24"/>
      <c r="L668" s="24"/>
      <c r="N668" s="24"/>
      <c r="O668" s="24"/>
      <c r="P668" s="24"/>
      <c r="Q668" s="24"/>
      <c r="V668" s="24"/>
      <c r="W668" s="24"/>
      <c r="X668" s="24"/>
      <c r="Y668" s="24"/>
      <c r="AA668" s="24"/>
      <c r="AB668" s="24"/>
      <c r="AC668" s="24"/>
      <c r="AD668" s="24"/>
      <c r="AF668" s="24"/>
      <c r="AG668" s="24"/>
      <c r="AH668" s="24"/>
      <c r="AI668" s="24"/>
      <c r="AK668" s="24"/>
      <c r="AL668" s="24"/>
      <c r="AM668" s="24"/>
      <c r="AN668" s="24"/>
      <c r="AP668" s="24">
        <v>45397.497947592594</v>
      </c>
      <c r="AQ668" s="24">
        <v>45397.497947592594</v>
      </c>
      <c r="AR668" s="24">
        <v>45440.467120104164</v>
      </c>
      <c r="AS668" s="24">
        <v>45440.467120104164</v>
      </c>
      <c r="AT668">
        <v>1</v>
      </c>
      <c r="AX668" s="24"/>
      <c r="AY668" s="24"/>
      <c r="AZ668" s="24"/>
      <c r="BA668" s="24"/>
      <c r="BC668" s="24"/>
      <c r="BD668" s="24"/>
      <c r="BE668" s="24"/>
      <c r="BF668" s="24"/>
      <c r="BH668" s="24">
        <v>45440.467120104164</v>
      </c>
      <c r="BI668" s="24">
        <v>45440.467120104164</v>
      </c>
      <c r="BJ668" s="24"/>
      <c r="BK668" s="24"/>
      <c r="BL668">
        <v>1</v>
      </c>
      <c r="BM668" s="24"/>
      <c r="BN668" s="24"/>
      <c r="BO668" s="24"/>
      <c r="BP668" s="24"/>
      <c r="BR668" s="24"/>
      <c r="BS668" s="24"/>
      <c r="BT668" s="24"/>
      <c r="BU668" s="24"/>
      <c r="BW668" s="24"/>
      <c r="BX668" s="24"/>
      <c r="BY668" s="24"/>
      <c r="BZ668" s="24"/>
      <c r="CB668" s="24"/>
      <c r="CC668" s="24"/>
      <c r="CE668" s="24"/>
      <c r="CF668" s="24"/>
      <c r="CH668" s="24"/>
      <c r="CI668" s="24"/>
      <c r="CJ668" s="24"/>
      <c r="CK668" s="24"/>
      <c r="DE668" s="24"/>
      <c r="DF668" s="24"/>
      <c r="DG668" s="24"/>
      <c r="DH668" s="24"/>
      <c r="DJ668" t="s">
        <v>149</v>
      </c>
      <c r="DK668" t="s">
        <v>149</v>
      </c>
      <c r="DP668">
        <v>720</v>
      </c>
      <c r="DQ668" t="s">
        <v>1000</v>
      </c>
      <c r="DR668" t="s">
        <v>149</v>
      </c>
      <c r="DS668" s="24">
        <v>46160.384426226854</v>
      </c>
    </row>
    <row r="669" spans="1:123" x14ac:dyDescent="0.3">
      <c r="A669" t="s">
        <v>919</v>
      </c>
      <c r="D669" t="s">
        <v>223</v>
      </c>
      <c r="E669" s="24">
        <v>45391.709988425922</v>
      </c>
      <c r="G669" t="s">
        <v>102</v>
      </c>
      <c r="H669" t="s">
        <v>154</v>
      </c>
      <c r="I669" s="24"/>
      <c r="J669" s="24"/>
      <c r="K669" s="24"/>
      <c r="L669" s="24"/>
      <c r="N669" s="24"/>
      <c r="O669" s="24"/>
      <c r="P669" s="24"/>
      <c r="Q669" s="24"/>
      <c r="V669" s="24"/>
      <c r="W669" s="24"/>
      <c r="X669" s="24"/>
      <c r="Y669" s="24"/>
      <c r="AA669" s="24"/>
      <c r="AB669" s="24"/>
      <c r="AC669" s="24"/>
      <c r="AD669" s="24"/>
      <c r="AF669" s="24"/>
      <c r="AG669" s="24"/>
      <c r="AH669" s="24"/>
      <c r="AI669" s="24"/>
      <c r="AK669" s="24"/>
      <c r="AL669" s="24"/>
      <c r="AM669" s="24"/>
      <c r="AN669" s="24"/>
      <c r="AP669" s="24">
        <v>45408.420737696761</v>
      </c>
      <c r="AQ669" s="24">
        <v>45408.420737696761</v>
      </c>
      <c r="AR669" s="24"/>
      <c r="AS669" s="24"/>
      <c r="AT669">
        <v>1</v>
      </c>
      <c r="AX669" s="24"/>
      <c r="AY669" s="24"/>
      <c r="AZ669" s="24"/>
      <c r="BA669" s="24"/>
      <c r="BC669" s="24"/>
      <c r="BD669" s="24"/>
      <c r="BE669" s="24"/>
      <c r="BF669" s="24"/>
      <c r="BH669" s="24"/>
      <c r="BI669" s="24"/>
      <c r="BJ669" s="24"/>
      <c r="BK669" s="24"/>
      <c r="BM669" s="24"/>
      <c r="BN669" s="24"/>
      <c r="BO669" s="24"/>
      <c r="BP669" s="24"/>
      <c r="BR669" s="24"/>
      <c r="BS669" s="24"/>
      <c r="BT669" s="24"/>
      <c r="BU669" s="24"/>
      <c r="BW669" s="24"/>
      <c r="BX669" s="24"/>
      <c r="BY669" s="24"/>
      <c r="BZ669" s="24"/>
      <c r="CB669" s="24"/>
      <c r="CC669" s="24"/>
      <c r="CE669" s="24"/>
      <c r="CF669" s="24"/>
      <c r="CH669" s="24"/>
      <c r="CI669" s="24"/>
      <c r="CJ669" s="24"/>
      <c r="CK669" s="24"/>
      <c r="DE669" s="24"/>
      <c r="DF669" s="24"/>
      <c r="DG669" s="24"/>
      <c r="DH669" s="24"/>
      <c r="DJ669" t="s">
        <v>149</v>
      </c>
      <c r="DK669" t="s">
        <v>149</v>
      </c>
      <c r="DP669">
        <v>752</v>
      </c>
      <c r="DQ669" t="s">
        <v>1000</v>
      </c>
      <c r="DR669" t="s">
        <v>149</v>
      </c>
      <c r="DS669" s="24">
        <v>46160.384426226854</v>
      </c>
    </row>
    <row r="670" spans="1:123" x14ac:dyDescent="0.3">
      <c r="A670" t="s">
        <v>920</v>
      </c>
      <c r="D670" t="s">
        <v>225</v>
      </c>
      <c r="E670" s="24">
        <v>45391.543668981481</v>
      </c>
      <c r="G670" t="s">
        <v>150</v>
      </c>
      <c r="H670" t="s">
        <v>155</v>
      </c>
      <c r="I670" s="24"/>
      <c r="J670" s="24"/>
      <c r="K670" s="24"/>
      <c r="L670" s="24"/>
      <c r="N670" s="24"/>
      <c r="O670" s="24"/>
      <c r="P670" s="24"/>
      <c r="Q670" s="24"/>
      <c r="V670" s="24"/>
      <c r="W670" s="24"/>
      <c r="X670" s="24"/>
      <c r="Y670" s="24"/>
      <c r="AA670" s="24"/>
      <c r="AB670" s="24"/>
      <c r="AC670" s="24"/>
      <c r="AD670" s="24"/>
      <c r="AF670" s="24"/>
      <c r="AG670" s="24"/>
      <c r="AH670" s="24"/>
      <c r="AI670" s="24"/>
      <c r="AK670" s="24"/>
      <c r="AL670" s="24"/>
      <c r="AM670" s="24"/>
      <c r="AN670" s="24"/>
      <c r="AP670" s="24"/>
      <c r="AQ670" s="24"/>
      <c r="AR670" s="24">
        <v>45398.493254236113</v>
      </c>
      <c r="AS670" s="24">
        <v>45398.493254236113</v>
      </c>
      <c r="AX670" s="24"/>
      <c r="AY670" s="24"/>
      <c r="AZ670" s="24"/>
      <c r="BA670" s="24"/>
      <c r="BC670" s="24"/>
      <c r="BD670" s="24"/>
      <c r="BE670" s="24"/>
      <c r="BF670" s="24"/>
      <c r="BH670" s="24">
        <v>45398.493254236113</v>
      </c>
      <c r="BI670" s="24">
        <v>45398.493254236113</v>
      </c>
      <c r="BJ670" s="24">
        <v>45825.346691747684</v>
      </c>
      <c r="BK670" s="24">
        <v>45825.346691747684</v>
      </c>
      <c r="BL670">
        <v>1</v>
      </c>
      <c r="BM670" s="24"/>
      <c r="BN670" s="24"/>
      <c r="BO670" s="24"/>
      <c r="BP670" s="24"/>
      <c r="BR670" s="24"/>
      <c r="BS670" s="24"/>
      <c r="BT670" s="24"/>
      <c r="BU670" s="24"/>
      <c r="BW670" s="24"/>
      <c r="BX670" s="24"/>
      <c r="BY670" s="24"/>
      <c r="BZ670" s="24"/>
      <c r="CB670" s="24">
        <v>45825.346691747684</v>
      </c>
      <c r="CC670" s="24">
        <v>45825.346691747684</v>
      </c>
      <c r="CD670">
        <v>1</v>
      </c>
      <c r="CE670" s="24"/>
      <c r="CF670" s="24"/>
      <c r="CH670" s="24"/>
      <c r="CI670" s="24"/>
      <c r="CJ670" s="24"/>
      <c r="CK670" s="24"/>
      <c r="DE670" s="24"/>
      <c r="DF670" s="24"/>
      <c r="DG670" s="24"/>
      <c r="DH670" s="24"/>
      <c r="DJ670" t="s">
        <v>149</v>
      </c>
      <c r="DK670" t="s">
        <v>149</v>
      </c>
      <c r="DQ670" t="s">
        <v>1000</v>
      </c>
      <c r="DR670" t="s">
        <v>149</v>
      </c>
      <c r="DS670" s="24">
        <v>46160.384426226854</v>
      </c>
    </row>
    <row r="671" spans="1:123" x14ac:dyDescent="0.3">
      <c r="A671" t="s">
        <v>921</v>
      </c>
      <c r="D671" t="s">
        <v>225</v>
      </c>
      <c r="E671" s="24">
        <v>45376.72923611111</v>
      </c>
      <c r="G671" t="s">
        <v>150</v>
      </c>
      <c r="H671" t="s">
        <v>155</v>
      </c>
      <c r="I671" s="24"/>
      <c r="J671" s="24"/>
      <c r="K671" s="24"/>
      <c r="L671" s="24"/>
      <c r="N671" s="24"/>
      <c r="O671" s="24"/>
      <c r="P671" s="24"/>
      <c r="Q671" s="24"/>
      <c r="V671" s="24"/>
      <c r="W671" s="24"/>
      <c r="X671" s="24"/>
      <c r="Y671" s="24"/>
      <c r="AA671" s="24"/>
      <c r="AB671" s="24"/>
      <c r="AC671" s="24"/>
      <c r="AD671" s="24"/>
      <c r="AF671" s="24"/>
      <c r="AG671" s="24"/>
      <c r="AH671" s="24"/>
      <c r="AI671" s="24"/>
      <c r="AK671" s="24"/>
      <c r="AL671" s="24"/>
      <c r="AM671" s="24"/>
      <c r="AN671" s="24"/>
      <c r="AP671" s="24"/>
      <c r="AQ671" s="24"/>
      <c r="AR671" s="24">
        <v>45968.636726979166</v>
      </c>
      <c r="AS671" s="24">
        <v>45968.636726979166</v>
      </c>
      <c r="AX671" s="24"/>
      <c r="AY671" s="24"/>
      <c r="AZ671" s="24"/>
      <c r="BA671" s="24"/>
      <c r="BC671" s="24"/>
      <c r="BD671" s="24"/>
      <c r="BE671" s="24"/>
      <c r="BF671" s="24"/>
      <c r="BH671" s="24"/>
      <c r="BI671" s="24"/>
      <c r="BJ671" s="24"/>
      <c r="BK671" s="24"/>
      <c r="BM671" s="24"/>
      <c r="BN671" s="24"/>
      <c r="BO671" s="24"/>
      <c r="BP671" s="24"/>
      <c r="BR671" s="24"/>
      <c r="BS671" s="24"/>
      <c r="BT671" s="24"/>
      <c r="BU671" s="24"/>
      <c r="BW671" s="24"/>
      <c r="BX671" s="24"/>
      <c r="BY671" s="24"/>
      <c r="BZ671" s="24"/>
      <c r="CB671" s="24">
        <v>45968.636726979166</v>
      </c>
      <c r="CC671" s="24">
        <v>45968.636726979166</v>
      </c>
      <c r="CD671">
        <v>1</v>
      </c>
      <c r="CE671" s="24"/>
      <c r="CF671" s="24"/>
      <c r="CH671" s="24"/>
      <c r="CI671" s="24"/>
      <c r="CJ671" s="24"/>
      <c r="CK671" s="24"/>
      <c r="DE671" s="24"/>
      <c r="DF671" s="24"/>
      <c r="DG671" s="24"/>
      <c r="DH671" s="24"/>
      <c r="DJ671" t="s">
        <v>149</v>
      </c>
      <c r="DK671" t="s">
        <v>149</v>
      </c>
      <c r="DQ671" t="s">
        <v>1000</v>
      </c>
      <c r="DR671" t="s">
        <v>149</v>
      </c>
      <c r="DS671" s="24">
        <v>46160.384426226854</v>
      </c>
    </row>
    <row r="672" spans="1:123" x14ac:dyDescent="0.3">
      <c r="A672" t="s">
        <v>922</v>
      </c>
      <c r="D672" t="s">
        <v>225</v>
      </c>
      <c r="E672" s="24">
        <v>45376.727986111109</v>
      </c>
      <c r="G672" t="s">
        <v>90</v>
      </c>
      <c r="H672" t="s">
        <v>155</v>
      </c>
      <c r="I672" s="24"/>
      <c r="J672" s="24"/>
      <c r="K672" s="24"/>
      <c r="L672" s="24"/>
      <c r="N672" s="24"/>
      <c r="O672" s="24"/>
      <c r="P672" s="24"/>
      <c r="Q672" s="24"/>
      <c r="V672" s="24"/>
      <c r="W672" s="24"/>
      <c r="X672" s="24"/>
      <c r="Y672" s="24"/>
      <c r="AA672" s="24">
        <v>45786.414082453703</v>
      </c>
      <c r="AB672" s="24">
        <v>45785.396271111109</v>
      </c>
      <c r="AC672" s="24">
        <v>45786.389158356484</v>
      </c>
      <c r="AD672" s="24">
        <v>45786.432437928241</v>
      </c>
      <c r="AE672">
        <v>2</v>
      </c>
      <c r="AF672" s="24">
        <v>45786.432437928241</v>
      </c>
      <c r="AG672" s="24">
        <v>45786.389158356484</v>
      </c>
      <c r="AH672" s="24">
        <v>45786.414082453703</v>
      </c>
      <c r="AI672" s="24">
        <v>45791.70899446759</v>
      </c>
      <c r="AJ672">
        <v>2</v>
      </c>
      <c r="AK672" s="24">
        <v>45791.70899446759</v>
      </c>
      <c r="AL672" s="24">
        <v>45791.70899446759</v>
      </c>
      <c r="AM672" s="24">
        <v>45792.366679606479</v>
      </c>
      <c r="AN672" s="24">
        <v>45792.366679606479</v>
      </c>
      <c r="AO672">
        <v>1</v>
      </c>
      <c r="AP672" s="24"/>
      <c r="AQ672" s="24"/>
      <c r="AR672" s="24">
        <v>45785.396198634262</v>
      </c>
      <c r="AS672" s="24">
        <v>45785.396198634262</v>
      </c>
      <c r="AX672" s="24"/>
      <c r="AY672" s="24"/>
      <c r="AZ672" s="24"/>
      <c r="BA672" s="24"/>
      <c r="BC672" s="24">
        <v>45792.407148090278</v>
      </c>
      <c r="BD672" s="24">
        <v>45792.407148090278</v>
      </c>
      <c r="BE672" s="24">
        <v>45803.643645057869</v>
      </c>
      <c r="BF672" s="24">
        <v>45803.643645057869</v>
      </c>
      <c r="BG672">
        <v>1</v>
      </c>
      <c r="BH672" s="24">
        <v>45785.396198634262</v>
      </c>
      <c r="BI672" s="24">
        <v>45785.396198634262</v>
      </c>
      <c r="BJ672" s="24">
        <v>45785.396271111109</v>
      </c>
      <c r="BK672" s="24">
        <v>45785.396271111109</v>
      </c>
      <c r="BL672">
        <v>1</v>
      </c>
      <c r="BM672" s="24"/>
      <c r="BN672" s="24"/>
      <c r="BO672" s="24"/>
      <c r="BP672" s="24"/>
      <c r="BR672" s="24">
        <v>45792.366679606479</v>
      </c>
      <c r="BS672" s="24">
        <v>45792.366679606479</v>
      </c>
      <c r="BT672" s="24">
        <v>45792.407148090278</v>
      </c>
      <c r="BU672" s="24">
        <v>45792.407148090278</v>
      </c>
      <c r="BV672">
        <v>1</v>
      </c>
      <c r="BW672" s="24"/>
      <c r="BX672" s="24"/>
      <c r="BY672" s="24"/>
      <c r="BZ672" s="24"/>
      <c r="CB672" s="24"/>
      <c r="CC672" s="24"/>
      <c r="CE672" s="24">
        <v>45803.643645057869</v>
      </c>
      <c r="CF672" s="24">
        <v>45803.643645057869</v>
      </c>
      <c r="CG672">
        <v>1</v>
      </c>
      <c r="CH672" s="24"/>
      <c r="CI672" s="24"/>
      <c r="CJ672" s="24"/>
      <c r="CK672" s="24"/>
      <c r="DE672" s="24"/>
      <c r="DF672" s="24"/>
      <c r="DG672" s="24"/>
      <c r="DH672" s="24"/>
      <c r="DJ672" t="s">
        <v>149</v>
      </c>
      <c r="DK672" t="s">
        <v>149</v>
      </c>
      <c r="DM672">
        <v>19</v>
      </c>
      <c r="DN672">
        <v>19</v>
      </c>
      <c r="DQ672" t="s">
        <v>1000</v>
      </c>
      <c r="DR672" t="s">
        <v>149</v>
      </c>
      <c r="DS672" s="24">
        <v>46160.384426226854</v>
      </c>
    </row>
    <row r="673" spans="1:123" x14ac:dyDescent="0.3">
      <c r="A673" t="s">
        <v>923</v>
      </c>
      <c r="D673" t="s">
        <v>225</v>
      </c>
      <c r="E673" s="24">
        <v>45372.520046296297</v>
      </c>
      <c r="G673" t="s">
        <v>90</v>
      </c>
      <c r="H673" t="s">
        <v>155</v>
      </c>
      <c r="I673" s="24"/>
      <c r="J673" s="24"/>
      <c r="K673" s="24"/>
      <c r="L673" s="24"/>
      <c r="N673" s="24"/>
      <c r="O673" s="24"/>
      <c r="P673" s="24"/>
      <c r="Q673" s="24"/>
      <c r="V673" s="24"/>
      <c r="W673" s="24"/>
      <c r="X673" s="24"/>
      <c r="Y673" s="24"/>
      <c r="AA673" s="24">
        <v>45372.521421041667</v>
      </c>
      <c r="AB673" s="24">
        <v>45372.521421041667</v>
      </c>
      <c r="AC673" s="24">
        <v>45372.595612870369</v>
      </c>
      <c r="AD673" s="24">
        <v>45372.595612870369</v>
      </c>
      <c r="AE673">
        <v>1</v>
      </c>
      <c r="AF673" s="24">
        <v>45372.595612870369</v>
      </c>
      <c r="AG673" s="24">
        <v>45372.595612870369</v>
      </c>
      <c r="AH673" s="24">
        <v>45373.404672581019</v>
      </c>
      <c r="AI673" s="24">
        <v>45373.404672581019</v>
      </c>
      <c r="AJ673">
        <v>1</v>
      </c>
      <c r="AK673" s="24">
        <v>45373.404672581019</v>
      </c>
      <c r="AL673" s="24">
        <v>45373.404672581019</v>
      </c>
      <c r="AM673" s="24">
        <v>45373.404730810187</v>
      </c>
      <c r="AN673" s="24">
        <v>45373.404730810187</v>
      </c>
      <c r="AO673">
        <v>1</v>
      </c>
      <c r="AP673" s="24"/>
      <c r="AQ673" s="24"/>
      <c r="AR673" s="24">
        <v>45372.520967962962</v>
      </c>
      <c r="AS673" s="24">
        <v>45372.520967962962</v>
      </c>
      <c r="AX673" s="24"/>
      <c r="AY673" s="24"/>
      <c r="AZ673" s="24"/>
      <c r="BA673" s="24"/>
      <c r="BC673" s="24">
        <v>45376.40715835648</v>
      </c>
      <c r="BD673" s="24">
        <v>45376.40715835648</v>
      </c>
      <c r="BE673" s="24">
        <v>45883.607395844905</v>
      </c>
      <c r="BF673" s="24">
        <v>45883.607395844905</v>
      </c>
      <c r="BG673">
        <v>1</v>
      </c>
      <c r="BH673" s="24">
        <v>45372.520967962962</v>
      </c>
      <c r="BI673" s="24">
        <v>45372.520967962962</v>
      </c>
      <c r="BJ673" s="24">
        <v>45372.521421041667</v>
      </c>
      <c r="BK673" s="24">
        <v>45372.521421041667</v>
      </c>
      <c r="BL673">
        <v>1</v>
      </c>
      <c r="BM673" s="24"/>
      <c r="BN673" s="24"/>
      <c r="BO673" s="24"/>
      <c r="BP673" s="24"/>
      <c r="BR673" s="24">
        <v>45373.404730810187</v>
      </c>
      <c r="BS673" s="24">
        <v>45373.404730810187</v>
      </c>
      <c r="BT673" s="24">
        <v>45376.40715835648</v>
      </c>
      <c r="BU673" s="24">
        <v>45376.40715835648</v>
      </c>
      <c r="BV673">
        <v>1</v>
      </c>
      <c r="BW673" s="24"/>
      <c r="BX673" s="24"/>
      <c r="BY673" s="24"/>
      <c r="BZ673" s="24"/>
      <c r="CB673" s="24"/>
      <c r="CC673" s="24"/>
      <c r="CE673" s="24">
        <v>45883.607395844905</v>
      </c>
      <c r="CF673" s="24">
        <v>45883.607395844905</v>
      </c>
      <c r="CG673">
        <v>1</v>
      </c>
      <c r="CH673" s="24"/>
      <c r="CI673" s="24"/>
      <c r="CJ673" s="24"/>
      <c r="CK673" s="24"/>
      <c r="DE673" s="24"/>
      <c r="DF673" s="24"/>
      <c r="DG673" s="24"/>
      <c r="DH673" s="24"/>
      <c r="DJ673" t="s">
        <v>149</v>
      </c>
      <c r="DK673" t="s">
        <v>149</v>
      </c>
      <c r="DM673">
        <v>512</v>
      </c>
      <c r="DN673">
        <v>512</v>
      </c>
      <c r="DQ673" t="s">
        <v>1000</v>
      </c>
      <c r="DR673" t="s">
        <v>149</v>
      </c>
      <c r="DS673" s="24">
        <v>46160.384426226854</v>
      </c>
    </row>
    <row r="674" spans="1:123" x14ac:dyDescent="0.3">
      <c r="A674" t="s">
        <v>924</v>
      </c>
      <c r="D674" t="s">
        <v>223</v>
      </c>
      <c r="E674" s="24">
        <v>45365.57949074074</v>
      </c>
      <c r="G674" t="s">
        <v>150</v>
      </c>
      <c r="H674" t="s">
        <v>155</v>
      </c>
      <c r="I674" s="24">
        <v>45636.540137986114</v>
      </c>
      <c r="J674" s="24">
        <v>45636.540137986114</v>
      </c>
      <c r="K674" s="24">
        <v>45636.540261180555</v>
      </c>
      <c r="L674" s="24">
        <v>45636.540261180555</v>
      </c>
      <c r="M674">
        <v>1</v>
      </c>
      <c r="N674" s="24"/>
      <c r="O674" s="24"/>
      <c r="P674" s="24"/>
      <c r="Q674" s="24"/>
      <c r="V674" s="24"/>
      <c r="W674" s="24"/>
      <c r="X674" s="24"/>
      <c r="Y674" s="24"/>
      <c r="AA674" s="24">
        <v>45390.412362453702</v>
      </c>
      <c r="AB674" s="24">
        <v>45390.412362453702</v>
      </c>
      <c r="AC674" s="24">
        <v>45636.540137986114</v>
      </c>
      <c r="AD674" s="24">
        <v>45636.540137986114</v>
      </c>
      <c r="AE674">
        <v>1</v>
      </c>
      <c r="AF674" s="24"/>
      <c r="AG674" s="24"/>
      <c r="AH674" s="24"/>
      <c r="AI674" s="24"/>
      <c r="AK674" s="24"/>
      <c r="AL674" s="24"/>
      <c r="AM674" s="24"/>
      <c r="AN674" s="24"/>
      <c r="AP674" s="24"/>
      <c r="AQ674" s="24"/>
      <c r="AR674" s="24">
        <v>45386.420430289349</v>
      </c>
      <c r="AS674" s="24">
        <v>45386.420430289349</v>
      </c>
      <c r="AX674" s="24"/>
      <c r="AY674" s="24"/>
      <c r="AZ674" s="24"/>
      <c r="BA674" s="24"/>
      <c r="BC674" s="24"/>
      <c r="BD674" s="24"/>
      <c r="BE674" s="24"/>
      <c r="BF674" s="24"/>
      <c r="BH674" s="24">
        <v>45636.540261180555</v>
      </c>
      <c r="BI674" s="24">
        <v>45386.420430289349</v>
      </c>
      <c r="BJ674" s="24">
        <v>45390.412362453702</v>
      </c>
      <c r="BK674" s="24">
        <v>46027.587143391203</v>
      </c>
      <c r="BL674">
        <v>2</v>
      </c>
      <c r="BM674" s="24"/>
      <c r="BN674" s="24"/>
      <c r="BO674" s="24"/>
      <c r="BP674" s="24"/>
      <c r="BR674" s="24"/>
      <c r="BS674" s="24"/>
      <c r="BT674" s="24"/>
      <c r="BU674" s="24"/>
      <c r="BW674" s="24"/>
      <c r="BX674" s="24"/>
      <c r="BY674" s="24"/>
      <c r="BZ674" s="24"/>
      <c r="CB674" s="24">
        <v>46027.587143391203</v>
      </c>
      <c r="CC674" s="24">
        <v>46027.587143391203</v>
      </c>
      <c r="CD674">
        <v>1</v>
      </c>
      <c r="CE674" s="24"/>
      <c r="CF674" s="24"/>
      <c r="CH674" s="24"/>
      <c r="CI674" s="24"/>
      <c r="CJ674" s="24"/>
      <c r="CK674" s="24"/>
      <c r="DE674" s="24"/>
      <c r="DF674" s="24"/>
      <c r="DG674" s="24"/>
      <c r="DH674" s="24"/>
      <c r="DJ674" t="s">
        <v>149</v>
      </c>
      <c r="DK674" t="s">
        <v>149</v>
      </c>
      <c r="DQ674" t="s">
        <v>1000</v>
      </c>
      <c r="DR674" t="s">
        <v>149</v>
      </c>
      <c r="DS674" s="24">
        <v>46160.384426226854</v>
      </c>
    </row>
    <row r="675" spans="1:123" x14ac:dyDescent="0.3">
      <c r="A675" t="s">
        <v>925</v>
      </c>
      <c r="D675" t="s">
        <v>223</v>
      </c>
      <c r="E675" s="24">
        <v>45356.510358796295</v>
      </c>
      <c r="G675" t="s">
        <v>150</v>
      </c>
      <c r="H675" t="s">
        <v>155</v>
      </c>
      <c r="I675" s="24"/>
      <c r="J675" s="24"/>
      <c r="K675" s="24"/>
      <c r="L675" s="24"/>
      <c r="N675" s="24"/>
      <c r="O675" s="24"/>
      <c r="P675" s="24"/>
      <c r="Q675" s="24"/>
      <c r="V675" s="24"/>
      <c r="W675" s="24"/>
      <c r="X675" s="24"/>
      <c r="Y675" s="24"/>
      <c r="AA675" s="24"/>
      <c r="AB675" s="24"/>
      <c r="AC675" s="24"/>
      <c r="AD675" s="24"/>
      <c r="AF675" s="24"/>
      <c r="AG675" s="24"/>
      <c r="AH675" s="24"/>
      <c r="AI675" s="24"/>
      <c r="AK675" s="24"/>
      <c r="AL675" s="24"/>
      <c r="AM675" s="24"/>
      <c r="AN675" s="24"/>
      <c r="AP675" s="24"/>
      <c r="AQ675" s="24"/>
      <c r="AR675" s="24">
        <v>45825.345862638889</v>
      </c>
      <c r="AS675" s="24">
        <v>45825.345862638889</v>
      </c>
      <c r="AX675" s="24"/>
      <c r="AY675" s="24"/>
      <c r="AZ675" s="24"/>
      <c r="BA675" s="24"/>
      <c r="BC675" s="24"/>
      <c r="BD675" s="24"/>
      <c r="BE675" s="24"/>
      <c r="BF675" s="24"/>
      <c r="BH675" s="24"/>
      <c r="BI675" s="24"/>
      <c r="BJ675" s="24"/>
      <c r="BK675" s="24"/>
      <c r="BM675" s="24"/>
      <c r="BN675" s="24"/>
      <c r="BO675" s="24"/>
      <c r="BP675" s="24"/>
      <c r="BR675" s="24"/>
      <c r="BS675" s="24"/>
      <c r="BT675" s="24"/>
      <c r="BU675" s="24"/>
      <c r="BW675" s="24"/>
      <c r="BX675" s="24"/>
      <c r="BY675" s="24"/>
      <c r="BZ675" s="24"/>
      <c r="CB675" s="24">
        <v>45825.345862638889</v>
      </c>
      <c r="CC675" s="24">
        <v>45825.345862638889</v>
      </c>
      <c r="CD675">
        <v>1</v>
      </c>
      <c r="CE675" s="24"/>
      <c r="CF675" s="24"/>
      <c r="CH675" s="24"/>
      <c r="CI675" s="24"/>
      <c r="CJ675" s="24"/>
      <c r="CK675" s="24"/>
      <c r="DE675" s="24"/>
      <c r="DF675" s="24"/>
      <c r="DG675" s="24"/>
      <c r="DH675" s="24"/>
      <c r="DJ675" t="s">
        <v>149</v>
      </c>
      <c r="DK675" t="s">
        <v>149</v>
      </c>
      <c r="DQ675" t="s">
        <v>1000</v>
      </c>
      <c r="DR675" t="s">
        <v>149</v>
      </c>
      <c r="DS675" s="24">
        <v>46160.384426226854</v>
      </c>
    </row>
    <row r="676" spans="1:123" x14ac:dyDescent="0.3">
      <c r="A676" t="s">
        <v>926</v>
      </c>
      <c r="D676" t="s">
        <v>225</v>
      </c>
      <c r="E676" s="24">
        <v>45350.572696759256</v>
      </c>
      <c r="G676" t="s">
        <v>150</v>
      </c>
      <c r="H676" t="s">
        <v>155</v>
      </c>
      <c r="I676" s="24"/>
      <c r="J676" s="24"/>
      <c r="K676" s="24"/>
      <c r="L676" s="24"/>
      <c r="N676" s="24"/>
      <c r="O676" s="24"/>
      <c r="P676" s="24"/>
      <c r="Q676" s="24"/>
      <c r="V676" s="24"/>
      <c r="W676" s="24"/>
      <c r="X676" s="24"/>
      <c r="Y676" s="24"/>
      <c r="AA676" s="24"/>
      <c r="AB676" s="24"/>
      <c r="AC676" s="24"/>
      <c r="AD676" s="24"/>
      <c r="AF676" s="24"/>
      <c r="AG676" s="24"/>
      <c r="AH676" s="24"/>
      <c r="AI676" s="24"/>
      <c r="AK676" s="24"/>
      <c r="AL676" s="24"/>
      <c r="AM676" s="24"/>
      <c r="AN676" s="24"/>
      <c r="AP676" s="24"/>
      <c r="AQ676" s="24"/>
      <c r="AR676" s="24">
        <v>45971.38923390046</v>
      </c>
      <c r="AS676" s="24">
        <v>45971.38923390046</v>
      </c>
      <c r="AX676" s="24"/>
      <c r="AY676" s="24"/>
      <c r="AZ676" s="24"/>
      <c r="BA676" s="24"/>
      <c r="BC676" s="24"/>
      <c r="BD676" s="24"/>
      <c r="BE676" s="24"/>
      <c r="BF676" s="24"/>
      <c r="BH676" s="24"/>
      <c r="BI676" s="24"/>
      <c r="BJ676" s="24"/>
      <c r="BK676" s="24"/>
      <c r="BM676" s="24"/>
      <c r="BN676" s="24"/>
      <c r="BO676" s="24"/>
      <c r="BP676" s="24"/>
      <c r="BR676" s="24"/>
      <c r="BS676" s="24"/>
      <c r="BT676" s="24"/>
      <c r="BU676" s="24"/>
      <c r="BW676" s="24"/>
      <c r="BX676" s="24"/>
      <c r="BY676" s="24"/>
      <c r="BZ676" s="24"/>
      <c r="CB676" s="24">
        <v>45971.392437812501</v>
      </c>
      <c r="CC676" s="24">
        <v>45971.38923390046</v>
      </c>
      <c r="CD676">
        <v>2</v>
      </c>
      <c r="CE676" s="24"/>
      <c r="CF676" s="24"/>
      <c r="CH676" s="24"/>
      <c r="CI676" s="24"/>
      <c r="CJ676" s="24"/>
      <c r="CK676" s="24"/>
      <c r="DE676" s="24"/>
      <c r="DF676" s="24"/>
      <c r="DG676" s="24"/>
      <c r="DH676" s="24"/>
      <c r="DJ676" t="s">
        <v>149</v>
      </c>
      <c r="DK676" t="s">
        <v>149</v>
      </c>
      <c r="DQ676" t="s">
        <v>1000</v>
      </c>
      <c r="DR676" t="s">
        <v>149</v>
      </c>
      <c r="DS676" s="24">
        <v>46160.384426226854</v>
      </c>
    </row>
    <row r="677" spans="1:123" x14ac:dyDescent="0.3">
      <c r="A677" t="s">
        <v>927</v>
      </c>
      <c r="D677" t="s">
        <v>224</v>
      </c>
      <c r="E677" s="24">
        <v>45350.377858796295</v>
      </c>
      <c r="G677" t="s">
        <v>103</v>
      </c>
      <c r="H677" t="s">
        <v>154</v>
      </c>
      <c r="I677" s="24">
        <v>45664.448774537035</v>
      </c>
      <c r="J677" s="24">
        <v>45664.448774537035</v>
      </c>
      <c r="K677" s="24"/>
      <c r="L677" s="24"/>
      <c r="M677">
        <v>1</v>
      </c>
      <c r="N677" s="24"/>
      <c r="O677" s="24"/>
      <c r="P677" s="24"/>
      <c r="Q677" s="24"/>
      <c r="V677" s="24"/>
      <c r="W677" s="24"/>
      <c r="X677" s="24"/>
      <c r="Y677" s="24"/>
      <c r="AA677" s="24"/>
      <c r="AB677" s="24"/>
      <c r="AC677" s="24"/>
      <c r="AD677" s="24"/>
      <c r="AF677" s="24"/>
      <c r="AG677" s="24"/>
      <c r="AH677" s="24"/>
      <c r="AI677" s="24"/>
      <c r="AK677" s="24"/>
      <c r="AL677" s="24"/>
      <c r="AM677" s="24"/>
      <c r="AN677" s="24"/>
      <c r="AP677" s="24"/>
      <c r="AQ677" s="24"/>
      <c r="AR677" s="24">
        <v>45356.295482997688</v>
      </c>
      <c r="AS677" s="24">
        <v>45356.295482997688</v>
      </c>
      <c r="AX677" s="24"/>
      <c r="AY677" s="24"/>
      <c r="AZ677" s="24"/>
      <c r="BA677" s="24"/>
      <c r="BC677" s="24"/>
      <c r="BD677" s="24"/>
      <c r="BE677" s="24"/>
      <c r="BF677" s="24"/>
      <c r="BH677" s="24">
        <v>45356.295482997688</v>
      </c>
      <c r="BI677" s="24">
        <v>45356.295482997688</v>
      </c>
      <c r="BJ677" s="24">
        <v>45664.448774537035</v>
      </c>
      <c r="BK677" s="24">
        <v>45664.448774537035</v>
      </c>
      <c r="BL677">
        <v>1</v>
      </c>
      <c r="BM677" s="24"/>
      <c r="BN677" s="24"/>
      <c r="BO677" s="24"/>
      <c r="BP677" s="24"/>
      <c r="BR677" s="24"/>
      <c r="BS677" s="24"/>
      <c r="BT677" s="24"/>
      <c r="BU677" s="24"/>
      <c r="BW677" s="24"/>
      <c r="BX677" s="24"/>
      <c r="BY677" s="24"/>
      <c r="BZ677" s="24"/>
      <c r="CB677" s="24"/>
      <c r="CC677" s="24"/>
      <c r="CE677" s="24"/>
      <c r="CF677" s="24"/>
      <c r="CH677" s="24"/>
      <c r="CI677" s="24"/>
      <c r="CJ677" s="24"/>
      <c r="CK677" s="24"/>
      <c r="DE677" s="24"/>
      <c r="DF677" s="24"/>
      <c r="DG677" s="24"/>
      <c r="DH677" s="24"/>
      <c r="DJ677" t="s">
        <v>149</v>
      </c>
      <c r="DK677" t="s">
        <v>149</v>
      </c>
      <c r="DP677">
        <v>496</v>
      </c>
      <c r="DQ677" t="s">
        <v>1000</v>
      </c>
      <c r="DR677" t="s">
        <v>149</v>
      </c>
      <c r="DS677" s="24">
        <v>46160.384426226854</v>
      </c>
    </row>
    <row r="678" spans="1:123" x14ac:dyDescent="0.3">
      <c r="A678" t="s">
        <v>928</v>
      </c>
      <c r="D678" t="s">
        <v>223</v>
      </c>
      <c r="E678" s="24">
        <v>45345.703229166669</v>
      </c>
      <c r="G678" t="s">
        <v>150</v>
      </c>
      <c r="H678" t="s">
        <v>155</v>
      </c>
      <c r="I678" s="24"/>
      <c r="J678" s="24"/>
      <c r="K678" s="24"/>
      <c r="L678" s="24"/>
      <c r="N678" s="24"/>
      <c r="O678" s="24"/>
      <c r="P678" s="24"/>
      <c r="Q678" s="24"/>
      <c r="V678" s="24"/>
      <c r="W678" s="24"/>
      <c r="X678" s="24"/>
      <c r="Y678" s="24"/>
      <c r="AA678" s="24"/>
      <c r="AB678" s="24"/>
      <c r="AC678" s="24"/>
      <c r="AD678" s="24"/>
      <c r="AF678" s="24"/>
      <c r="AG678" s="24"/>
      <c r="AH678" s="24"/>
      <c r="AI678" s="24"/>
      <c r="AK678" s="24"/>
      <c r="AL678" s="24"/>
      <c r="AM678" s="24"/>
      <c r="AN678" s="24"/>
      <c r="AP678" s="24"/>
      <c r="AQ678" s="24"/>
      <c r="AR678" s="24">
        <v>45876.29572696759</v>
      </c>
      <c r="AS678" s="24">
        <v>45876.29572696759</v>
      </c>
      <c r="AX678" s="24"/>
      <c r="AY678" s="24"/>
      <c r="AZ678" s="24"/>
      <c r="BA678" s="24"/>
      <c r="BC678" s="24"/>
      <c r="BD678" s="24"/>
      <c r="BE678" s="24"/>
      <c r="BF678" s="24"/>
      <c r="BH678" s="24"/>
      <c r="BI678" s="24"/>
      <c r="BJ678" s="24"/>
      <c r="BK678" s="24"/>
      <c r="BM678" s="24"/>
      <c r="BN678" s="24"/>
      <c r="BO678" s="24"/>
      <c r="BP678" s="24"/>
      <c r="BR678" s="24"/>
      <c r="BS678" s="24"/>
      <c r="BT678" s="24"/>
      <c r="BU678" s="24"/>
      <c r="BW678" s="24"/>
      <c r="BX678" s="24"/>
      <c r="BY678" s="24"/>
      <c r="BZ678" s="24"/>
      <c r="CB678" s="24">
        <v>45876.29572696759</v>
      </c>
      <c r="CC678" s="24">
        <v>45876.29572696759</v>
      </c>
      <c r="CD678">
        <v>1</v>
      </c>
      <c r="CE678" s="24"/>
      <c r="CF678" s="24"/>
      <c r="CH678" s="24"/>
      <c r="CI678" s="24"/>
      <c r="CJ678" s="24"/>
      <c r="CK678" s="24"/>
      <c r="DE678" s="24"/>
      <c r="DF678" s="24"/>
      <c r="DG678" s="24"/>
      <c r="DH678" s="24"/>
      <c r="DJ678" t="s">
        <v>149</v>
      </c>
      <c r="DK678" t="s">
        <v>149</v>
      </c>
      <c r="DQ678" t="s">
        <v>1000</v>
      </c>
      <c r="DR678" t="s">
        <v>149</v>
      </c>
      <c r="DS678" s="24">
        <v>46160.384426226854</v>
      </c>
    </row>
    <row r="679" spans="1:123" x14ac:dyDescent="0.3">
      <c r="A679" t="s">
        <v>929</v>
      </c>
      <c r="D679" t="s">
        <v>225</v>
      </c>
      <c r="E679" s="24">
        <v>45337.434201388889</v>
      </c>
      <c r="G679" t="s">
        <v>102</v>
      </c>
      <c r="H679" t="s">
        <v>154</v>
      </c>
      <c r="I679" s="24"/>
      <c r="J679" s="24"/>
      <c r="K679" s="24"/>
      <c r="L679" s="24"/>
      <c r="N679" s="24"/>
      <c r="O679" s="24"/>
      <c r="P679" s="24"/>
      <c r="Q679" s="24"/>
      <c r="V679" s="24"/>
      <c r="W679" s="24"/>
      <c r="X679" s="24"/>
      <c r="Y679" s="24"/>
      <c r="AA679" s="24"/>
      <c r="AB679" s="24"/>
      <c r="AC679" s="24"/>
      <c r="AD679" s="24"/>
      <c r="AF679" s="24"/>
      <c r="AG679" s="24"/>
      <c r="AH679" s="24"/>
      <c r="AI679" s="24"/>
      <c r="AK679" s="24"/>
      <c r="AL679" s="24"/>
      <c r="AM679" s="24"/>
      <c r="AN679" s="24"/>
      <c r="AP679" s="24"/>
      <c r="AQ679" s="24"/>
      <c r="AR679" s="24"/>
      <c r="AS679" s="24"/>
      <c r="AX679" s="24"/>
      <c r="AY679" s="24"/>
      <c r="AZ679" s="24"/>
      <c r="BA679" s="24"/>
      <c r="BC679" s="24"/>
      <c r="BD679" s="24"/>
      <c r="BE679" s="24"/>
      <c r="BF679" s="24"/>
      <c r="BH679" s="24"/>
      <c r="BI679" s="24"/>
      <c r="BJ679" s="24"/>
      <c r="BK679" s="24"/>
      <c r="BM679" s="24"/>
      <c r="BN679" s="24"/>
      <c r="BO679" s="24"/>
      <c r="BP679" s="24"/>
      <c r="BR679" s="24"/>
      <c r="BS679" s="24"/>
      <c r="BT679" s="24"/>
      <c r="BU679" s="24"/>
      <c r="BW679" s="24"/>
      <c r="BX679" s="24"/>
      <c r="BY679" s="24"/>
      <c r="BZ679" s="24"/>
      <c r="CB679" s="24"/>
      <c r="CC679" s="24"/>
      <c r="CE679" s="24"/>
      <c r="CF679" s="24"/>
      <c r="CH679" s="24"/>
      <c r="CI679" s="24"/>
      <c r="CJ679" s="24"/>
      <c r="CK679" s="24"/>
      <c r="DE679" s="24"/>
      <c r="DF679" s="24"/>
      <c r="DG679" s="24"/>
      <c r="DH679" s="24"/>
      <c r="DJ679" t="s">
        <v>149</v>
      </c>
      <c r="DK679" t="s">
        <v>149</v>
      </c>
      <c r="DQ679" t="s">
        <v>1000</v>
      </c>
      <c r="DR679" t="s">
        <v>149</v>
      </c>
      <c r="DS679" s="24">
        <v>46160.384426226854</v>
      </c>
    </row>
    <row r="680" spans="1:123" x14ac:dyDescent="0.3">
      <c r="A680" t="s">
        <v>930</v>
      </c>
      <c r="D680" t="s">
        <v>223</v>
      </c>
      <c r="E680" s="24">
        <v>45327.605891203704</v>
      </c>
      <c r="G680" t="s">
        <v>150</v>
      </c>
      <c r="H680" t="s">
        <v>155</v>
      </c>
      <c r="I680" s="24"/>
      <c r="J680" s="24"/>
      <c r="K680" s="24"/>
      <c r="L680" s="24"/>
      <c r="N680" s="24"/>
      <c r="O680" s="24"/>
      <c r="P680" s="24"/>
      <c r="Q680" s="24"/>
      <c r="V680" s="24"/>
      <c r="W680" s="24"/>
      <c r="X680" s="24"/>
      <c r="Y680" s="24"/>
      <c r="AA680" s="24"/>
      <c r="AB680" s="24"/>
      <c r="AC680" s="24"/>
      <c r="AD680" s="24"/>
      <c r="AF680" s="24"/>
      <c r="AG680" s="24"/>
      <c r="AH680" s="24"/>
      <c r="AI680" s="24"/>
      <c r="AK680" s="24"/>
      <c r="AL680" s="24"/>
      <c r="AM680" s="24"/>
      <c r="AN680" s="24"/>
      <c r="AP680" s="24"/>
      <c r="AQ680" s="24"/>
      <c r="AR680" s="24">
        <v>45328.628751458331</v>
      </c>
      <c r="AS680" s="24">
        <v>45328.628751458331</v>
      </c>
      <c r="AX680" s="24"/>
      <c r="AY680" s="24"/>
      <c r="AZ680" s="24"/>
      <c r="BA680" s="24"/>
      <c r="BC680" s="24"/>
      <c r="BD680" s="24"/>
      <c r="BE680" s="24"/>
      <c r="BF680" s="24"/>
      <c r="BH680" s="24">
        <v>45328.628751458331</v>
      </c>
      <c r="BI680" s="24">
        <v>45328.628751458331</v>
      </c>
      <c r="BJ680" s="24">
        <v>46001.464041770836</v>
      </c>
      <c r="BK680" s="24">
        <v>46001.464041770836</v>
      </c>
      <c r="BL680">
        <v>1</v>
      </c>
      <c r="BM680" s="24"/>
      <c r="BN680" s="24"/>
      <c r="BO680" s="24"/>
      <c r="BP680" s="24"/>
      <c r="BR680" s="24"/>
      <c r="BS680" s="24"/>
      <c r="BT680" s="24"/>
      <c r="BU680" s="24"/>
      <c r="BW680" s="24"/>
      <c r="BX680" s="24"/>
      <c r="BY680" s="24"/>
      <c r="BZ680" s="24"/>
      <c r="CB680" s="24">
        <v>46001.464041770836</v>
      </c>
      <c r="CC680" s="24">
        <v>46001.464041770836</v>
      </c>
      <c r="CD680">
        <v>1</v>
      </c>
      <c r="CE680" s="24"/>
      <c r="CF680" s="24"/>
      <c r="CH680" s="24"/>
      <c r="CI680" s="24"/>
      <c r="CJ680" s="24"/>
      <c r="CK680" s="24"/>
      <c r="DE680" s="24"/>
      <c r="DF680" s="24"/>
      <c r="DG680" s="24"/>
      <c r="DH680" s="24"/>
      <c r="DJ680" t="s">
        <v>149</v>
      </c>
      <c r="DK680" t="s">
        <v>149</v>
      </c>
      <c r="DQ680" t="s">
        <v>1000</v>
      </c>
      <c r="DR680" t="s">
        <v>149</v>
      </c>
      <c r="DS680" s="24">
        <v>46160.384426226854</v>
      </c>
    </row>
    <row r="681" spans="1:123" x14ac:dyDescent="0.3">
      <c r="A681" t="s">
        <v>931</v>
      </c>
      <c r="D681" t="s">
        <v>223</v>
      </c>
      <c r="E681" s="24">
        <v>45314.46162037037</v>
      </c>
      <c r="G681" t="s">
        <v>150</v>
      </c>
      <c r="H681" t="s">
        <v>155</v>
      </c>
      <c r="I681" s="24"/>
      <c r="J681" s="24"/>
      <c r="K681" s="24"/>
      <c r="L681" s="24"/>
      <c r="N681" s="24"/>
      <c r="O681" s="24"/>
      <c r="P681" s="24"/>
      <c r="Q681" s="24"/>
      <c r="V681" s="24"/>
      <c r="W681" s="24"/>
      <c r="X681" s="24"/>
      <c r="Y681" s="24"/>
      <c r="AA681" s="24"/>
      <c r="AB681" s="24"/>
      <c r="AC681" s="24"/>
      <c r="AD681" s="24"/>
      <c r="AF681" s="24"/>
      <c r="AG681" s="24"/>
      <c r="AH681" s="24"/>
      <c r="AI681" s="24"/>
      <c r="AK681" s="24"/>
      <c r="AL681" s="24"/>
      <c r="AM681" s="24"/>
      <c r="AN681" s="24"/>
      <c r="AP681" s="24"/>
      <c r="AQ681" s="24"/>
      <c r="AR681" s="24">
        <v>45314.501113194441</v>
      </c>
      <c r="AS681" s="24">
        <v>45314.501113194441</v>
      </c>
      <c r="AX681" s="24"/>
      <c r="AY681" s="24"/>
      <c r="AZ681" s="24"/>
      <c r="BA681" s="24"/>
      <c r="BC681" s="24"/>
      <c r="BD681" s="24"/>
      <c r="BE681" s="24"/>
      <c r="BF681" s="24"/>
      <c r="BH681" s="24">
        <v>45314.501113194441</v>
      </c>
      <c r="BI681" s="24">
        <v>45314.501113194441</v>
      </c>
      <c r="BJ681" s="24">
        <v>45876.295903611113</v>
      </c>
      <c r="BK681" s="24">
        <v>45876.295903611113</v>
      </c>
      <c r="BL681">
        <v>1</v>
      </c>
      <c r="BM681" s="24"/>
      <c r="BN681" s="24"/>
      <c r="BO681" s="24"/>
      <c r="BP681" s="24"/>
      <c r="BR681" s="24"/>
      <c r="BS681" s="24"/>
      <c r="BT681" s="24"/>
      <c r="BU681" s="24"/>
      <c r="BW681" s="24"/>
      <c r="BX681" s="24"/>
      <c r="BY681" s="24"/>
      <c r="BZ681" s="24"/>
      <c r="CB681" s="24">
        <v>45876.295903611113</v>
      </c>
      <c r="CC681" s="24">
        <v>45876.295903611113</v>
      </c>
      <c r="CD681">
        <v>1</v>
      </c>
      <c r="CE681" s="24"/>
      <c r="CF681" s="24"/>
      <c r="CH681" s="24"/>
      <c r="CI681" s="24"/>
      <c r="CJ681" s="24"/>
      <c r="CK681" s="24"/>
      <c r="DE681" s="24"/>
      <c r="DF681" s="24"/>
      <c r="DG681" s="24"/>
      <c r="DH681" s="24"/>
      <c r="DJ681" t="s">
        <v>149</v>
      </c>
      <c r="DK681" t="s">
        <v>149</v>
      </c>
      <c r="DQ681" t="s">
        <v>1000</v>
      </c>
      <c r="DR681" t="s">
        <v>149</v>
      </c>
      <c r="DS681" s="24">
        <v>46160.384426226854</v>
      </c>
    </row>
    <row r="682" spans="1:123" x14ac:dyDescent="0.3">
      <c r="A682" t="s">
        <v>932</v>
      </c>
      <c r="D682" t="s">
        <v>224</v>
      </c>
      <c r="E682" s="24">
        <v>45300.632094907407</v>
      </c>
      <c r="G682" t="s">
        <v>90</v>
      </c>
      <c r="H682" t="s">
        <v>155</v>
      </c>
      <c r="I682" s="24"/>
      <c r="J682" s="24"/>
      <c r="K682" s="24"/>
      <c r="L682" s="24"/>
      <c r="N682" s="24">
        <v>45303.404190393521</v>
      </c>
      <c r="O682" s="24">
        <v>45303.404190393521</v>
      </c>
      <c r="P682" s="24">
        <v>45309.38353579861</v>
      </c>
      <c r="Q682" s="24">
        <v>45309.38353579861</v>
      </c>
      <c r="R682">
        <v>1</v>
      </c>
      <c r="V682" s="24"/>
      <c r="W682" s="24"/>
      <c r="X682" s="24"/>
      <c r="Y682" s="24"/>
      <c r="AA682" s="24">
        <v>45309.38353579861</v>
      </c>
      <c r="AB682" s="24">
        <v>45300.634138449073</v>
      </c>
      <c r="AC682" s="24">
        <v>45301.388715416666</v>
      </c>
      <c r="AD682" s="24">
        <v>45309.383614050923</v>
      </c>
      <c r="AE682">
        <v>3</v>
      </c>
      <c r="AF682" s="24">
        <v>45301.388715416666</v>
      </c>
      <c r="AG682" s="24">
        <v>45301.388715416666</v>
      </c>
      <c r="AH682" s="24">
        <v>45301.419364398149</v>
      </c>
      <c r="AI682" s="24">
        <v>45301.419364398149</v>
      </c>
      <c r="AJ682">
        <v>1</v>
      </c>
      <c r="AK682" s="24">
        <v>45309.383614050923</v>
      </c>
      <c r="AL682" s="24">
        <v>45309.383614050923</v>
      </c>
      <c r="AM682" s="24">
        <v>45309.403201655092</v>
      </c>
      <c r="AN682" s="24">
        <v>45309.403201655092</v>
      </c>
      <c r="AO682">
        <v>1</v>
      </c>
      <c r="AP682" s="24"/>
      <c r="AQ682" s="24"/>
      <c r="AR682" s="24">
        <v>45300.633217719907</v>
      </c>
      <c r="AS682" s="24">
        <v>45300.633217719907</v>
      </c>
      <c r="AX682" s="24"/>
      <c r="AY682" s="24"/>
      <c r="AZ682" s="24"/>
      <c r="BA682" s="24"/>
      <c r="BC682" s="24">
        <v>45309.403394328707</v>
      </c>
      <c r="BD682" s="24">
        <v>45309.403394328707</v>
      </c>
      <c r="BE682" s="24">
        <v>45883.607913101849</v>
      </c>
      <c r="BF682" s="24">
        <v>45883.607913101849</v>
      </c>
      <c r="BG682">
        <v>1</v>
      </c>
      <c r="BH682" s="24">
        <v>45300.633217719907</v>
      </c>
      <c r="BI682" s="24">
        <v>45300.633217719907</v>
      </c>
      <c r="BJ682" s="24">
        <v>45300.634138449073</v>
      </c>
      <c r="BK682" s="24">
        <v>45300.634138449073</v>
      </c>
      <c r="BL682">
        <v>1</v>
      </c>
      <c r="BM682" s="24"/>
      <c r="BN682" s="24"/>
      <c r="BO682" s="24"/>
      <c r="BP682" s="24"/>
      <c r="BR682" s="24">
        <v>45309.403201655092</v>
      </c>
      <c r="BS682" s="24">
        <v>45309.403201655092</v>
      </c>
      <c r="BT682" s="24">
        <v>45309.403394328707</v>
      </c>
      <c r="BU682" s="24">
        <v>45309.403394328707</v>
      </c>
      <c r="BV682">
        <v>1</v>
      </c>
      <c r="BW682" s="24"/>
      <c r="BX682" s="24"/>
      <c r="BY682" s="24"/>
      <c r="BZ682" s="24"/>
      <c r="CB682" s="24"/>
      <c r="CC682" s="24"/>
      <c r="CE682" s="24">
        <v>45883.607913101849</v>
      </c>
      <c r="CF682" s="24">
        <v>45883.607913101849</v>
      </c>
      <c r="CG682">
        <v>1</v>
      </c>
      <c r="CH682" s="24"/>
      <c r="CI682" s="24"/>
      <c r="CJ682" s="24"/>
      <c r="CK682" s="24"/>
      <c r="DE682" s="24"/>
      <c r="DF682" s="24"/>
      <c r="DG682" s="24"/>
      <c r="DH682" s="24"/>
      <c r="DJ682" t="s">
        <v>149</v>
      </c>
      <c r="DK682" t="s">
        <v>149</v>
      </c>
      <c r="DL682">
        <v>5.9793453703703703</v>
      </c>
      <c r="DM682">
        <v>583</v>
      </c>
      <c r="DN682">
        <v>583</v>
      </c>
      <c r="DQ682" t="s">
        <v>1000</v>
      </c>
      <c r="DR682" t="s">
        <v>149</v>
      </c>
      <c r="DS682" s="24">
        <v>46160.384426226854</v>
      </c>
    </row>
    <row r="683" spans="1:123" x14ac:dyDescent="0.3">
      <c r="A683" t="s">
        <v>933</v>
      </c>
      <c r="D683" t="s">
        <v>225</v>
      </c>
      <c r="E683" s="24">
        <v>45299.537291666667</v>
      </c>
      <c r="G683" t="s">
        <v>103</v>
      </c>
      <c r="H683" t="s">
        <v>154</v>
      </c>
      <c r="I683" s="24">
        <v>45622.52812333333</v>
      </c>
      <c r="J683" s="24">
        <v>45622.52812333333</v>
      </c>
      <c r="K683" s="24"/>
      <c r="L683" s="24"/>
      <c r="M683">
        <v>1</v>
      </c>
      <c r="N683" s="24">
        <v>45321.70218216435</v>
      </c>
      <c r="O683" s="24">
        <v>45321.70218216435</v>
      </c>
      <c r="P683" s="24">
        <v>45622.52812333333</v>
      </c>
      <c r="Q683" s="24">
        <v>45622.52812333333</v>
      </c>
      <c r="R683">
        <v>1</v>
      </c>
      <c r="V683" s="24"/>
      <c r="W683" s="24"/>
      <c r="X683" s="24"/>
      <c r="Y683" s="24"/>
      <c r="AA683" s="24">
        <v>45321.70214642361</v>
      </c>
      <c r="AB683" s="24">
        <v>45314.620081516201</v>
      </c>
      <c r="AC683" s="24">
        <v>45314.620133703706</v>
      </c>
      <c r="AD683" s="24">
        <v>45321.70218216435</v>
      </c>
      <c r="AE683">
        <v>2</v>
      </c>
      <c r="AF683" s="24">
        <v>45314.620133703706</v>
      </c>
      <c r="AG683" s="24">
        <v>45314.620133703706</v>
      </c>
      <c r="AH683" s="24">
        <v>45320.617310069443</v>
      </c>
      <c r="AI683" s="24">
        <v>45320.617310069443</v>
      </c>
      <c r="AJ683">
        <v>1</v>
      </c>
      <c r="AK683" s="24"/>
      <c r="AL683" s="24"/>
      <c r="AM683" s="24"/>
      <c r="AN683" s="24"/>
      <c r="AP683" s="24"/>
      <c r="AQ683" s="24"/>
      <c r="AR683" s="24"/>
      <c r="AS683" s="24"/>
      <c r="AU683">
        <v>45320.617310069443</v>
      </c>
      <c r="AV683">
        <v>45320.617310069443</v>
      </c>
      <c r="AW683">
        <v>1</v>
      </c>
      <c r="AX683" s="24"/>
      <c r="AY683" s="24"/>
      <c r="AZ683" s="24"/>
      <c r="BA683" s="24"/>
      <c r="BC683" s="24"/>
      <c r="BD683" s="24"/>
      <c r="BE683" s="24"/>
      <c r="BF683" s="24"/>
      <c r="BH683" s="24"/>
      <c r="BI683" s="24"/>
      <c r="BJ683" s="24"/>
      <c r="BK683" s="24"/>
      <c r="BM683" s="24"/>
      <c r="BN683" s="24"/>
      <c r="BO683" s="24"/>
      <c r="BP683" s="24"/>
      <c r="BR683" s="24"/>
      <c r="BS683" s="24"/>
      <c r="BT683" s="24"/>
      <c r="BU683" s="24"/>
      <c r="BW683" s="24"/>
      <c r="BX683" s="24"/>
      <c r="BY683" s="24"/>
      <c r="BZ683" s="24"/>
      <c r="CB683" s="24"/>
      <c r="CC683" s="24"/>
      <c r="CE683" s="24"/>
      <c r="CF683" s="24"/>
      <c r="CH683" s="24"/>
      <c r="CI683" s="24"/>
      <c r="CJ683" s="24"/>
      <c r="CK683" s="24"/>
      <c r="DE683" s="24"/>
      <c r="DF683" s="24"/>
      <c r="DG683" s="24"/>
      <c r="DH683" s="24"/>
      <c r="DJ683" t="s">
        <v>149</v>
      </c>
      <c r="DK683" t="s">
        <v>149</v>
      </c>
      <c r="DO683">
        <v>846</v>
      </c>
      <c r="DP683">
        <v>538</v>
      </c>
      <c r="DQ683" t="s">
        <v>1000</v>
      </c>
      <c r="DR683" t="s">
        <v>149</v>
      </c>
      <c r="DS683" s="24">
        <v>46160.384426226854</v>
      </c>
    </row>
    <row r="684" spans="1:123" x14ac:dyDescent="0.3">
      <c r="A684" t="s">
        <v>934</v>
      </c>
      <c r="D684" t="s">
        <v>225</v>
      </c>
      <c r="E684" s="24">
        <v>45299.53634259259</v>
      </c>
      <c r="G684" t="s">
        <v>103</v>
      </c>
      <c r="H684" t="s">
        <v>154</v>
      </c>
      <c r="I684" s="24">
        <v>45622.527844097225</v>
      </c>
      <c r="J684" s="24">
        <v>45314.415311886572</v>
      </c>
      <c r="K684" s="24">
        <v>45314.415376655095</v>
      </c>
      <c r="L684" s="24">
        <v>45314.415376655095</v>
      </c>
      <c r="M684">
        <v>2</v>
      </c>
      <c r="N684" s="24">
        <v>45411.384179097222</v>
      </c>
      <c r="O684" s="24">
        <v>45313.40670821759</v>
      </c>
      <c r="P684" s="24">
        <v>45314.415311886572</v>
      </c>
      <c r="Q684" s="24">
        <v>45622.527844097225</v>
      </c>
      <c r="R684">
        <v>6</v>
      </c>
      <c r="V684" s="24"/>
      <c r="W684" s="24"/>
      <c r="X684" s="24"/>
      <c r="Y684" s="24"/>
      <c r="AA684" s="24">
        <v>45407.574044502318</v>
      </c>
      <c r="AB684" s="24">
        <v>45301.570934606483</v>
      </c>
      <c r="AC684" s="24">
        <v>45313.40670821759</v>
      </c>
      <c r="AD684" s="24">
        <v>45411.384179097222</v>
      </c>
      <c r="AE684">
        <v>6</v>
      </c>
      <c r="AF684" s="24"/>
      <c r="AG684" s="24"/>
      <c r="AH684" s="24"/>
      <c r="AI684" s="24"/>
      <c r="AK684" s="24"/>
      <c r="AL684" s="24"/>
      <c r="AM684" s="24"/>
      <c r="AN684" s="24"/>
      <c r="AP684" s="24"/>
      <c r="AQ684" s="24"/>
      <c r="AR684" s="24">
        <v>45300.36021309028</v>
      </c>
      <c r="AS684" s="24">
        <v>45300.36021309028</v>
      </c>
      <c r="AX684" s="24"/>
      <c r="AY684" s="24"/>
      <c r="AZ684" s="24"/>
      <c r="BA684" s="24"/>
      <c r="BC684" s="24"/>
      <c r="BD684" s="24"/>
      <c r="BE684" s="24"/>
      <c r="BF684" s="24"/>
      <c r="BH684" s="24">
        <v>45314.415376655095</v>
      </c>
      <c r="BI684" s="24">
        <v>45300.36021309028</v>
      </c>
      <c r="BJ684" s="24">
        <v>45301.570934606483</v>
      </c>
      <c r="BK684" s="24">
        <v>45314.620078807871</v>
      </c>
      <c r="BL684">
        <v>2</v>
      </c>
      <c r="BM684" s="24"/>
      <c r="BN684" s="24"/>
      <c r="BO684" s="24"/>
      <c r="BP684" s="24"/>
      <c r="BR684" s="24"/>
      <c r="BS684" s="24"/>
      <c r="BT684" s="24"/>
      <c r="BU684" s="24"/>
      <c r="BW684" s="24"/>
      <c r="BX684" s="24"/>
      <c r="BY684" s="24"/>
      <c r="BZ684" s="24"/>
      <c r="CB684" s="24"/>
      <c r="CC684" s="24"/>
      <c r="CE684" s="24"/>
      <c r="CF684" s="24"/>
      <c r="CH684" s="24"/>
      <c r="CI684" s="24"/>
      <c r="CJ684" s="24"/>
      <c r="CK684" s="24"/>
      <c r="DE684" s="24"/>
      <c r="DF684" s="24"/>
      <c r="DG684" s="24"/>
      <c r="DH684" s="24"/>
      <c r="DJ684" t="s">
        <v>149</v>
      </c>
      <c r="DK684" t="s">
        <v>149</v>
      </c>
      <c r="DO684">
        <v>859</v>
      </c>
      <c r="DP684">
        <v>538</v>
      </c>
      <c r="DQ684" t="s">
        <v>1000</v>
      </c>
      <c r="DR684" t="s">
        <v>149</v>
      </c>
      <c r="DS684" s="24">
        <v>46160.384426226854</v>
      </c>
    </row>
    <row r="685" spans="1:123" x14ac:dyDescent="0.3">
      <c r="A685" t="s">
        <v>935</v>
      </c>
      <c r="D685" t="s">
        <v>223</v>
      </c>
      <c r="E685" s="24">
        <v>45295.418865740743</v>
      </c>
      <c r="G685" t="s">
        <v>150</v>
      </c>
      <c r="H685" t="s">
        <v>155</v>
      </c>
      <c r="I685" s="24"/>
      <c r="J685" s="24"/>
      <c r="K685" s="24"/>
      <c r="L685" s="24"/>
      <c r="N685" s="24"/>
      <c r="O685" s="24"/>
      <c r="P685" s="24"/>
      <c r="Q685" s="24"/>
      <c r="V685" s="24"/>
      <c r="W685" s="24"/>
      <c r="X685" s="24"/>
      <c r="Y685" s="24"/>
      <c r="AA685" s="24"/>
      <c r="AB685" s="24"/>
      <c r="AC685" s="24"/>
      <c r="AD685" s="24"/>
      <c r="AF685" s="24"/>
      <c r="AG685" s="24"/>
      <c r="AH685" s="24"/>
      <c r="AI685" s="24"/>
      <c r="AK685" s="24"/>
      <c r="AL685" s="24"/>
      <c r="AM685" s="24"/>
      <c r="AN685" s="24"/>
      <c r="AP685" s="24"/>
      <c r="AQ685" s="24"/>
      <c r="AR685" s="24">
        <v>45968.636479953704</v>
      </c>
      <c r="AS685" s="24">
        <v>45968.636479953704</v>
      </c>
      <c r="AX685" s="24"/>
      <c r="AY685" s="24"/>
      <c r="AZ685" s="24"/>
      <c r="BA685" s="24"/>
      <c r="BC685" s="24"/>
      <c r="BD685" s="24"/>
      <c r="BE685" s="24"/>
      <c r="BF685" s="24"/>
      <c r="BH685" s="24"/>
      <c r="BI685" s="24"/>
      <c r="BJ685" s="24"/>
      <c r="BK685" s="24"/>
      <c r="BM685" s="24"/>
      <c r="BN685" s="24"/>
      <c r="BO685" s="24"/>
      <c r="BP685" s="24"/>
      <c r="BR685" s="24"/>
      <c r="BS685" s="24"/>
      <c r="BT685" s="24"/>
      <c r="BU685" s="24"/>
      <c r="BW685" s="24"/>
      <c r="BX685" s="24"/>
      <c r="BY685" s="24"/>
      <c r="BZ685" s="24"/>
      <c r="CB685" s="24">
        <v>45968.636479953704</v>
      </c>
      <c r="CC685" s="24">
        <v>45968.636479953704</v>
      </c>
      <c r="CD685">
        <v>1</v>
      </c>
      <c r="CE685" s="24"/>
      <c r="CF685" s="24"/>
      <c r="CH685" s="24"/>
      <c r="CI685" s="24"/>
      <c r="CJ685" s="24"/>
      <c r="CK685" s="24"/>
      <c r="DE685" s="24"/>
      <c r="DF685" s="24"/>
      <c r="DG685" s="24"/>
      <c r="DH685" s="24"/>
      <c r="DJ685" t="s">
        <v>149</v>
      </c>
      <c r="DK685" t="s">
        <v>149</v>
      </c>
      <c r="DQ685" t="s">
        <v>1000</v>
      </c>
      <c r="DR685" t="s">
        <v>149</v>
      </c>
      <c r="DS685" s="24">
        <v>46160.384426226854</v>
      </c>
    </row>
    <row r="686" spans="1:123" x14ac:dyDescent="0.3">
      <c r="A686" t="s">
        <v>936</v>
      </c>
      <c r="D686" t="s">
        <v>225</v>
      </c>
      <c r="E686" s="24">
        <v>45278.651469907411</v>
      </c>
      <c r="G686" t="s">
        <v>90</v>
      </c>
      <c r="H686" t="s">
        <v>155</v>
      </c>
      <c r="I686" s="24">
        <v>45280.411154363428</v>
      </c>
      <c r="J686" s="24">
        <v>45280.411154363428</v>
      </c>
      <c r="K686" s="24">
        <v>45280.411233310188</v>
      </c>
      <c r="L686" s="24">
        <v>45280.411233310188</v>
      </c>
      <c r="M686">
        <v>1</v>
      </c>
      <c r="N686" s="24"/>
      <c r="O686" s="24"/>
      <c r="P686" s="24"/>
      <c r="Q686" s="24"/>
      <c r="V686" s="24"/>
      <c r="W686" s="24"/>
      <c r="X686" s="24"/>
      <c r="Y686" s="24"/>
      <c r="AA686" s="24">
        <v>45280.42686605324</v>
      </c>
      <c r="AB686" s="24">
        <v>45278.65307104167</v>
      </c>
      <c r="AC686" s="24">
        <v>45278.700885844904</v>
      </c>
      <c r="AD686" s="24">
        <v>45280.50942234954</v>
      </c>
      <c r="AE686">
        <v>2</v>
      </c>
      <c r="AF686" s="24">
        <v>45280.50942234954</v>
      </c>
      <c r="AG686" s="24">
        <v>45278.700885844904</v>
      </c>
      <c r="AH686" s="24">
        <v>45278.700938958333</v>
      </c>
      <c r="AI686" s="24">
        <v>45280.509458958331</v>
      </c>
      <c r="AJ686">
        <v>2</v>
      </c>
      <c r="AK686" s="24">
        <v>45280.509458958331</v>
      </c>
      <c r="AL686" s="24">
        <v>45278.700938958333</v>
      </c>
      <c r="AM686" s="24">
        <v>45278.729915324075</v>
      </c>
      <c r="AN686" s="24">
        <v>45280.559327777781</v>
      </c>
      <c r="AO686">
        <v>2</v>
      </c>
      <c r="AP686" s="24"/>
      <c r="AQ686" s="24"/>
      <c r="AR686" s="24">
        <v>45278.653026446758</v>
      </c>
      <c r="AS686" s="24">
        <v>45278.653026446758</v>
      </c>
      <c r="AX686" s="24"/>
      <c r="AY686" s="24"/>
      <c r="AZ686" s="24"/>
      <c r="BA686" s="24"/>
      <c r="BC686" s="24">
        <v>45280.559494050925</v>
      </c>
      <c r="BD686" s="24">
        <v>45278.730243321763</v>
      </c>
      <c r="BE686" s="24">
        <v>45279.7012378125</v>
      </c>
      <c r="BF686" s="24">
        <v>45883.608304467591</v>
      </c>
      <c r="BG686">
        <v>2</v>
      </c>
      <c r="BH686" s="24">
        <v>45280.411233310188</v>
      </c>
      <c r="BI686" s="24">
        <v>45278.653026446758</v>
      </c>
      <c r="BJ686" s="24">
        <v>45278.65307104167</v>
      </c>
      <c r="BK686" s="24">
        <v>45280.42686605324</v>
      </c>
      <c r="BL686">
        <v>2</v>
      </c>
      <c r="BM686" s="24"/>
      <c r="BN686" s="24"/>
      <c r="BO686" s="24"/>
      <c r="BP686" s="24"/>
      <c r="BR686" s="24">
        <v>45280.559327777781</v>
      </c>
      <c r="BS686" s="24">
        <v>45278.729915324075</v>
      </c>
      <c r="BT686" s="24">
        <v>45278.730243321763</v>
      </c>
      <c r="BU686" s="24">
        <v>45280.559494050925</v>
      </c>
      <c r="BV686">
        <v>2</v>
      </c>
      <c r="BW686" s="24"/>
      <c r="BX686" s="24"/>
      <c r="BY686" s="24"/>
      <c r="BZ686" s="24"/>
      <c r="CB686" s="24"/>
      <c r="CC686" s="24"/>
      <c r="CE686" s="24">
        <v>45883.608304467591</v>
      </c>
      <c r="CF686" s="24">
        <v>45279.7012378125</v>
      </c>
      <c r="CG686">
        <v>2</v>
      </c>
      <c r="CH686" s="24">
        <v>45280.4110634838</v>
      </c>
      <c r="CI686" s="24">
        <v>45280.4110634838</v>
      </c>
      <c r="CJ686" s="24">
        <v>45280.411154363428</v>
      </c>
      <c r="CK686" s="24">
        <v>45280.411154363428</v>
      </c>
      <c r="CL686">
        <v>1</v>
      </c>
      <c r="DE686" s="24"/>
      <c r="DF686" s="24"/>
      <c r="DG686" s="24"/>
      <c r="DH686" s="24"/>
      <c r="DJ686" t="s">
        <v>149</v>
      </c>
      <c r="DK686" t="s">
        <v>149</v>
      </c>
      <c r="DM686">
        <v>605</v>
      </c>
      <c r="DN686">
        <v>605</v>
      </c>
      <c r="DQ686" t="s">
        <v>1000</v>
      </c>
      <c r="DR686" t="s">
        <v>149</v>
      </c>
      <c r="DS686" s="24">
        <v>46160.384426226854</v>
      </c>
    </row>
    <row r="687" spans="1:123" x14ac:dyDescent="0.3">
      <c r="A687" t="s">
        <v>937</v>
      </c>
      <c r="D687" t="s">
        <v>223</v>
      </c>
      <c r="E687" s="24">
        <v>45254.415462962963</v>
      </c>
      <c r="G687" t="s">
        <v>102</v>
      </c>
      <c r="H687" t="s">
        <v>154</v>
      </c>
      <c r="I687" s="24"/>
      <c r="J687" s="24"/>
      <c r="K687" s="24"/>
      <c r="L687" s="24"/>
      <c r="N687" s="24"/>
      <c r="O687" s="24"/>
      <c r="P687" s="24"/>
      <c r="Q687" s="24"/>
      <c r="V687" s="24"/>
      <c r="W687" s="24"/>
      <c r="X687" s="24"/>
      <c r="Y687" s="24"/>
      <c r="AA687" s="24"/>
      <c r="AB687" s="24"/>
      <c r="AC687" s="24"/>
      <c r="AD687" s="24"/>
      <c r="AF687" s="24"/>
      <c r="AG687" s="24"/>
      <c r="AH687" s="24"/>
      <c r="AI687" s="24"/>
      <c r="AK687" s="24"/>
      <c r="AL687" s="24"/>
      <c r="AM687" s="24"/>
      <c r="AN687" s="24"/>
      <c r="AP687" s="24"/>
      <c r="AQ687" s="24"/>
      <c r="AR687" s="24"/>
      <c r="AS687" s="24"/>
      <c r="AX687" s="24"/>
      <c r="AY687" s="24"/>
      <c r="AZ687" s="24"/>
      <c r="BA687" s="24"/>
      <c r="BC687" s="24"/>
      <c r="BD687" s="24"/>
      <c r="BE687" s="24"/>
      <c r="BF687" s="24"/>
      <c r="BH687" s="24"/>
      <c r="BI687" s="24"/>
      <c r="BJ687" s="24"/>
      <c r="BK687" s="24"/>
      <c r="BM687" s="24"/>
      <c r="BN687" s="24"/>
      <c r="BO687" s="24"/>
      <c r="BP687" s="24"/>
      <c r="BR687" s="24"/>
      <c r="BS687" s="24"/>
      <c r="BT687" s="24"/>
      <c r="BU687" s="24"/>
      <c r="BW687" s="24"/>
      <c r="BX687" s="24"/>
      <c r="BY687" s="24"/>
      <c r="BZ687" s="24"/>
      <c r="CB687" s="24"/>
      <c r="CC687" s="24"/>
      <c r="CE687" s="24"/>
      <c r="CF687" s="24"/>
      <c r="CH687" s="24"/>
      <c r="CI687" s="24"/>
      <c r="CJ687" s="24"/>
      <c r="CK687" s="24"/>
      <c r="DE687" s="24"/>
      <c r="DF687" s="24"/>
      <c r="DG687" s="24"/>
      <c r="DH687" s="24"/>
      <c r="DJ687" t="s">
        <v>149</v>
      </c>
      <c r="DK687" t="s">
        <v>149</v>
      </c>
      <c r="DQ687" t="s">
        <v>1000</v>
      </c>
      <c r="DR687" t="s">
        <v>149</v>
      </c>
      <c r="DS687" s="24">
        <v>46160.384426226854</v>
      </c>
    </row>
    <row r="688" spans="1:123" x14ac:dyDescent="0.3">
      <c r="A688" t="s">
        <v>938</v>
      </c>
      <c r="D688" t="s">
        <v>223</v>
      </c>
      <c r="E688" s="24">
        <v>45242.436550925922</v>
      </c>
      <c r="G688" t="s">
        <v>107</v>
      </c>
      <c r="H688" t="s">
        <v>154</v>
      </c>
      <c r="I688" s="24"/>
      <c r="J688" s="24"/>
      <c r="K688" s="24"/>
      <c r="L688" s="24"/>
      <c r="N688" s="24"/>
      <c r="O688" s="24"/>
      <c r="P688" s="24"/>
      <c r="Q688" s="24"/>
      <c r="V688" s="24"/>
      <c r="W688" s="24"/>
      <c r="X688" s="24"/>
      <c r="Y688" s="24"/>
      <c r="AA688" s="24"/>
      <c r="AB688" s="24"/>
      <c r="AC688" s="24"/>
      <c r="AD688" s="24"/>
      <c r="AF688" s="24"/>
      <c r="AG688" s="24"/>
      <c r="AH688" s="24"/>
      <c r="AI688" s="24"/>
      <c r="AK688" s="24"/>
      <c r="AL688" s="24"/>
      <c r="AM688" s="24"/>
      <c r="AN688" s="24"/>
      <c r="AP688" s="24"/>
      <c r="AQ688" s="24"/>
      <c r="AR688" s="24">
        <v>45244.613697615743</v>
      </c>
      <c r="AS688" s="24">
        <v>45244.613697615743</v>
      </c>
      <c r="AX688" s="24"/>
      <c r="AY688" s="24"/>
      <c r="AZ688" s="24"/>
      <c r="BA688" s="24"/>
      <c r="BC688" s="24"/>
      <c r="BD688" s="24"/>
      <c r="BE688" s="24"/>
      <c r="BF688" s="24"/>
      <c r="BH688" s="24">
        <v>45244.613697615743</v>
      </c>
      <c r="BI688" s="24">
        <v>45244.613697615743</v>
      </c>
      <c r="BJ688" s="24"/>
      <c r="BK688" s="24"/>
      <c r="BL688">
        <v>1</v>
      </c>
      <c r="BM688" s="24"/>
      <c r="BN688" s="24"/>
      <c r="BO688" s="24"/>
      <c r="BP688" s="24"/>
      <c r="BR688" s="24"/>
      <c r="BS688" s="24"/>
      <c r="BT688" s="24"/>
      <c r="BU688" s="24"/>
      <c r="BW688" s="24"/>
      <c r="BX688" s="24"/>
      <c r="BY688" s="24"/>
      <c r="BZ688" s="24"/>
      <c r="CB688" s="24"/>
      <c r="CC688" s="24"/>
      <c r="CE688" s="24"/>
      <c r="CF688" s="24"/>
      <c r="CH688" s="24"/>
      <c r="CI688" s="24"/>
      <c r="CJ688" s="24"/>
      <c r="CK688" s="24"/>
      <c r="DE688" s="24"/>
      <c r="DF688" s="24"/>
      <c r="DG688" s="24"/>
      <c r="DH688" s="24"/>
      <c r="DJ688" t="s">
        <v>149</v>
      </c>
      <c r="DK688" t="s">
        <v>149</v>
      </c>
      <c r="DP688">
        <v>916</v>
      </c>
      <c r="DQ688" t="s">
        <v>1000</v>
      </c>
      <c r="DR688" t="s">
        <v>149</v>
      </c>
      <c r="DS688" s="24">
        <v>46160.384426226854</v>
      </c>
    </row>
    <row r="689" spans="1:123" x14ac:dyDescent="0.3">
      <c r="A689" t="s">
        <v>939</v>
      </c>
      <c r="D689" t="s">
        <v>223</v>
      </c>
      <c r="E689" s="24">
        <v>45218.647233796299</v>
      </c>
      <c r="G689" t="s">
        <v>150</v>
      </c>
      <c r="H689" t="s">
        <v>155</v>
      </c>
      <c r="I689" s="24"/>
      <c r="J689" s="24"/>
      <c r="K689" s="24"/>
      <c r="L689" s="24"/>
      <c r="N689" s="24"/>
      <c r="O689" s="24"/>
      <c r="P689" s="24"/>
      <c r="Q689" s="24"/>
      <c r="V689" s="24"/>
      <c r="W689" s="24"/>
      <c r="X689" s="24"/>
      <c r="Y689" s="24"/>
      <c r="AA689" s="24"/>
      <c r="AB689" s="24"/>
      <c r="AC689" s="24"/>
      <c r="AD689" s="24"/>
      <c r="AF689" s="24"/>
      <c r="AG689" s="24"/>
      <c r="AH689" s="24"/>
      <c r="AI689" s="24"/>
      <c r="AK689" s="24"/>
      <c r="AL689" s="24"/>
      <c r="AM689" s="24"/>
      <c r="AN689" s="24"/>
      <c r="AP689" s="24"/>
      <c r="AQ689" s="24"/>
      <c r="AR689" s="24">
        <v>45838.440510960645</v>
      </c>
      <c r="AS689" s="24">
        <v>45838.440510960645</v>
      </c>
      <c r="AX689" s="24"/>
      <c r="AY689" s="24"/>
      <c r="AZ689" s="24"/>
      <c r="BA689" s="24"/>
      <c r="BC689" s="24"/>
      <c r="BD689" s="24"/>
      <c r="BE689" s="24"/>
      <c r="BF689" s="24"/>
      <c r="BH689" s="24"/>
      <c r="BI689" s="24"/>
      <c r="BJ689" s="24"/>
      <c r="BK689" s="24"/>
      <c r="BM689" s="24"/>
      <c r="BN689" s="24"/>
      <c r="BO689" s="24"/>
      <c r="BP689" s="24"/>
      <c r="BR689" s="24"/>
      <c r="BS689" s="24"/>
      <c r="BT689" s="24"/>
      <c r="BU689" s="24"/>
      <c r="BW689" s="24"/>
      <c r="BX689" s="24"/>
      <c r="BY689" s="24"/>
      <c r="BZ689" s="24"/>
      <c r="CB689" s="24">
        <v>45838.440510960645</v>
      </c>
      <c r="CC689" s="24">
        <v>45838.440510960645</v>
      </c>
      <c r="CD689">
        <v>1</v>
      </c>
      <c r="CE689" s="24"/>
      <c r="CF689" s="24"/>
      <c r="CH689" s="24"/>
      <c r="CI689" s="24"/>
      <c r="CJ689" s="24"/>
      <c r="CK689" s="24"/>
      <c r="DE689" s="24"/>
      <c r="DF689" s="24"/>
      <c r="DG689" s="24"/>
      <c r="DH689" s="24"/>
      <c r="DJ689" t="s">
        <v>149</v>
      </c>
      <c r="DK689" t="s">
        <v>149</v>
      </c>
      <c r="DQ689" t="s">
        <v>1000</v>
      </c>
      <c r="DR689" t="s">
        <v>149</v>
      </c>
      <c r="DS689" s="24">
        <v>46160.384426226854</v>
      </c>
    </row>
    <row r="690" spans="1:123" x14ac:dyDescent="0.3">
      <c r="A690" t="s">
        <v>940</v>
      </c>
      <c r="D690" t="s">
        <v>223</v>
      </c>
      <c r="E690" s="24">
        <v>45216.715300925927</v>
      </c>
      <c r="G690" t="s">
        <v>102</v>
      </c>
      <c r="H690" t="s">
        <v>154</v>
      </c>
      <c r="I690" s="24"/>
      <c r="J690" s="24"/>
      <c r="K690" s="24"/>
      <c r="L690" s="24"/>
      <c r="N690" s="24"/>
      <c r="O690" s="24"/>
      <c r="P690" s="24"/>
      <c r="Q690" s="24"/>
      <c r="V690" s="24"/>
      <c r="W690" s="24"/>
      <c r="X690" s="24"/>
      <c r="Y690" s="24"/>
      <c r="AA690" s="24"/>
      <c r="AB690" s="24"/>
      <c r="AC690" s="24"/>
      <c r="AD690" s="24"/>
      <c r="AF690" s="24"/>
      <c r="AG690" s="24"/>
      <c r="AH690" s="24"/>
      <c r="AI690" s="24"/>
      <c r="AK690" s="24"/>
      <c r="AL690" s="24"/>
      <c r="AM690" s="24"/>
      <c r="AN690" s="24"/>
      <c r="AP690" s="24">
        <v>45226.458109178238</v>
      </c>
      <c r="AQ690" s="24">
        <v>45226.458109178238</v>
      </c>
      <c r="AR690" s="24"/>
      <c r="AS690" s="24"/>
      <c r="AT690">
        <v>1</v>
      </c>
      <c r="AX690" s="24"/>
      <c r="AY690" s="24"/>
      <c r="AZ690" s="24"/>
      <c r="BA690" s="24"/>
      <c r="BC690" s="24"/>
      <c r="BD690" s="24"/>
      <c r="BE690" s="24"/>
      <c r="BF690" s="24"/>
      <c r="BH690" s="24"/>
      <c r="BI690" s="24"/>
      <c r="BJ690" s="24"/>
      <c r="BK690" s="24"/>
      <c r="BM690" s="24"/>
      <c r="BN690" s="24"/>
      <c r="BO690" s="24"/>
      <c r="BP690" s="24"/>
      <c r="BR690" s="24"/>
      <c r="BS690" s="24"/>
      <c r="BT690" s="24"/>
      <c r="BU690" s="24"/>
      <c r="BW690" s="24"/>
      <c r="BX690" s="24"/>
      <c r="BY690" s="24"/>
      <c r="BZ690" s="24"/>
      <c r="CB690" s="24"/>
      <c r="CC690" s="24"/>
      <c r="CE690" s="24"/>
      <c r="CF690" s="24"/>
      <c r="CH690" s="24"/>
      <c r="CI690" s="24"/>
      <c r="CJ690" s="24"/>
      <c r="CK690" s="24"/>
      <c r="DE690" s="24"/>
      <c r="DF690" s="24"/>
      <c r="DG690" s="24"/>
      <c r="DH690" s="24"/>
      <c r="DJ690" t="s">
        <v>149</v>
      </c>
      <c r="DK690" t="s">
        <v>149</v>
      </c>
      <c r="DP690">
        <v>934</v>
      </c>
      <c r="DQ690" t="s">
        <v>1000</v>
      </c>
      <c r="DR690" t="s">
        <v>149</v>
      </c>
      <c r="DS690" s="24">
        <v>46160.384426226854</v>
      </c>
    </row>
    <row r="691" spans="1:123" x14ac:dyDescent="0.3">
      <c r="A691" t="s">
        <v>941</v>
      </c>
      <c r="D691" t="s">
        <v>223</v>
      </c>
      <c r="E691" s="24">
        <v>45198.314895833333</v>
      </c>
      <c r="G691" t="s">
        <v>150</v>
      </c>
      <c r="H691" t="s">
        <v>155</v>
      </c>
      <c r="I691" s="24"/>
      <c r="J691" s="24"/>
      <c r="K691" s="24"/>
      <c r="L691" s="24"/>
      <c r="N691" s="24"/>
      <c r="O691" s="24"/>
      <c r="P691" s="24"/>
      <c r="Q691" s="24"/>
      <c r="V691" s="24"/>
      <c r="W691" s="24"/>
      <c r="X691" s="24"/>
      <c r="Y691" s="24"/>
      <c r="AA691" s="24"/>
      <c r="AB691" s="24"/>
      <c r="AC691" s="24"/>
      <c r="AD691" s="24"/>
      <c r="AF691" s="24"/>
      <c r="AG691" s="24"/>
      <c r="AH691" s="24"/>
      <c r="AI691" s="24"/>
      <c r="AK691" s="24"/>
      <c r="AL691" s="24"/>
      <c r="AM691" s="24"/>
      <c r="AN691" s="24"/>
      <c r="AP691" s="24"/>
      <c r="AQ691" s="24"/>
      <c r="AR691" s="24">
        <v>45968.644123495367</v>
      </c>
      <c r="AS691" s="24">
        <v>45968.644123495367</v>
      </c>
      <c r="AX691" s="24"/>
      <c r="AY691" s="24"/>
      <c r="AZ691" s="24"/>
      <c r="BA691" s="24"/>
      <c r="BC691" s="24"/>
      <c r="BD691" s="24"/>
      <c r="BE691" s="24"/>
      <c r="BF691" s="24"/>
      <c r="BH691" s="24"/>
      <c r="BI691" s="24"/>
      <c r="BJ691" s="24"/>
      <c r="BK691" s="24"/>
      <c r="BM691" s="24"/>
      <c r="BN691" s="24"/>
      <c r="BO691" s="24"/>
      <c r="BP691" s="24"/>
      <c r="BR691" s="24"/>
      <c r="BS691" s="24"/>
      <c r="BT691" s="24"/>
      <c r="BU691" s="24"/>
      <c r="BW691" s="24"/>
      <c r="BX691" s="24"/>
      <c r="BY691" s="24"/>
      <c r="BZ691" s="24"/>
      <c r="CB691" s="24">
        <v>45968.644123495367</v>
      </c>
      <c r="CC691" s="24">
        <v>45968.644123495367</v>
      </c>
      <c r="CD691">
        <v>1</v>
      </c>
      <c r="CE691" s="24"/>
      <c r="CF691" s="24"/>
      <c r="CH691" s="24"/>
      <c r="CI691" s="24"/>
      <c r="CJ691" s="24"/>
      <c r="CK691" s="24"/>
      <c r="DE691" s="24"/>
      <c r="DF691" s="24"/>
      <c r="DG691" s="24"/>
      <c r="DH691" s="24"/>
      <c r="DJ691" t="s">
        <v>149</v>
      </c>
      <c r="DK691" t="s">
        <v>149</v>
      </c>
      <c r="DQ691" t="s">
        <v>1000</v>
      </c>
      <c r="DR691" t="s">
        <v>149</v>
      </c>
      <c r="DS691" s="24">
        <v>46160.384426226854</v>
      </c>
    </row>
    <row r="692" spans="1:123" x14ac:dyDescent="0.3">
      <c r="A692" t="s">
        <v>942</v>
      </c>
      <c r="D692" t="s">
        <v>223</v>
      </c>
      <c r="E692" s="24">
        <v>45174.453368055554</v>
      </c>
      <c r="G692" t="s">
        <v>150</v>
      </c>
      <c r="H692" t="s">
        <v>155</v>
      </c>
      <c r="I692" s="24">
        <v>45189.389054513886</v>
      </c>
      <c r="J692" s="24">
        <v>45189.389054513886</v>
      </c>
      <c r="K692" s="24">
        <v>45189.39537273148</v>
      </c>
      <c r="L692" s="24">
        <v>45189.39537273148</v>
      </c>
      <c r="M692">
        <v>1</v>
      </c>
      <c r="N692" s="24"/>
      <c r="O692" s="24"/>
      <c r="P692" s="24"/>
      <c r="Q692" s="24"/>
      <c r="V692" s="24"/>
      <c r="W692" s="24"/>
      <c r="X692" s="24"/>
      <c r="Y692" s="24"/>
      <c r="AA692" s="24"/>
      <c r="AB692" s="24"/>
      <c r="AC692" s="24"/>
      <c r="AD692" s="24"/>
      <c r="AF692" s="24"/>
      <c r="AG692" s="24"/>
      <c r="AH692" s="24"/>
      <c r="AI692" s="24"/>
      <c r="AK692" s="24"/>
      <c r="AL692" s="24"/>
      <c r="AM692" s="24"/>
      <c r="AN692" s="24"/>
      <c r="AP692" s="24"/>
      <c r="AQ692" s="24"/>
      <c r="AR692" s="24"/>
      <c r="AS692" s="24"/>
      <c r="AX692" s="24"/>
      <c r="AY692" s="24"/>
      <c r="AZ692" s="24"/>
      <c r="BA692" s="24"/>
      <c r="BC692" s="24"/>
      <c r="BD692" s="24"/>
      <c r="BE692" s="24"/>
      <c r="BF692" s="24"/>
      <c r="BH692" s="24">
        <v>45177.846241620369</v>
      </c>
      <c r="BI692" s="24">
        <v>45177.846241620369</v>
      </c>
      <c r="BJ692" s="24">
        <v>45189.389054513886</v>
      </c>
      <c r="BK692" s="24">
        <v>45189.389054513886</v>
      </c>
      <c r="BL692">
        <v>1</v>
      </c>
      <c r="BM692" s="24"/>
      <c r="BN692" s="24"/>
      <c r="BO692" s="24"/>
      <c r="BP692" s="24"/>
      <c r="BR692" s="24"/>
      <c r="BS692" s="24"/>
      <c r="BT692" s="24"/>
      <c r="BU692" s="24"/>
      <c r="BW692" s="24">
        <v>45189.39537273148</v>
      </c>
      <c r="BX692" s="24">
        <v>45189.39537273148</v>
      </c>
      <c r="BY692" s="24">
        <v>45854.466701226855</v>
      </c>
      <c r="BZ692" s="24">
        <v>45854.466701226855</v>
      </c>
      <c r="CA692">
        <v>1</v>
      </c>
      <c r="CB692" s="24">
        <v>45854.466701226855</v>
      </c>
      <c r="CC692" s="24">
        <v>45854.466701226855</v>
      </c>
      <c r="CD692">
        <v>1</v>
      </c>
      <c r="CE692" s="24"/>
      <c r="CF692" s="24"/>
      <c r="CH692" s="24"/>
      <c r="CI692" s="24"/>
      <c r="CJ692" s="24"/>
      <c r="CK692" s="24"/>
      <c r="DE692" s="24"/>
      <c r="DF692" s="24"/>
      <c r="DG692" s="24"/>
      <c r="DH692" s="24"/>
      <c r="DJ692" t="s">
        <v>149</v>
      </c>
      <c r="DK692" t="s">
        <v>149</v>
      </c>
      <c r="DQ692" t="s">
        <v>1000</v>
      </c>
      <c r="DR692" t="s">
        <v>149</v>
      </c>
      <c r="DS692" s="24">
        <v>46160.384426226854</v>
      </c>
    </row>
    <row r="693" spans="1:123" x14ac:dyDescent="0.3">
      <c r="A693" t="s">
        <v>943</v>
      </c>
      <c r="D693" t="s">
        <v>223</v>
      </c>
      <c r="E693" s="24">
        <v>45149.421377314815</v>
      </c>
      <c r="G693" t="s">
        <v>150</v>
      </c>
      <c r="H693" t="s">
        <v>155</v>
      </c>
      <c r="I693" s="24"/>
      <c r="J693" s="24"/>
      <c r="K693" s="24"/>
      <c r="L693" s="24"/>
      <c r="N693" s="24"/>
      <c r="O693" s="24"/>
      <c r="P693" s="24"/>
      <c r="Q693" s="24"/>
      <c r="V693" s="24"/>
      <c r="W693" s="24"/>
      <c r="X693" s="24"/>
      <c r="Y693" s="24"/>
      <c r="AA693" s="24"/>
      <c r="AB693" s="24"/>
      <c r="AC693" s="24"/>
      <c r="AD693" s="24"/>
      <c r="AF693" s="24"/>
      <c r="AG693" s="24"/>
      <c r="AH693" s="24"/>
      <c r="AI693" s="24"/>
      <c r="AK693" s="24"/>
      <c r="AL693" s="24"/>
      <c r="AM693" s="24"/>
      <c r="AN693" s="24"/>
      <c r="AP693" s="24"/>
      <c r="AQ693" s="24"/>
      <c r="AR693" s="24"/>
      <c r="AS693" s="24"/>
      <c r="AX693" s="24"/>
      <c r="AY693" s="24"/>
      <c r="AZ693" s="24"/>
      <c r="BA693" s="24"/>
      <c r="BC693" s="24"/>
      <c r="BD693" s="24"/>
      <c r="BE693" s="24"/>
      <c r="BF693" s="24"/>
      <c r="BH693" s="24">
        <v>45177.846199988424</v>
      </c>
      <c r="BI693" s="24">
        <v>45177.846199988424</v>
      </c>
      <c r="BJ693" s="24">
        <v>46003.439981793985</v>
      </c>
      <c r="BK693" s="24">
        <v>46003.439981793985</v>
      </c>
      <c r="BL693">
        <v>1</v>
      </c>
      <c r="BM693" s="24"/>
      <c r="BN693" s="24"/>
      <c r="BO693" s="24"/>
      <c r="BP693" s="24"/>
      <c r="BR693" s="24"/>
      <c r="BS693" s="24"/>
      <c r="BT693" s="24"/>
      <c r="BU693" s="24"/>
      <c r="BW693" s="24"/>
      <c r="BX693" s="24"/>
      <c r="BY693" s="24"/>
      <c r="BZ693" s="24"/>
      <c r="CB693" s="24">
        <v>46003.439981793985</v>
      </c>
      <c r="CC693" s="24">
        <v>46003.439981793985</v>
      </c>
      <c r="CD693">
        <v>1</v>
      </c>
      <c r="CE693" s="24"/>
      <c r="CF693" s="24"/>
      <c r="CH693" s="24"/>
      <c r="CI693" s="24"/>
      <c r="CJ693" s="24"/>
      <c r="CK693" s="24"/>
      <c r="DE693" s="24"/>
      <c r="DF693" s="24"/>
      <c r="DG693" s="24"/>
      <c r="DH693" s="24"/>
      <c r="DJ693" t="s">
        <v>149</v>
      </c>
      <c r="DK693" t="s">
        <v>149</v>
      </c>
      <c r="DQ693" t="s">
        <v>1000</v>
      </c>
      <c r="DR693" t="s">
        <v>149</v>
      </c>
      <c r="DS693" s="24">
        <v>46160.384426226854</v>
      </c>
    </row>
    <row r="694" spans="1:123" x14ac:dyDescent="0.3">
      <c r="A694" t="s">
        <v>944</v>
      </c>
      <c r="D694" t="s">
        <v>223</v>
      </c>
      <c r="E694" s="24">
        <v>45174.455023148148</v>
      </c>
      <c r="G694" t="s">
        <v>106</v>
      </c>
      <c r="H694" t="s">
        <v>154</v>
      </c>
      <c r="I694" s="24">
        <v>45189.388971759261</v>
      </c>
      <c r="J694" s="24">
        <v>45189.388971759261</v>
      </c>
      <c r="K694" s="24">
        <v>45189.395184803237</v>
      </c>
      <c r="L694" s="24">
        <v>45189.395184803237</v>
      </c>
      <c r="M694">
        <v>1</v>
      </c>
      <c r="N694" s="24"/>
      <c r="O694" s="24"/>
      <c r="P694" s="24"/>
      <c r="Q694" s="24"/>
      <c r="V694" s="24"/>
      <c r="W694" s="24"/>
      <c r="X694" s="24"/>
      <c r="Y694" s="24"/>
      <c r="AA694" s="24"/>
      <c r="AB694" s="24"/>
      <c r="AC694" s="24"/>
      <c r="AD694" s="24"/>
      <c r="AF694" s="24"/>
      <c r="AG694" s="24"/>
      <c r="AH694" s="24"/>
      <c r="AI694" s="24"/>
      <c r="AK694" s="24"/>
      <c r="AL694" s="24"/>
      <c r="AM694" s="24"/>
      <c r="AN694" s="24"/>
      <c r="AP694" s="24"/>
      <c r="AQ694" s="24"/>
      <c r="AR694" s="24"/>
      <c r="AS694" s="24"/>
      <c r="AX694" s="24"/>
      <c r="AY694" s="24"/>
      <c r="AZ694" s="24"/>
      <c r="BA694" s="24"/>
      <c r="BC694" s="24"/>
      <c r="BD694" s="24"/>
      <c r="BE694" s="24"/>
      <c r="BF694" s="24"/>
      <c r="BH694" s="24">
        <v>45177.846122939816</v>
      </c>
      <c r="BI694" s="24">
        <v>45177.846122939816</v>
      </c>
      <c r="BJ694" s="24">
        <v>45189.388971759261</v>
      </c>
      <c r="BK694" s="24">
        <v>45189.388971759261</v>
      </c>
      <c r="BL694">
        <v>1</v>
      </c>
      <c r="BM694" s="24"/>
      <c r="BN694" s="24"/>
      <c r="BO694" s="24"/>
      <c r="BP694" s="24"/>
      <c r="BR694" s="24"/>
      <c r="BS694" s="24"/>
      <c r="BT694" s="24"/>
      <c r="BU694" s="24"/>
      <c r="BW694" s="24">
        <v>45189.395184803237</v>
      </c>
      <c r="BX694" s="24">
        <v>45189.395184803237</v>
      </c>
      <c r="BY694" s="24"/>
      <c r="BZ694" s="24"/>
      <c r="CA694">
        <v>1</v>
      </c>
      <c r="CB694" s="24"/>
      <c r="CC694" s="24"/>
      <c r="CE694" s="24"/>
      <c r="CF694" s="24"/>
      <c r="CH694" s="24"/>
      <c r="CI694" s="24"/>
      <c r="CJ694" s="24"/>
      <c r="CK694" s="24"/>
      <c r="DE694" s="24"/>
      <c r="DF694" s="24"/>
      <c r="DG694" s="24"/>
      <c r="DH694" s="24"/>
      <c r="DJ694" t="s">
        <v>149</v>
      </c>
      <c r="DK694" t="s">
        <v>149</v>
      </c>
      <c r="DP694">
        <v>971</v>
      </c>
      <c r="DQ694" t="s">
        <v>1000</v>
      </c>
      <c r="DR694" t="s">
        <v>149</v>
      </c>
      <c r="DS694" s="24">
        <v>46160.384426226854</v>
      </c>
    </row>
    <row r="695" spans="1:123" x14ac:dyDescent="0.3">
      <c r="A695" t="s">
        <v>945</v>
      </c>
      <c r="D695" t="s">
        <v>225</v>
      </c>
      <c r="E695" s="24">
        <v>45174.324872685182</v>
      </c>
      <c r="G695" t="s">
        <v>150</v>
      </c>
      <c r="H695" t="s">
        <v>155</v>
      </c>
      <c r="I695" s="24">
        <v>45189.384734363426</v>
      </c>
      <c r="J695" s="24">
        <v>45189.384734363426</v>
      </c>
      <c r="K695" s="24">
        <v>45189.393807071756</v>
      </c>
      <c r="L695" s="24">
        <v>45189.393807071756</v>
      </c>
      <c r="M695">
        <v>1</v>
      </c>
      <c r="N695" s="24"/>
      <c r="O695" s="24"/>
      <c r="P695" s="24"/>
      <c r="Q695" s="24"/>
      <c r="V695" s="24"/>
      <c r="W695" s="24"/>
      <c r="X695" s="24"/>
      <c r="Y695" s="24"/>
      <c r="AA695" s="24"/>
      <c r="AB695" s="24"/>
      <c r="AC695" s="24"/>
      <c r="AD695" s="24"/>
      <c r="AF695" s="24"/>
      <c r="AG695" s="24"/>
      <c r="AH695" s="24"/>
      <c r="AI695" s="24"/>
      <c r="AK695" s="24"/>
      <c r="AL695" s="24"/>
      <c r="AM695" s="24"/>
      <c r="AN695" s="24"/>
      <c r="AP695" s="24"/>
      <c r="AQ695" s="24"/>
      <c r="AR695" s="24"/>
      <c r="AS695" s="24"/>
      <c r="AX695" s="24"/>
      <c r="AY695" s="24"/>
      <c r="AZ695" s="24"/>
      <c r="BA695" s="24"/>
      <c r="BC695" s="24"/>
      <c r="BD695" s="24"/>
      <c r="BE695" s="24"/>
      <c r="BF695" s="24"/>
      <c r="BH695" s="24">
        <v>45177.846009548608</v>
      </c>
      <c r="BI695" s="24">
        <v>45177.846009548608</v>
      </c>
      <c r="BJ695" s="24">
        <v>45189.384734363426</v>
      </c>
      <c r="BK695" s="24">
        <v>45189.384734363426</v>
      </c>
      <c r="BL695">
        <v>1</v>
      </c>
      <c r="BM695" s="24"/>
      <c r="BN695" s="24"/>
      <c r="BO695" s="24"/>
      <c r="BP695" s="24"/>
      <c r="BR695" s="24"/>
      <c r="BS695" s="24"/>
      <c r="BT695" s="24"/>
      <c r="BU695" s="24"/>
      <c r="BW695" s="24">
        <v>45189.393807071756</v>
      </c>
      <c r="BX695" s="24">
        <v>45189.393807071756</v>
      </c>
      <c r="BY695" s="24">
        <v>45968.646413171293</v>
      </c>
      <c r="BZ695" s="24">
        <v>45968.646413171293</v>
      </c>
      <c r="CA695">
        <v>1</v>
      </c>
      <c r="CB695" s="24">
        <v>45968.646413171293</v>
      </c>
      <c r="CC695" s="24">
        <v>45968.646413171293</v>
      </c>
      <c r="CD695">
        <v>1</v>
      </c>
      <c r="CE695" s="24"/>
      <c r="CF695" s="24"/>
      <c r="CH695" s="24"/>
      <c r="CI695" s="24"/>
      <c r="CJ695" s="24"/>
      <c r="CK695" s="24"/>
      <c r="DE695" s="24"/>
      <c r="DF695" s="24"/>
      <c r="DG695" s="24"/>
      <c r="DH695" s="24"/>
      <c r="DJ695" t="s">
        <v>149</v>
      </c>
      <c r="DK695" t="s">
        <v>149</v>
      </c>
      <c r="DQ695" t="s">
        <v>1000</v>
      </c>
      <c r="DR695" t="s">
        <v>149</v>
      </c>
      <c r="DS695" s="24">
        <v>46160.384426226854</v>
      </c>
    </row>
    <row r="696" spans="1:123" x14ac:dyDescent="0.3">
      <c r="A696" t="s">
        <v>946</v>
      </c>
      <c r="D696" t="s">
        <v>223</v>
      </c>
      <c r="E696" s="24">
        <v>44958.369398148148</v>
      </c>
      <c r="G696" t="s">
        <v>106</v>
      </c>
      <c r="H696" t="s">
        <v>154</v>
      </c>
      <c r="I696" s="24">
        <v>45189.388955509261</v>
      </c>
      <c r="J696" s="24">
        <v>45189.388955509261</v>
      </c>
      <c r="K696" s="24">
        <v>45189.395396782405</v>
      </c>
      <c r="L696" s="24">
        <v>45189.395396782405</v>
      </c>
      <c r="M696">
        <v>1</v>
      </c>
      <c r="N696" s="24"/>
      <c r="O696" s="24"/>
      <c r="P696" s="24"/>
      <c r="Q696" s="24"/>
      <c r="V696" s="24"/>
      <c r="W696" s="24"/>
      <c r="X696" s="24"/>
      <c r="Y696" s="24"/>
      <c r="AA696" s="24"/>
      <c r="AB696" s="24"/>
      <c r="AC696" s="24"/>
      <c r="AD696" s="24"/>
      <c r="AF696" s="24"/>
      <c r="AG696" s="24"/>
      <c r="AH696" s="24"/>
      <c r="AI696" s="24"/>
      <c r="AK696" s="24"/>
      <c r="AL696" s="24"/>
      <c r="AM696" s="24"/>
      <c r="AN696" s="24"/>
      <c r="AP696" s="24"/>
      <c r="AQ696" s="24"/>
      <c r="AR696" s="24"/>
      <c r="AS696" s="24"/>
      <c r="AX696" s="24"/>
      <c r="AY696" s="24"/>
      <c r="AZ696" s="24"/>
      <c r="BA696" s="24"/>
      <c r="BC696" s="24"/>
      <c r="BD696" s="24"/>
      <c r="BE696" s="24"/>
      <c r="BF696" s="24"/>
      <c r="BH696" s="24">
        <v>45177.815275497684</v>
      </c>
      <c r="BI696" s="24">
        <v>45177.815275497684</v>
      </c>
      <c r="BJ696" s="24">
        <v>45189.388955509261</v>
      </c>
      <c r="BK696" s="24">
        <v>45189.388955509261</v>
      </c>
      <c r="BL696">
        <v>1</v>
      </c>
      <c r="BM696" s="24"/>
      <c r="BN696" s="24"/>
      <c r="BO696" s="24"/>
      <c r="BP696" s="24"/>
      <c r="BR696" s="24"/>
      <c r="BS696" s="24"/>
      <c r="BT696" s="24"/>
      <c r="BU696" s="24"/>
      <c r="BW696" s="24">
        <v>45189.395396782405</v>
      </c>
      <c r="BX696" s="24">
        <v>45189.395396782405</v>
      </c>
      <c r="BY696" s="24"/>
      <c r="BZ696" s="24"/>
      <c r="CA696">
        <v>1</v>
      </c>
      <c r="CB696" s="24"/>
      <c r="CC696" s="24"/>
      <c r="CE696" s="24"/>
      <c r="CF696" s="24"/>
      <c r="CH696" s="24"/>
      <c r="CI696" s="24"/>
      <c r="CJ696" s="24"/>
      <c r="CK696" s="24"/>
      <c r="DE696" s="24"/>
      <c r="DF696" s="24"/>
      <c r="DG696" s="24"/>
      <c r="DH696" s="24"/>
      <c r="DJ696" t="s">
        <v>149</v>
      </c>
      <c r="DK696" t="s">
        <v>149</v>
      </c>
      <c r="DP696">
        <v>971</v>
      </c>
      <c r="DQ696" t="s">
        <v>1000</v>
      </c>
      <c r="DR696" t="s">
        <v>149</v>
      </c>
      <c r="DS696" s="24">
        <v>46160.384426226854</v>
      </c>
    </row>
    <row r="697" spans="1:123" x14ac:dyDescent="0.3">
      <c r="A697" t="s">
        <v>947</v>
      </c>
      <c r="D697" t="s">
        <v>223</v>
      </c>
      <c r="E697" s="24">
        <v>44756.302719907406</v>
      </c>
      <c r="G697" t="s">
        <v>150</v>
      </c>
      <c r="H697" t="s">
        <v>155</v>
      </c>
      <c r="I697" s="24"/>
      <c r="J697" s="24"/>
      <c r="K697" s="24"/>
      <c r="L697" s="24"/>
      <c r="N697" s="24"/>
      <c r="O697" s="24"/>
      <c r="P697" s="24"/>
      <c r="Q697" s="24"/>
      <c r="V697" s="24"/>
      <c r="W697" s="24"/>
      <c r="X697" s="24"/>
      <c r="Y697" s="24"/>
      <c r="AA697" s="24"/>
      <c r="AB697" s="24"/>
      <c r="AC697" s="24"/>
      <c r="AD697" s="24"/>
      <c r="AF697" s="24"/>
      <c r="AG697" s="24"/>
      <c r="AH697" s="24"/>
      <c r="AI697" s="24"/>
      <c r="AK697" s="24"/>
      <c r="AL697" s="24"/>
      <c r="AM697" s="24"/>
      <c r="AN697" s="24"/>
      <c r="AP697" s="24"/>
      <c r="AQ697" s="24"/>
      <c r="AR697" s="24"/>
      <c r="AS697" s="24"/>
      <c r="AX697" s="24"/>
      <c r="AY697" s="24"/>
      <c r="AZ697" s="24"/>
      <c r="BA697" s="24"/>
      <c r="BC697" s="24"/>
      <c r="BD697" s="24"/>
      <c r="BE697" s="24"/>
      <c r="BF697" s="24"/>
      <c r="BH697" s="24">
        <v>45177.815139259263</v>
      </c>
      <c r="BI697" s="24">
        <v>45177.815139259263</v>
      </c>
      <c r="BJ697" s="24">
        <v>45968.643900902774</v>
      </c>
      <c r="BK697" s="24">
        <v>45968.643900902774</v>
      </c>
      <c r="BL697">
        <v>1</v>
      </c>
      <c r="BM697" s="24"/>
      <c r="BN697" s="24"/>
      <c r="BO697" s="24"/>
      <c r="BP697" s="24"/>
      <c r="BR697" s="24"/>
      <c r="BS697" s="24"/>
      <c r="BT697" s="24"/>
      <c r="BU697" s="24"/>
      <c r="BW697" s="24"/>
      <c r="BX697" s="24"/>
      <c r="BY697" s="24"/>
      <c r="BZ697" s="24"/>
      <c r="CB697" s="24">
        <v>45968.643900902774</v>
      </c>
      <c r="CC697" s="24">
        <v>45968.643900902774</v>
      </c>
      <c r="CD697">
        <v>1</v>
      </c>
      <c r="CE697" s="24"/>
      <c r="CF697" s="24"/>
      <c r="CH697" s="24"/>
      <c r="CI697" s="24"/>
      <c r="CJ697" s="24"/>
      <c r="CK697" s="24"/>
      <c r="DE697" s="24"/>
      <c r="DF697" s="24"/>
      <c r="DG697" s="24"/>
      <c r="DH697" s="24"/>
      <c r="DJ697" t="s">
        <v>149</v>
      </c>
      <c r="DK697" t="s">
        <v>149</v>
      </c>
      <c r="DQ697" t="s">
        <v>1000</v>
      </c>
      <c r="DR697" t="s">
        <v>149</v>
      </c>
      <c r="DS697" s="24">
        <v>46160.384426226854</v>
      </c>
    </row>
    <row r="698" spans="1:123" x14ac:dyDescent="0.3">
      <c r="A698" t="s">
        <v>948</v>
      </c>
      <c r="D698" t="s">
        <v>223</v>
      </c>
      <c r="E698" s="24">
        <v>44988.348541666666</v>
      </c>
      <c r="G698" t="s">
        <v>150</v>
      </c>
      <c r="H698" t="s">
        <v>155</v>
      </c>
      <c r="I698" s="24">
        <v>45189.388966712962</v>
      </c>
      <c r="J698" s="24">
        <v>45189.388966712962</v>
      </c>
      <c r="K698" s="24">
        <v>45189.39526607639</v>
      </c>
      <c r="L698" s="24">
        <v>45189.39526607639</v>
      </c>
      <c r="M698">
        <v>1</v>
      </c>
      <c r="N698" s="24"/>
      <c r="O698" s="24"/>
      <c r="P698" s="24"/>
      <c r="Q698" s="24"/>
      <c r="V698" s="24"/>
      <c r="W698" s="24"/>
      <c r="X698" s="24"/>
      <c r="Y698" s="24"/>
      <c r="AA698" s="24"/>
      <c r="AB698" s="24"/>
      <c r="AC698" s="24"/>
      <c r="AD698" s="24"/>
      <c r="AF698" s="24"/>
      <c r="AG698" s="24"/>
      <c r="AH698" s="24"/>
      <c r="AI698" s="24"/>
      <c r="AK698" s="24"/>
      <c r="AL698" s="24"/>
      <c r="AM698" s="24"/>
      <c r="AN698" s="24"/>
      <c r="AP698" s="24"/>
      <c r="AQ698" s="24"/>
      <c r="AR698" s="24"/>
      <c r="AS698" s="24"/>
      <c r="AX698" s="24"/>
      <c r="AY698" s="24"/>
      <c r="AZ698" s="24"/>
      <c r="BA698" s="24"/>
      <c r="BC698" s="24"/>
      <c r="BD698" s="24"/>
      <c r="BE698" s="24"/>
      <c r="BF698" s="24"/>
      <c r="BH698" s="24">
        <v>45177.814426863428</v>
      </c>
      <c r="BI698" s="24">
        <v>45177.814426863428</v>
      </c>
      <c r="BJ698" s="24">
        <v>45189.388966712962</v>
      </c>
      <c r="BK698" s="24">
        <v>45189.388966712962</v>
      </c>
      <c r="BL698">
        <v>1</v>
      </c>
      <c r="BM698" s="24"/>
      <c r="BN698" s="24"/>
      <c r="BO698" s="24"/>
      <c r="BP698" s="24"/>
      <c r="BR698" s="24"/>
      <c r="BS698" s="24"/>
      <c r="BT698" s="24"/>
      <c r="BU698" s="24"/>
      <c r="BW698" s="24">
        <v>45189.39526607639</v>
      </c>
      <c r="BX698" s="24">
        <v>45189.39526607639</v>
      </c>
      <c r="BY698" s="24">
        <v>45968.644797094908</v>
      </c>
      <c r="BZ698" s="24">
        <v>45968.644797094908</v>
      </c>
      <c r="CA698">
        <v>1</v>
      </c>
      <c r="CB698" s="24">
        <v>45968.644797094908</v>
      </c>
      <c r="CC698" s="24">
        <v>45968.644797094908</v>
      </c>
      <c r="CD698">
        <v>1</v>
      </c>
      <c r="CE698" s="24"/>
      <c r="CF698" s="24"/>
      <c r="CH698" s="24"/>
      <c r="CI698" s="24"/>
      <c r="CJ698" s="24"/>
      <c r="CK698" s="24"/>
      <c r="DE698" s="24"/>
      <c r="DF698" s="24"/>
      <c r="DG698" s="24"/>
      <c r="DH698" s="24"/>
      <c r="DJ698" t="s">
        <v>149</v>
      </c>
      <c r="DK698" t="s">
        <v>149</v>
      </c>
      <c r="DQ698" t="s">
        <v>1000</v>
      </c>
      <c r="DR698" t="s">
        <v>149</v>
      </c>
      <c r="DS698" s="24">
        <v>46160.384426226854</v>
      </c>
    </row>
    <row r="699" spans="1:123" x14ac:dyDescent="0.3">
      <c r="A699" t="s">
        <v>949</v>
      </c>
      <c r="D699" t="s">
        <v>223</v>
      </c>
      <c r="E699" s="24">
        <v>45107.666689814818</v>
      </c>
      <c r="G699" t="s">
        <v>107</v>
      </c>
      <c r="H699" t="s">
        <v>154</v>
      </c>
      <c r="I699" s="24"/>
      <c r="J699" s="24"/>
      <c r="K699" s="24"/>
      <c r="L699" s="24"/>
      <c r="N699" s="24"/>
      <c r="O699" s="24"/>
      <c r="P699" s="24"/>
      <c r="Q699" s="24"/>
      <c r="V699" s="24"/>
      <c r="W699" s="24"/>
      <c r="X699" s="24"/>
      <c r="Y699" s="24"/>
      <c r="AA699" s="24"/>
      <c r="AB699" s="24"/>
      <c r="AC699" s="24"/>
      <c r="AD699" s="24"/>
      <c r="AF699" s="24"/>
      <c r="AG699" s="24"/>
      <c r="AH699" s="24"/>
      <c r="AI699" s="24"/>
      <c r="AK699" s="24"/>
      <c r="AL699" s="24"/>
      <c r="AM699" s="24"/>
      <c r="AN699" s="24"/>
      <c r="AP699" s="24"/>
      <c r="AQ699" s="24"/>
      <c r="AR699" s="24"/>
      <c r="AS699" s="24"/>
      <c r="AX699" s="24"/>
      <c r="AY699" s="24"/>
      <c r="AZ699" s="24"/>
      <c r="BA699" s="24"/>
      <c r="BC699" s="24"/>
      <c r="BD699" s="24"/>
      <c r="BE699" s="24"/>
      <c r="BF699" s="24"/>
      <c r="BH699" s="24">
        <v>45177.812677685186</v>
      </c>
      <c r="BI699" s="24">
        <v>45177.812677685186</v>
      </c>
      <c r="BJ699" s="24"/>
      <c r="BK699" s="24"/>
      <c r="BL699">
        <v>1</v>
      </c>
      <c r="BM699" s="24"/>
      <c r="BN699" s="24"/>
      <c r="BO699" s="24"/>
      <c r="BP699" s="24"/>
      <c r="BR699" s="24"/>
      <c r="BS699" s="24"/>
      <c r="BT699" s="24"/>
      <c r="BU699" s="24"/>
      <c r="BW699" s="24"/>
      <c r="BX699" s="24"/>
      <c r="BY699" s="24"/>
      <c r="BZ699" s="24"/>
      <c r="CB699" s="24"/>
      <c r="CC699" s="24"/>
      <c r="CE699" s="24"/>
      <c r="CF699" s="24"/>
      <c r="CH699" s="24"/>
      <c r="CI699" s="24"/>
      <c r="CJ699" s="24"/>
      <c r="CK699" s="24"/>
      <c r="DE699" s="24"/>
      <c r="DF699" s="24"/>
      <c r="DG699" s="24"/>
      <c r="DH699" s="24"/>
      <c r="DJ699" t="s">
        <v>149</v>
      </c>
      <c r="DK699" t="s">
        <v>149</v>
      </c>
      <c r="DP699">
        <v>983</v>
      </c>
      <c r="DQ699" t="s">
        <v>1000</v>
      </c>
      <c r="DR699" t="s">
        <v>149</v>
      </c>
      <c r="DS699" s="24">
        <v>46160.384426226854</v>
      </c>
    </row>
    <row r="700" spans="1:123" x14ac:dyDescent="0.3">
      <c r="A700" t="s">
        <v>950</v>
      </c>
      <c r="D700" t="s">
        <v>223</v>
      </c>
      <c r="E700" s="24">
        <v>45001.312314814815</v>
      </c>
      <c r="G700" t="s">
        <v>106</v>
      </c>
      <c r="H700" t="s">
        <v>154</v>
      </c>
      <c r="I700" s="24">
        <v>45189.389132280092</v>
      </c>
      <c r="J700" s="24">
        <v>45189.389132280092</v>
      </c>
      <c r="K700" s="24">
        <v>45189.395385057869</v>
      </c>
      <c r="L700" s="24">
        <v>45189.395385057869</v>
      </c>
      <c r="M700">
        <v>1</v>
      </c>
      <c r="N700" s="24"/>
      <c r="O700" s="24"/>
      <c r="P700" s="24"/>
      <c r="Q700" s="24"/>
      <c r="V700" s="24"/>
      <c r="W700" s="24"/>
      <c r="X700" s="24"/>
      <c r="Y700" s="24"/>
      <c r="AA700" s="24"/>
      <c r="AB700" s="24"/>
      <c r="AC700" s="24"/>
      <c r="AD700" s="24"/>
      <c r="AF700" s="24"/>
      <c r="AG700" s="24"/>
      <c r="AH700" s="24"/>
      <c r="AI700" s="24"/>
      <c r="AK700" s="24"/>
      <c r="AL700" s="24"/>
      <c r="AM700" s="24"/>
      <c r="AN700" s="24"/>
      <c r="AP700" s="24"/>
      <c r="AQ700" s="24"/>
      <c r="AR700" s="24"/>
      <c r="AS700" s="24"/>
      <c r="AX700" s="24"/>
      <c r="AY700" s="24"/>
      <c r="AZ700" s="24"/>
      <c r="BA700" s="24"/>
      <c r="BC700" s="24"/>
      <c r="BD700" s="24"/>
      <c r="BE700" s="24"/>
      <c r="BF700" s="24"/>
      <c r="BH700" s="24">
        <v>45177.812333738424</v>
      </c>
      <c r="BI700" s="24">
        <v>45177.812333738424</v>
      </c>
      <c r="BJ700" s="24">
        <v>45189.389132280092</v>
      </c>
      <c r="BK700" s="24">
        <v>45189.389132280092</v>
      </c>
      <c r="BL700">
        <v>1</v>
      </c>
      <c r="BM700" s="24"/>
      <c r="BN700" s="24"/>
      <c r="BO700" s="24"/>
      <c r="BP700" s="24"/>
      <c r="BR700" s="24"/>
      <c r="BS700" s="24"/>
      <c r="BT700" s="24"/>
      <c r="BU700" s="24"/>
      <c r="BW700" s="24">
        <v>45189.395385057869</v>
      </c>
      <c r="BX700" s="24">
        <v>45189.395385057869</v>
      </c>
      <c r="BY700" s="24"/>
      <c r="BZ700" s="24"/>
      <c r="CA700">
        <v>1</v>
      </c>
      <c r="CB700" s="24"/>
      <c r="CC700" s="24"/>
      <c r="CE700" s="24"/>
      <c r="CF700" s="24"/>
      <c r="CH700" s="24"/>
      <c r="CI700" s="24"/>
      <c r="CJ700" s="24"/>
      <c r="CK700" s="24"/>
      <c r="DE700" s="24"/>
      <c r="DF700" s="24"/>
      <c r="DG700" s="24"/>
      <c r="DH700" s="24"/>
      <c r="DJ700" t="s">
        <v>149</v>
      </c>
      <c r="DK700" t="s">
        <v>149</v>
      </c>
      <c r="DP700">
        <v>971</v>
      </c>
      <c r="DQ700" t="s">
        <v>1000</v>
      </c>
      <c r="DR700" t="s">
        <v>149</v>
      </c>
      <c r="DS700" s="24">
        <v>46160.384426226854</v>
      </c>
    </row>
    <row r="701" spans="1:123" x14ac:dyDescent="0.3">
      <c r="A701" t="s">
        <v>951</v>
      </c>
      <c r="D701" t="s">
        <v>223</v>
      </c>
      <c r="E701" s="24">
        <v>45077.735972222225</v>
      </c>
      <c r="G701" t="s">
        <v>106</v>
      </c>
      <c r="H701" t="s">
        <v>154</v>
      </c>
      <c r="I701" s="24">
        <v>45189.389049652775</v>
      </c>
      <c r="J701" s="24">
        <v>45189.389049652775</v>
      </c>
      <c r="K701" s="24">
        <v>45189.395159513886</v>
      </c>
      <c r="L701" s="24">
        <v>45189.395159513886</v>
      </c>
      <c r="M701">
        <v>1</v>
      </c>
      <c r="N701" s="24"/>
      <c r="O701" s="24"/>
      <c r="P701" s="24"/>
      <c r="Q701" s="24"/>
      <c r="V701" s="24"/>
      <c r="W701" s="24"/>
      <c r="X701" s="24"/>
      <c r="Y701" s="24"/>
      <c r="AA701" s="24"/>
      <c r="AB701" s="24"/>
      <c r="AC701" s="24"/>
      <c r="AD701" s="24"/>
      <c r="AF701" s="24"/>
      <c r="AG701" s="24"/>
      <c r="AH701" s="24"/>
      <c r="AI701" s="24"/>
      <c r="AK701" s="24"/>
      <c r="AL701" s="24"/>
      <c r="AM701" s="24"/>
      <c r="AN701" s="24"/>
      <c r="AP701" s="24"/>
      <c r="AQ701" s="24"/>
      <c r="AR701" s="24"/>
      <c r="AS701" s="24"/>
      <c r="AX701" s="24"/>
      <c r="AY701" s="24"/>
      <c r="AZ701" s="24"/>
      <c r="BA701" s="24"/>
      <c r="BC701" s="24"/>
      <c r="BD701" s="24"/>
      <c r="BE701" s="24"/>
      <c r="BF701" s="24"/>
      <c r="BH701" s="24">
        <v>45177.812319004632</v>
      </c>
      <c r="BI701" s="24">
        <v>45177.812319004632</v>
      </c>
      <c r="BJ701" s="24">
        <v>45189.389049652775</v>
      </c>
      <c r="BK701" s="24">
        <v>45189.389049652775</v>
      </c>
      <c r="BL701">
        <v>1</v>
      </c>
      <c r="BM701" s="24"/>
      <c r="BN701" s="24"/>
      <c r="BO701" s="24"/>
      <c r="BP701" s="24"/>
      <c r="BR701" s="24"/>
      <c r="BS701" s="24"/>
      <c r="BT701" s="24"/>
      <c r="BU701" s="24"/>
      <c r="BW701" s="24">
        <v>45189.395159513886</v>
      </c>
      <c r="BX701" s="24">
        <v>45189.395159513886</v>
      </c>
      <c r="BY701" s="24"/>
      <c r="BZ701" s="24"/>
      <c r="CA701">
        <v>1</v>
      </c>
      <c r="CB701" s="24"/>
      <c r="CC701" s="24"/>
      <c r="CE701" s="24"/>
      <c r="CF701" s="24"/>
      <c r="CH701" s="24"/>
      <c r="CI701" s="24"/>
      <c r="CJ701" s="24"/>
      <c r="CK701" s="24"/>
      <c r="DE701" s="24"/>
      <c r="DF701" s="24"/>
      <c r="DG701" s="24"/>
      <c r="DH701" s="24"/>
      <c r="DJ701" t="s">
        <v>149</v>
      </c>
      <c r="DK701" t="s">
        <v>149</v>
      </c>
      <c r="DP701">
        <v>971</v>
      </c>
      <c r="DQ701" t="s">
        <v>1000</v>
      </c>
      <c r="DR701" t="s">
        <v>149</v>
      </c>
      <c r="DS701" s="24">
        <v>46160.384426226854</v>
      </c>
    </row>
    <row r="702" spans="1:123" x14ac:dyDescent="0.3">
      <c r="A702" t="s">
        <v>952</v>
      </c>
      <c r="D702" t="s">
        <v>223</v>
      </c>
      <c r="E702" s="24">
        <v>45070.50172453704</v>
      </c>
      <c r="G702" t="s">
        <v>150</v>
      </c>
      <c r="H702" t="s">
        <v>155</v>
      </c>
      <c r="I702" s="24">
        <v>45968.645629976854</v>
      </c>
      <c r="J702" s="24">
        <v>45189.389062222224</v>
      </c>
      <c r="K702" s="24">
        <v>45189.395408310185</v>
      </c>
      <c r="L702" s="24">
        <v>45968.645693298611</v>
      </c>
      <c r="M702">
        <v>2</v>
      </c>
      <c r="N702" s="24"/>
      <c r="O702" s="24"/>
      <c r="P702" s="24"/>
      <c r="Q702" s="24"/>
      <c r="V702" s="24"/>
      <c r="W702" s="24"/>
      <c r="X702" s="24"/>
      <c r="Y702" s="24"/>
      <c r="AA702" s="24"/>
      <c r="AB702" s="24"/>
      <c r="AC702" s="24"/>
      <c r="AD702" s="24"/>
      <c r="AF702" s="24"/>
      <c r="AG702" s="24"/>
      <c r="AH702" s="24"/>
      <c r="AI702" s="24"/>
      <c r="AK702" s="24"/>
      <c r="AL702" s="24"/>
      <c r="AM702" s="24"/>
      <c r="AN702" s="24"/>
      <c r="AP702" s="24"/>
      <c r="AQ702" s="24"/>
      <c r="AR702" s="24"/>
      <c r="AS702" s="24"/>
      <c r="AX702" s="24"/>
      <c r="AY702" s="24"/>
      <c r="AZ702" s="24"/>
      <c r="BA702" s="24"/>
      <c r="BC702" s="24"/>
      <c r="BD702" s="24"/>
      <c r="BE702" s="24"/>
      <c r="BF702" s="24"/>
      <c r="BH702" s="24">
        <v>45177.81159636574</v>
      </c>
      <c r="BI702" s="24">
        <v>45177.81159636574</v>
      </c>
      <c r="BJ702" s="24">
        <v>45189.389062222224</v>
      </c>
      <c r="BK702" s="24">
        <v>45189.389062222224</v>
      </c>
      <c r="BL702">
        <v>1</v>
      </c>
      <c r="BM702" s="24"/>
      <c r="BN702" s="24"/>
      <c r="BO702" s="24"/>
      <c r="BP702" s="24"/>
      <c r="BR702" s="24"/>
      <c r="BS702" s="24"/>
      <c r="BT702" s="24"/>
      <c r="BU702" s="24"/>
      <c r="BW702" s="24">
        <v>45189.395408310185</v>
      </c>
      <c r="BX702" s="24">
        <v>45189.395408310185</v>
      </c>
      <c r="BY702" s="24">
        <v>45968.645629976854</v>
      </c>
      <c r="BZ702" s="24">
        <v>45968.645629976854</v>
      </c>
      <c r="CA702">
        <v>1</v>
      </c>
      <c r="CB702" s="24">
        <v>45968.645697476852</v>
      </c>
      <c r="CC702" s="24">
        <v>45968.645693298611</v>
      </c>
      <c r="CD702">
        <v>2</v>
      </c>
      <c r="CE702" s="24"/>
      <c r="CF702" s="24"/>
      <c r="CH702" s="24"/>
      <c r="CI702" s="24"/>
      <c r="CJ702" s="24"/>
      <c r="CK702" s="24"/>
      <c r="DE702" s="24"/>
      <c r="DF702" s="24"/>
      <c r="DG702" s="24"/>
      <c r="DH702" s="24"/>
      <c r="DJ702" t="s">
        <v>149</v>
      </c>
      <c r="DK702" t="s">
        <v>149</v>
      </c>
      <c r="DQ702" t="s">
        <v>1000</v>
      </c>
      <c r="DR702" t="s">
        <v>149</v>
      </c>
      <c r="DS702" s="24">
        <v>46160.384426226854</v>
      </c>
    </row>
    <row r="703" spans="1:123" x14ac:dyDescent="0.3">
      <c r="A703" t="s">
        <v>953</v>
      </c>
      <c r="D703" t="s">
        <v>223</v>
      </c>
      <c r="E703" s="24">
        <v>45000.363888888889</v>
      </c>
      <c r="G703" t="s">
        <v>106</v>
      </c>
      <c r="H703" t="s">
        <v>154</v>
      </c>
      <c r="I703" s="24">
        <v>45189.388982372686</v>
      </c>
      <c r="J703" s="24">
        <v>45189.388982372686</v>
      </c>
      <c r="K703" s="24">
        <v>45189.395341400465</v>
      </c>
      <c r="L703" s="24">
        <v>45189.395341400465</v>
      </c>
      <c r="M703">
        <v>1</v>
      </c>
      <c r="N703" s="24"/>
      <c r="O703" s="24"/>
      <c r="P703" s="24"/>
      <c r="Q703" s="24"/>
      <c r="V703" s="24"/>
      <c r="W703" s="24"/>
      <c r="X703" s="24"/>
      <c r="Y703" s="24"/>
      <c r="AA703" s="24"/>
      <c r="AB703" s="24"/>
      <c r="AC703" s="24"/>
      <c r="AD703" s="24"/>
      <c r="AF703" s="24"/>
      <c r="AG703" s="24"/>
      <c r="AH703" s="24"/>
      <c r="AI703" s="24"/>
      <c r="AK703" s="24"/>
      <c r="AL703" s="24"/>
      <c r="AM703" s="24"/>
      <c r="AN703" s="24"/>
      <c r="AP703" s="24"/>
      <c r="AQ703" s="24"/>
      <c r="AR703" s="24"/>
      <c r="AS703" s="24"/>
      <c r="AX703" s="24"/>
      <c r="AY703" s="24"/>
      <c r="AZ703" s="24"/>
      <c r="BA703" s="24"/>
      <c r="BC703" s="24"/>
      <c r="BD703" s="24"/>
      <c r="BE703" s="24"/>
      <c r="BF703" s="24"/>
      <c r="BH703" s="24">
        <v>45177.811573321756</v>
      </c>
      <c r="BI703" s="24">
        <v>45177.811573321756</v>
      </c>
      <c r="BJ703" s="24">
        <v>45189.388982372686</v>
      </c>
      <c r="BK703" s="24">
        <v>45189.388982372686</v>
      </c>
      <c r="BL703">
        <v>1</v>
      </c>
      <c r="BM703" s="24"/>
      <c r="BN703" s="24"/>
      <c r="BO703" s="24"/>
      <c r="BP703" s="24"/>
      <c r="BR703" s="24"/>
      <c r="BS703" s="24"/>
      <c r="BT703" s="24"/>
      <c r="BU703" s="24"/>
      <c r="BW703" s="24">
        <v>45189.395341400465</v>
      </c>
      <c r="BX703" s="24">
        <v>45189.395341400465</v>
      </c>
      <c r="BY703" s="24"/>
      <c r="BZ703" s="24"/>
      <c r="CA703">
        <v>1</v>
      </c>
      <c r="CB703" s="24"/>
      <c r="CC703" s="24"/>
      <c r="CE703" s="24"/>
      <c r="CF703" s="24"/>
      <c r="CH703" s="24"/>
      <c r="CI703" s="24"/>
      <c r="CJ703" s="24"/>
      <c r="CK703" s="24"/>
      <c r="DE703" s="24"/>
      <c r="DF703" s="24"/>
      <c r="DG703" s="24"/>
      <c r="DH703" s="24"/>
      <c r="DJ703" t="s">
        <v>149</v>
      </c>
      <c r="DK703" t="s">
        <v>149</v>
      </c>
      <c r="DP703">
        <v>971</v>
      </c>
      <c r="DQ703" t="s">
        <v>1000</v>
      </c>
      <c r="DR703" t="s">
        <v>149</v>
      </c>
      <c r="DS703" s="24">
        <v>46160.384426226854</v>
      </c>
    </row>
    <row r="704" spans="1:123" x14ac:dyDescent="0.3">
      <c r="A704" t="s">
        <v>954</v>
      </c>
      <c r="D704" t="s">
        <v>223</v>
      </c>
      <c r="E704" s="24">
        <v>45016.418564814812</v>
      </c>
      <c r="G704" t="s">
        <v>106</v>
      </c>
      <c r="H704" t="s">
        <v>154</v>
      </c>
      <c r="I704" s="24">
        <v>45189.389107650466</v>
      </c>
      <c r="J704" s="24">
        <v>45189.389107650466</v>
      </c>
      <c r="K704" s="24">
        <v>45189.395306620369</v>
      </c>
      <c r="L704" s="24">
        <v>45189.395306620369</v>
      </c>
      <c r="M704">
        <v>1</v>
      </c>
      <c r="N704" s="24"/>
      <c r="O704" s="24"/>
      <c r="P704" s="24"/>
      <c r="Q704" s="24"/>
      <c r="V704" s="24"/>
      <c r="W704" s="24"/>
      <c r="X704" s="24"/>
      <c r="Y704" s="24"/>
      <c r="AA704" s="24"/>
      <c r="AB704" s="24"/>
      <c r="AC704" s="24"/>
      <c r="AD704" s="24"/>
      <c r="AF704" s="24"/>
      <c r="AG704" s="24"/>
      <c r="AH704" s="24"/>
      <c r="AI704" s="24"/>
      <c r="AK704" s="24"/>
      <c r="AL704" s="24"/>
      <c r="AM704" s="24"/>
      <c r="AN704" s="24"/>
      <c r="AP704" s="24"/>
      <c r="AQ704" s="24"/>
      <c r="AR704" s="24"/>
      <c r="AS704" s="24"/>
      <c r="AX704" s="24"/>
      <c r="AY704" s="24"/>
      <c r="AZ704" s="24"/>
      <c r="BA704" s="24"/>
      <c r="BC704" s="24"/>
      <c r="BD704" s="24"/>
      <c r="BE704" s="24"/>
      <c r="BF704" s="24"/>
      <c r="BH704" s="24">
        <v>45177.811550694445</v>
      </c>
      <c r="BI704" s="24">
        <v>45177.811550694445</v>
      </c>
      <c r="BJ704" s="24">
        <v>45189.389107650466</v>
      </c>
      <c r="BK704" s="24">
        <v>45189.389107650466</v>
      </c>
      <c r="BL704">
        <v>1</v>
      </c>
      <c r="BM704" s="24"/>
      <c r="BN704" s="24"/>
      <c r="BO704" s="24"/>
      <c r="BP704" s="24"/>
      <c r="BR704" s="24"/>
      <c r="BS704" s="24"/>
      <c r="BT704" s="24"/>
      <c r="BU704" s="24"/>
      <c r="BW704" s="24">
        <v>45189.395306620369</v>
      </c>
      <c r="BX704" s="24">
        <v>45189.395306620369</v>
      </c>
      <c r="BY704" s="24"/>
      <c r="BZ704" s="24"/>
      <c r="CA704">
        <v>1</v>
      </c>
      <c r="CB704" s="24"/>
      <c r="CC704" s="24"/>
      <c r="CE704" s="24"/>
      <c r="CF704" s="24"/>
      <c r="CH704" s="24"/>
      <c r="CI704" s="24"/>
      <c r="CJ704" s="24"/>
      <c r="CK704" s="24"/>
      <c r="DE704" s="24"/>
      <c r="DF704" s="24"/>
      <c r="DG704" s="24"/>
      <c r="DH704" s="24"/>
      <c r="DJ704" t="s">
        <v>149</v>
      </c>
      <c r="DK704" t="s">
        <v>149</v>
      </c>
      <c r="DP704">
        <v>971</v>
      </c>
      <c r="DQ704" t="s">
        <v>1000</v>
      </c>
      <c r="DR704" t="s">
        <v>149</v>
      </c>
      <c r="DS704" s="24">
        <v>46160.384426226854</v>
      </c>
    </row>
    <row r="705" spans="1:123" x14ac:dyDescent="0.3">
      <c r="A705" t="s">
        <v>955</v>
      </c>
      <c r="D705" t="s">
        <v>223</v>
      </c>
      <c r="E705" s="24">
        <v>44834.368773148148</v>
      </c>
      <c r="G705" t="s">
        <v>150</v>
      </c>
      <c r="H705" t="s">
        <v>155</v>
      </c>
      <c r="I705" s="24">
        <v>45189.38901446759</v>
      </c>
      <c r="J705" s="24">
        <v>45189.38901446759</v>
      </c>
      <c r="K705" s="24">
        <v>45189.395149444441</v>
      </c>
      <c r="L705" s="24">
        <v>45189.395149444441</v>
      </c>
      <c r="M705">
        <v>1</v>
      </c>
      <c r="N705" s="24"/>
      <c r="O705" s="24"/>
      <c r="P705" s="24"/>
      <c r="Q705" s="24"/>
      <c r="V705" s="24"/>
      <c r="W705" s="24"/>
      <c r="X705" s="24"/>
      <c r="Y705" s="24"/>
      <c r="AA705" s="24"/>
      <c r="AB705" s="24"/>
      <c r="AC705" s="24"/>
      <c r="AD705" s="24"/>
      <c r="AF705" s="24"/>
      <c r="AG705" s="24"/>
      <c r="AH705" s="24"/>
      <c r="AI705" s="24"/>
      <c r="AK705" s="24"/>
      <c r="AL705" s="24"/>
      <c r="AM705" s="24"/>
      <c r="AN705" s="24"/>
      <c r="AP705" s="24"/>
      <c r="AQ705" s="24"/>
      <c r="AR705" s="24"/>
      <c r="AS705" s="24"/>
      <c r="AX705" s="24"/>
      <c r="AY705" s="24"/>
      <c r="AZ705" s="24"/>
      <c r="BA705" s="24"/>
      <c r="BC705" s="24"/>
      <c r="BD705" s="24"/>
      <c r="BE705" s="24"/>
      <c r="BF705" s="24"/>
      <c r="BH705" s="24">
        <v>45177.8107971875</v>
      </c>
      <c r="BI705" s="24">
        <v>45177.8107971875</v>
      </c>
      <c r="BJ705" s="24">
        <v>45189.38901446759</v>
      </c>
      <c r="BK705" s="24">
        <v>45189.38901446759</v>
      </c>
      <c r="BL705">
        <v>1</v>
      </c>
      <c r="BM705" s="24"/>
      <c r="BN705" s="24"/>
      <c r="BO705" s="24"/>
      <c r="BP705" s="24"/>
      <c r="BR705" s="24"/>
      <c r="BS705" s="24"/>
      <c r="BT705" s="24"/>
      <c r="BU705" s="24"/>
      <c r="BW705" s="24">
        <v>45189.395149444441</v>
      </c>
      <c r="BX705" s="24">
        <v>45189.395149444441</v>
      </c>
      <c r="BY705" s="24">
        <v>45876.483614999997</v>
      </c>
      <c r="BZ705" s="24">
        <v>45876.483614999997</v>
      </c>
      <c r="CA705">
        <v>1</v>
      </c>
      <c r="CB705" s="24">
        <v>45876.483614999997</v>
      </c>
      <c r="CC705" s="24">
        <v>45876.483614999997</v>
      </c>
      <c r="CD705">
        <v>1</v>
      </c>
      <c r="CE705" s="24"/>
      <c r="CF705" s="24"/>
      <c r="CH705" s="24"/>
      <c r="CI705" s="24"/>
      <c r="CJ705" s="24"/>
      <c r="CK705" s="24"/>
      <c r="DE705" s="24"/>
      <c r="DF705" s="24"/>
      <c r="DG705" s="24"/>
      <c r="DH705" s="24"/>
      <c r="DJ705" t="s">
        <v>149</v>
      </c>
      <c r="DK705" t="s">
        <v>149</v>
      </c>
      <c r="DQ705" t="s">
        <v>1000</v>
      </c>
      <c r="DR705" t="s">
        <v>149</v>
      </c>
      <c r="DS705" s="24">
        <v>46160.384426226854</v>
      </c>
    </row>
    <row r="706" spans="1:123" x14ac:dyDescent="0.3">
      <c r="A706" t="s">
        <v>956</v>
      </c>
      <c r="D706" t="s">
        <v>223</v>
      </c>
      <c r="E706" s="24">
        <v>45125.573252314818</v>
      </c>
      <c r="G706" t="s">
        <v>106</v>
      </c>
      <c r="H706" t="s">
        <v>154</v>
      </c>
      <c r="I706" s="24">
        <v>45189.389080023146</v>
      </c>
      <c r="J706" s="24">
        <v>45189.389080023146</v>
      </c>
      <c r="K706" s="24">
        <v>45189.395195150464</v>
      </c>
      <c r="L706" s="24">
        <v>45189.395195150464</v>
      </c>
      <c r="M706">
        <v>1</v>
      </c>
      <c r="N706" s="24"/>
      <c r="O706" s="24"/>
      <c r="P706" s="24"/>
      <c r="Q706" s="24"/>
      <c r="V706" s="24"/>
      <c r="W706" s="24"/>
      <c r="X706" s="24"/>
      <c r="Y706" s="24"/>
      <c r="AA706" s="24"/>
      <c r="AB706" s="24"/>
      <c r="AC706" s="24"/>
      <c r="AD706" s="24"/>
      <c r="AF706" s="24"/>
      <c r="AG706" s="24"/>
      <c r="AH706" s="24"/>
      <c r="AI706" s="24"/>
      <c r="AK706" s="24"/>
      <c r="AL706" s="24"/>
      <c r="AM706" s="24"/>
      <c r="AN706" s="24"/>
      <c r="AP706" s="24"/>
      <c r="AQ706" s="24"/>
      <c r="AR706" s="24"/>
      <c r="AS706" s="24"/>
      <c r="AX706" s="24"/>
      <c r="AY706" s="24"/>
      <c r="AZ706" s="24"/>
      <c r="BA706" s="24"/>
      <c r="BC706" s="24"/>
      <c r="BD706" s="24"/>
      <c r="BE706" s="24"/>
      <c r="BF706" s="24"/>
      <c r="BH706" s="24">
        <v>45177.810632962966</v>
      </c>
      <c r="BI706" s="24">
        <v>45177.810632962966</v>
      </c>
      <c r="BJ706" s="24">
        <v>45189.389080023146</v>
      </c>
      <c r="BK706" s="24">
        <v>45189.389080023146</v>
      </c>
      <c r="BL706">
        <v>1</v>
      </c>
      <c r="BM706" s="24"/>
      <c r="BN706" s="24"/>
      <c r="BO706" s="24"/>
      <c r="BP706" s="24"/>
      <c r="BR706" s="24"/>
      <c r="BS706" s="24"/>
      <c r="BT706" s="24"/>
      <c r="BU706" s="24"/>
      <c r="BW706" s="24">
        <v>45189.395195150464</v>
      </c>
      <c r="BX706" s="24">
        <v>45189.395195150464</v>
      </c>
      <c r="BY706" s="24"/>
      <c r="BZ706" s="24"/>
      <c r="CA706">
        <v>1</v>
      </c>
      <c r="CB706" s="24"/>
      <c r="CC706" s="24"/>
      <c r="CE706" s="24"/>
      <c r="CF706" s="24"/>
      <c r="CH706" s="24"/>
      <c r="CI706" s="24"/>
      <c r="CJ706" s="24"/>
      <c r="CK706" s="24"/>
      <c r="DE706" s="24"/>
      <c r="DF706" s="24"/>
      <c r="DG706" s="24"/>
      <c r="DH706" s="24"/>
      <c r="DJ706" t="s">
        <v>149</v>
      </c>
      <c r="DK706" t="s">
        <v>149</v>
      </c>
      <c r="DP706">
        <v>971</v>
      </c>
      <c r="DQ706" t="s">
        <v>1000</v>
      </c>
      <c r="DR706" t="s">
        <v>149</v>
      </c>
      <c r="DS706" s="24">
        <v>46160.384426226854</v>
      </c>
    </row>
    <row r="707" spans="1:123" x14ac:dyDescent="0.3">
      <c r="A707" t="s">
        <v>957</v>
      </c>
      <c r="D707" t="s">
        <v>223</v>
      </c>
      <c r="E707" s="24">
        <v>44904.633726851855</v>
      </c>
      <c r="G707" t="s">
        <v>106</v>
      </c>
      <c r="H707" t="s">
        <v>154</v>
      </c>
      <c r="I707" s="24">
        <v>45189.38903283565</v>
      </c>
      <c r="J707" s="24">
        <v>45189.38903283565</v>
      </c>
      <c r="K707" s="24">
        <v>45189.395208252317</v>
      </c>
      <c r="L707" s="24">
        <v>45189.395208252317</v>
      </c>
      <c r="M707">
        <v>1</v>
      </c>
      <c r="N707" s="24"/>
      <c r="O707" s="24"/>
      <c r="P707" s="24"/>
      <c r="Q707" s="24"/>
      <c r="V707" s="24"/>
      <c r="W707" s="24"/>
      <c r="X707" s="24"/>
      <c r="Y707" s="24"/>
      <c r="AA707" s="24"/>
      <c r="AB707" s="24"/>
      <c r="AC707" s="24"/>
      <c r="AD707" s="24"/>
      <c r="AF707" s="24"/>
      <c r="AG707" s="24"/>
      <c r="AH707" s="24"/>
      <c r="AI707" s="24"/>
      <c r="AK707" s="24"/>
      <c r="AL707" s="24"/>
      <c r="AM707" s="24"/>
      <c r="AN707" s="24"/>
      <c r="AP707" s="24"/>
      <c r="AQ707" s="24"/>
      <c r="AR707" s="24"/>
      <c r="AS707" s="24"/>
      <c r="AX707" s="24"/>
      <c r="AY707" s="24"/>
      <c r="AZ707" s="24"/>
      <c r="BA707" s="24"/>
      <c r="BC707" s="24"/>
      <c r="BD707" s="24"/>
      <c r="BE707" s="24"/>
      <c r="BF707" s="24"/>
      <c r="BH707" s="24">
        <v>45177.81053771991</v>
      </c>
      <c r="BI707" s="24">
        <v>45177.81053771991</v>
      </c>
      <c r="BJ707" s="24">
        <v>45189.38903283565</v>
      </c>
      <c r="BK707" s="24">
        <v>45189.38903283565</v>
      </c>
      <c r="BL707">
        <v>1</v>
      </c>
      <c r="BM707" s="24"/>
      <c r="BN707" s="24"/>
      <c r="BO707" s="24"/>
      <c r="BP707" s="24"/>
      <c r="BR707" s="24"/>
      <c r="BS707" s="24"/>
      <c r="BT707" s="24"/>
      <c r="BU707" s="24"/>
      <c r="BW707" s="24">
        <v>45189.395208252317</v>
      </c>
      <c r="BX707" s="24">
        <v>45189.395208252317</v>
      </c>
      <c r="BY707" s="24"/>
      <c r="BZ707" s="24"/>
      <c r="CA707">
        <v>1</v>
      </c>
      <c r="CB707" s="24"/>
      <c r="CC707" s="24"/>
      <c r="CE707" s="24"/>
      <c r="CF707" s="24"/>
      <c r="CH707" s="24"/>
      <c r="CI707" s="24"/>
      <c r="CJ707" s="24"/>
      <c r="CK707" s="24"/>
      <c r="DE707" s="24"/>
      <c r="DF707" s="24"/>
      <c r="DG707" s="24"/>
      <c r="DH707" s="24"/>
      <c r="DJ707" t="s">
        <v>149</v>
      </c>
      <c r="DK707" t="s">
        <v>149</v>
      </c>
      <c r="DP707">
        <v>971</v>
      </c>
      <c r="DQ707" t="s">
        <v>1000</v>
      </c>
      <c r="DR707" t="s">
        <v>149</v>
      </c>
      <c r="DS707" s="24">
        <v>46160.384426226854</v>
      </c>
    </row>
    <row r="708" spans="1:123" x14ac:dyDescent="0.3">
      <c r="A708" t="s">
        <v>958</v>
      </c>
      <c r="D708" t="s">
        <v>223</v>
      </c>
      <c r="E708" s="24">
        <v>45012.591874999998</v>
      </c>
      <c r="G708" t="s">
        <v>107</v>
      </c>
      <c r="H708" t="s">
        <v>154</v>
      </c>
      <c r="I708" s="24"/>
      <c r="J708" s="24"/>
      <c r="K708" s="24"/>
      <c r="L708" s="24"/>
      <c r="N708" s="24"/>
      <c r="O708" s="24"/>
      <c r="P708" s="24"/>
      <c r="Q708" s="24"/>
      <c r="V708" s="24"/>
      <c r="W708" s="24"/>
      <c r="X708" s="24"/>
      <c r="Y708" s="24"/>
      <c r="AA708" s="24"/>
      <c r="AB708" s="24"/>
      <c r="AC708" s="24"/>
      <c r="AD708" s="24"/>
      <c r="AF708" s="24"/>
      <c r="AG708" s="24"/>
      <c r="AH708" s="24"/>
      <c r="AI708" s="24"/>
      <c r="AK708" s="24"/>
      <c r="AL708" s="24"/>
      <c r="AM708" s="24"/>
      <c r="AN708" s="24"/>
      <c r="AP708" s="24"/>
      <c r="AQ708" s="24"/>
      <c r="AR708" s="24"/>
      <c r="AS708" s="24"/>
      <c r="AX708" s="24"/>
      <c r="AY708" s="24"/>
      <c r="AZ708" s="24"/>
      <c r="BA708" s="24"/>
      <c r="BC708" s="24"/>
      <c r="BD708" s="24"/>
      <c r="BE708" s="24"/>
      <c r="BF708" s="24"/>
      <c r="BH708" s="24">
        <v>45177.810334386573</v>
      </c>
      <c r="BI708" s="24">
        <v>45177.810334386573</v>
      </c>
      <c r="BJ708" s="24"/>
      <c r="BK708" s="24"/>
      <c r="BL708">
        <v>1</v>
      </c>
      <c r="BM708" s="24"/>
      <c r="BN708" s="24"/>
      <c r="BO708" s="24"/>
      <c r="BP708" s="24"/>
      <c r="BR708" s="24"/>
      <c r="BS708" s="24"/>
      <c r="BT708" s="24"/>
      <c r="BU708" s="24"/>
      <c r="BW708" s="24"/>
      <c r="BX708" s="24"/>
      <c r="BY708" s="24"/>
      <c r="BZ708" s="24"/>
      <c r="CB708" s="24"/>
      <c r="CC708" s="24"/>
      <c r="CE708" s="24"/>
      <c r="CF708" s="24"/>
      <c r="CH708" s="24"/>
      <c r="CI708" s="24"/>
      <c r="CJ708" s="24"/>
      <c r="CK708" s="24"/>
      <c r="DE708" s="24"/>
      <c r="DF708" s="24"/>
      <c r="DG708" s="24"/>
      <c r="DH708" s="24"/>
      <c r="DJ708" t="s">
        <v>149</v>
      </c>
      <c r="DK708" t="s">
        <v>149</v>
      </c>
      <c r="DP708">
        <v>983</v>
      </c>
      <c r="DQ708" t="s">
        <v>1000</v>
      </c>
      <c r="DR708" t="s">
        <v>149</v>
      </c>
      <c r="DS708" s="24">
        <v>46160.384426226854</v>
      </c>
    </row>
    <row r="709" spans="1:123" x14ac:dyDescent="0.3">
      <c r="A709" t="s">
        <v>959</v>
      </c>
      <c r="D709" t="s">
        <v>223</v>
      </c>
      <c r="E709" s="24">
        <v>44957.641736111109</v>
      </c>
      <c r="G709" t="s">
        <v>150</v>
      </c>
      <c r="H709" t="s">
        <v>155</v>
      </c>
      <c r="I709" s="24">
        <v>45189.388950277775</v>
      </c>
      <c r="J709" s="24">
        <v>45189.388950277775</v>
      </c>
      <c r="K709" s="24">
        <v>45189.395274606482</v>
      </c>
      <c r="L709" s="24">
        <v>45189.395274606482</v>
      </c>
      <c r="M709">
        <v>1</v>
      </c>
      <c r="N709" s="24"/>
      <c r="O709" s="24"/>
      <c r="P709" s="24"/>
      <c r="Q709" s="24"/>
      <c r="V709" s="24"/>
      <c r="W709" s="24"/>
      <c r="X709" s="24"/>
      <c r="Y709" s="24"/>
      <c r="AA709" s="24"/>
      <c r="AB709" s="24"/>
      <c r="AC709" s="24"/>
      <c r="AD709" s="24"/>
      <c r="AF709" s="24"/>
      <c r="AG709" s="24"/>
      <c r="AH709" s="24"/>
      <c r="AI709" s="24"/>
      <c r="AK709" s="24"/>
      <c r="AL709" s="24"/>
      <c r="AM709" s="24"/>
      <c r="AN709" s="24"/>
      <c r="AP709" s="24"/>
      <c r="AQ709" s="24"/>
      <c r="AR709" s="24"/>
      <c r="AS709" s="24"/>
      <c r="AX709" s="24"/>
      <c r="AY709" s="24"/>
      <c r="AZ709" s="24"/>
      <c r="BA709" s="24"/>
      <c r="BC709" s="24"/>
      <c r="BD709" s="24"/>
      <c r="BE709" s="24"/>
      <c r="BF709" s="24"/>
      <c r="BH709" s="24">
        <v>45177.810249085647</v>
      </c>
      <c r="BI709" s="24">
        <v>45177.810249085647</v>
      </c>
      <c r="BJ709" s="24">
        <v>45189.388950277775</v>
      </c>
      <c r="BK709" s="24">
        <v>45189.388950277775</v>
      </c>
      <c r="BL709">
        <v>1</v>
      </c>
      <c r="BM709" s="24"/>
      <c r="BN709" s="24"/>
      <c r="BO709" s="24"/>
      <c r="BP709" s="24"/>
      <c r="BR709" s="24"/>
      <c r="BS709" s="24"/>
      <c r="BT709" s="24"/>
      <c r="BU709" s="24"/>
      <c r="BW709" s="24">
        <v>45189.395274606482</v>
      </c>
      <c r="BX709" s="24">
        <v>45189.395274606482</v>
      </c>
      <c r="BY709" s="24">
        <v>45968.645047546299</v>
      </c>
      <c r="BZ709" s="24">
        <v>45968.645047546299</v>
      </c>
      <c r="CA709">
        <v>1</v>
      </c>
      <c r="CB709" s="24">
        <v>45968.645047546299</v>
      </c>
      <c r="CC709" s="24">
        <v>45968.645047546299</v>
      </c>
      <c r="CD709">
        <v>1</v>
      </c>
      <c r="CE709" s="24"/>
      <c r="CF709" s="24"/>
      <c r="CH709" s="24"/>
      <c r="CI709" s="24"/>
      <c r="CJ709" s="24"/>
      <c r="CK709" s="24"/>
      <c r="DE709" s="24"/>
      <c r="DF709" s="24"/>
      <c r="DG709" s="24"/>
      <c r="DH709" s="24"/>
      <c r="DJ709" t="s">
        <v>149</v>
      </c>
      <c r="DK709" t="s">
        <v>149</v>
      </c>
      <c r="DQ709" t="s">
        <v>1000</v>
      </c>
      <c r="DR709" t="s">
        <v>149</v>
      </c>
      <c r="DS709" s="24">
        <v>46160.384426226854</v>
      </c>
    </row>
    <row r="710" spans="1:123" x14ac:dyDescent="0.3">
      <c r="A710" t="s">
        <v>960</v>
      </c>
      <c r="D710" t="s">
        <v>223</v>
      </c>
      <c r="E710" s="24">
        <v>45068.703020833331</v>
      </c>
      <c r="G710" t="s">
        <v>106</v>
      </c>
      <c r="H710" t="s">
        <v>154</v>
      </c>
      <c r="I710" s="24">
        <v>45189.388997905095</v>
      </c>
      <c r="J710" s="24">
        <v>45189.388997905095</v>
      </c>
      <c r="K710" s="24">
        <v>45189.395299988428</v>
      </c>
      <c r="L710" s="24">
        <v>45189.395299988428</v>
      </c>
      <c r="M710">
        <v>1</v>
      </c>
      <c r="N710" s="24"/>
      <c r="O710" s="24"/>
      <c r="P710" s="24"/>
      <c r="Q710" s="24"/>
      <c r="V710" s="24"/>
      <c r="W710" s="24"/>
      <c r="X710" s="24"/>
      <c r="Y710" s="24"/>
      <c r="AA710" s="24"/>
      <c r="AB710" s="24"/>
      <c r="AC710" s="24"/>
      <c r="AD710" s="24"/>
      <c r="AF710" s="24"/>
      <c r="AG710" s="24"/>
      <c r="AH710" s="24"/>
      <c r="AI710" s="24"/>
      <c r="AK710" s="24"/>
      <c r="AL710" s="24"/>
      <c r="AM710" s="24"/>
      <c r="AN710" s="24"/>
      <c r="AP710" s="24"/>
      <c r="AQ710" s="24"/>
      <c r="AR710" s="24"/>
      <c r="AS710" s="24"/>
      <c r="AX710" s="24"/>
      <c r="AY710" s="24"/>
      <c r="AZ710" s="24"/>
      <c r="BA710" s="24"/>
      <c r="BC710" s="24"/>
      <c r="BD710" s="24"/>
      <c r="BE710" s="24"/>
      <c r="BF710" s="24"/>
      <c r="BH710" s="24">
        <v>45177.809982094906</v>
      </c>
      <c r="BI710" s="24">
        <v>45177.809982094906</v>
      </c>
      <c r="BJ710" s="24">
        <v>45189.388997905095</v>
      </c>
      <c r="BK710" s="24">
        <v>45189.388997905095</v>
      </c>
      <c r="BL710">
        <v>1</v>
      </c>
      <c r="BM710" s="24"/>
      <c r="BN710" s="24"/>
      <c r="BO710" s="24"/>
      <c r="BP710" s="24"/>
      <c r="BR710" s="24"/>
      <c r="BS710" s="24"/>
      <c r="BT710" s="24"/>
      <c r="BU710" s="24"/>
      <c r="BW710" s="24">
        <v>45189.395299988428</v>
      </c>
      <c r="BX710" s="24">
        <v>45189.395299988428</v>
      </c>
      <c r="BY710" s="24"/>
      <c r="BZ710" s="24"/>
      <c r="CA710">
        <v>1</v>
      </c>
      <c r="CB710" s="24"/>
      <c r="CC710" s="24"/>
      <c r="CE710" s="24"/>
      <c r="CF710" s="24"/>
      <c r="CH710" s="24"/>
      <c r="CI710" s="24"/>
      <c r="CJ710" s="24"/>
      <c r="CK710" s="24"/>
      <c r="DE710" s="24"/>
      <c r="DF710" s="24"/>
      <c r="DG710" s="24"/>
      <c r="DH710" s="24"/>
      <c r="DJ710" t="s">
        <v>149</v>
      </c>
      <c r="DK710" t="s">
        <v>149</v>
      </c>
      <c r="DP710">
        <v>971</v>
      </c>
      <c r="DQ710" t="s">
        <v>1000</v>
      </c>
      <c r="DR710" t="s">
        <v>149</v>
      </c>
      <c r="DS710" s="24">
        <v>46160.384426226854</v>
      </c>
    </row>
    <row r="711" spans="1:123" x14ac:dyDescent="0.3">
      <c r="A711" t="s">
        <v>961</v>
      </c>
      <c r="D711" t="s">
        <v>223</v>
      </c>
      <c r="E711" s="24">
        <v>44868.357361111113</v>
      </c>
      <c r="G711" t="s">
        <v>150</v>
      </c>
      <c r="H711" t="s">
        <v>155</v>
      </c>
      <c r="I711" s="24"/>
      <c r="J711" s="24"/>
      <c r="K711" s="24"/>
      <c r="L711" s="24"/>
      <c r="N711" s="24"/>
      <c r="O711" s="24"/>
      <c r="P711" s="24"/>
      <c r="Q711" s="24"/>
      <c r="V711" s="24"/>
      <c r="W711" s="24"/>
      <c r="X711" s="24"/>
      <c r="Y711" s="24"/>
      <c r="AA711" s="24"/>
      <c r="AB711" s="24"/>
      <c r="AC711" s="24"/>
      <c r="AD711" s="24"/>
      <c r="AF711" s="24"/>
      <c r="AG711" s="24"/>
      <c r="AH711" s="24"/>
      <c r="AI711" s="24"/>
      <c r="AK711" s="24"/>
      <c r="AL711" s="24"/>
      <c r="AM711" s="24"/>
      <c r="AN711" s="24"/>
      <c r="AP711" s="24"/>
      <c r="AQ711" s="24"/>
      <c r="AR711" s="24"/>
      <c r="AS711" s="24"/>
      <c r="AX711" s="24"/>
      <c r="AY711" s="24"/>
      <c r="AZ711" s="24"/>
      <c r="BA711" s="24"/>
      <c r="BC711" s="24"/>
      <c r="BD711" s="24"/>
      <c r="BE711" s="24"/>
      <c r="BF711" s="24"/>
      <c r="BH711" s="24">
        <v>45177.809748877313</v>
      </c>
      <c r="BI711" s="24">
        <v>45177.809748877313</v>
      </c>
      <c r="BJ711" s="24">
        <v>46000.442747349538</v>
      </c>
      <c r="BK711" s="24">
        <v>46000.442747349538</v>
      </c>
      <c r="BL711">
        <v>1</v>
      </c>
      <c r="BM711" s="24"/>
      <c r="BN711" s="24"/>
      <c r="BO711" s="24"/>
      <c r="BP711" s="24"/>
      <c r="BR711" s="24"/>
      <c r="BS711" s="24"/>
      <c r="BT711" s="24"/>
      <c r="BU711" s="24"/>
      <c r="BW711" s="24"/>
      <c r="BX711" s="24"/>
      <c r="BY711" s="24"/>
      <c r="BZ711" s="24"/>
      <c r="CB711" s="24">
        <v>46000.442747349538</v>
      </c>
      <c r="CC711" s="24">
        <v>46000.442747349538</v>
      </c>
      <c r="CD711">
        <v>1</v>
      </c>
      <c r="CE711" s="24"/>
      <c r="CF711" s="24"/>
      <c r="CH711" s="24"/>
      <c r="CI711" s="24"/>
      <c r="CJ711" s="24"/>
      <c r="CK711" s="24"/>
      <c r="DE711" s="24"/>
      <c r="DF711" s="24"/>
      <c r="DG711" s="24"/>
      <c r="DH711" s="24"/>
      <c r="DJ711" t="s">
        <v>149</v>
      </c>
      <c r="DK711" t="s">
        <v>149</v>
      </c>
      <c r="DQ711" t="s">
        <v>1000</v>
      </c>
      <c r="DR711" t="s">
        <v>149</v>
      </c>
      <c r="DS711" s="24">
        <v>46160.384426226854</v>
      </c>
    </row>
    <row r="712" spans="1:123" x14ac:dyDescent="0.3">
      <c r="A712" t="s">
        <v>962</v>
      </c>
      <c r="D712" t="s">
        <v>223</v>
      </c>
      <c r="E712" s="24">
        <v>44994.375324074077</v>
      </c>
      <c r="G712" t="s">
        <v>107</v>
      </c>
      <c r="H712" t="s">
        <v>154</v>
      </c>
      <c r="I712" s="24"/>
      <c r="J712" s="24"/>
      <c r="K712" s="24"/>
      <c r="L712" s="24"/>
      <c r="N712" s="24"/>
      <c r="O712" s="24"/>
      <c r="P712" s="24"/>
      <c r="Q712" s="24"/>
      <c r="V712" s="24"/>
      <c r="W712" s="24"/>
      <c r="X712" s="24"/>
      <c r="Y712" s="24"/>
      <c r="AA712" s="24"/>
      <c r="AB712" s="24"/>
      <c r="AC712" s="24"/>
      <c r="AD712" s="24"/>
      <c r="AF712" s="24"/>
      <c r="AG712" s="24"/>
      <c r="AH712" s="24"/>
      <c r="AI712" s="24"/>
      <c r="AK712" s="24"/>
      <c r="AL712" s="24"/>
      <c r="AM712" s="24"/>
      <c r="AN712" s="24"/>
      <c r="AP712" s="24"/>
      <c r="AQ712" s="24"/>
      <c r="AR712" s="24"/>
      <c r="AS712" s="24"/>
      <c r="AX712" s="24"/>
      <c r="AY712" s="24"/>
      <c r="AZ712" s="24"/>
      <c r="BA712" s="24"/>
      <c r="BC712" s="24"/>
      <c r="BD712" s="24"/>
      <c r="BE712" s="24"/>
      <c r="BF712" s="24"/>
      <c r="BH712" s="24">
        <v>45177.80722599537</v>
      </c>
      <c r="BI712" s="24">
        <v>45177.80722599537</v>
      </c>
      <c r="BJ712" s="24"/>
      <c r="BK712" s="24"/>
      <c r="BL712">
        <v>1</v>
      </c>
      <c r="BM712" s="24"/>
      <c r="BN712" s="24"/>
      <c r="BO712" s="24"/>
      <c r="BP712" s="24"/>
      <c r="BR712" s="24"/>
      <c r="BS712" s="24"/>
      <c r="BT712" s="24"/>
      <c r="BU712" s="24"/>
      <c r="BW712" s="24"/>
      <c r="BX712" s="24"/>
      <c r="BY712" s="24"/>
      <c r="BZ712" s="24"/>
      <c r="CB712" s="24"/>
      <c r="CC712" s="24"/>
      <c r="CE712" s="24"/>
      <c r="CF712" s="24"/>
      <c r="CH712" s="24"/>
      <c r="CI712" s="24"/>
      <c r="CJ712" s="24"/>
      <c r="CK712" s="24"/>
      <c r="DE712" s="24"/>
      <c r="DF712" s="24"/>
      <c r="DG712" s="24"/>
      <c r="DH712" s="24"/>
      <c r="DJ712" t="s">
        <v>149</v>
      </c>
      <c r="DK712" t="s">
        <v>149</v>
      </c>
      <c r="DP712">
        <v>983</v>
      </c>
      <c r="DQ712" t="s">
        <v>1000</v>
      </c>
      <c r="DR712" t="s">
        <v>149</v>
      </c>
      <c r="DS712" s="24">
        <v>46160.384426226854</v>
      </c>
    </row>
    <row r="713" spans="1:123" x14ac:dyDescent="0.3">
      <c r="A713" t="s">
        <v>963</v>
      </c>
      <c r="D713" t="s">
        <v>225</v>
      </c>
      <c r="E713" s="24">
        <v>44805.543379629627</v>
      </c>
      <c r="G713" t="s">
        <v>150</v>
      </c>
      <c r="H713" t="s">
        <v>155</v>
      </c>
      <c r="I713" s="24"/>
      <c r="J713" s="24"/>
      <c r="K713" s="24"/>
      <c r="L713" s="24"/>
      <c r="N713" s="24"/>
      <c r="O713" s="24"/>
      <c r="P713" s="24"/>
      <c r="Q713" s="24"/>
      <c r="V713" s="24"/>
      <c r="W713" s="24"/>
      <c r="X713" s="24"/>
      <c r="Y713" s="24"/>
      <c r="AA713" s="24"/>
      <c r="AB713" s="24"/>
      <c r="AC713" s="24"/>
      <c r="AD713" s="24"/>
      <c r="AF713" s="24"/>
      <c r="AG713" s="24"/>
      <c r="AH713" s="24"/>
      <c r="AI713" s="24"/>
      <c r="AK713" s="24"/>
      <c r="AL713" s="24"/>
      <c r="AM713" s="24"/>
      <c r="AN713" s="24"/>
      <c r="AP713" s="24"/>
      <c r="AQ713" s="24"/>
      <c r="AR713" s="24"/>
      <c r="AS713" s="24"/>
      <c r="AX713" s="24"/>
      <c r="AY713" s="24"/>
      <c r="AZ713" s="24"/>
      <c r="BA713" s="24"/>
      <c r="BC713" s="24"/>
      <c r="BD713" s="24"/>
      <c r="BE713" s="24"/>
      <c r="BF713" s="24"/>
      <c r="BH713" s="24">
        <v>45177.807153055553</v>
      </c>
      <c r="BI713" s="24">
        <v>45177.807153055553</v>
      </c>
      <c r="BJ713" s="24">
        <v>45968.643661921298</v>
      </c>
      <c r="BK713" s="24">
        <v>45968.643661921298</v>
      </c>
      <c r="BL713">
        <v>1</v>
      </c>
      <c r="BM713" s="24"/>
      <c r="BN713" s="24"/>
      <c r="BO713" s="24"/>
      <c r="BP713" s="24"/>
      <c r="BR713" s="24"/>
      <c r="BS713" s="24"/>
      <c r="BT713" s="24"/>
      <c r="BU713" s="24"/>
      <c r="BW713" s="24"/>
      <c r="BX713" s="24"/>
      <c r="BY713" s="24"/>
      <c r="BZ713" s="24"/>
      <c r="CB713" s="24">
        <v>45968.643661921298</v>
      </c>
      <c r="CC713" s="24">
        <v>45968.643661921298</v>
      </c>
      <c r="CD713">
        <v>1</v>
      </c>
      <c r="CE713" s="24"/>
      <c r="CF713" s="24"/>
      <c r="CH713" s="24"/>
      <c r="CI713" s="24"/>
      <c r="CJ713" s="24"/>
      <c r="CK713" s="24"/>
      <c r="DE713" s="24"/>
      <c r="DF713" s="24"/>
      <c r="DG713" s="24"/>
      <c r="DH713" s="24"/>
      <c r="DJ713" t="s">
        <v>149</v>
      </c>
      <c r="DK713" t="s">
        <v>149</v>
      </c>
      <c r="DQ713" t="s">
        <v>1000</v>
      </c>
      <c r="DR713" t="s">
        <v>149</v>
      </c>
      <c r="DS713" s="24">
        <v>46160.384426226854</v>
      </c>
    </row>
    <row r="714" spans="1:123" x14ac:dyDescent="0.3">
      <c r="A714" t="s">
        <v>964</v>
      </c>
      <c r="D714" t="s">
        <v>225</v>
      </c>
      <c r="E714" s="24">
        <v>44999.548518518517</v>
      </c>
      <c r="G714" t="s">
        <v>150</v>
      </c>
      <c r="H714" t="s">
        <v>155</v>
      </c>
      <c r="I714" s="24">
        <v>45189.384554814817</v>
      </c>
      <c r="J714" s="24">
        <v>45189.384554814817</v>
      </c>
      <c r="K714" s="24">
        <v>45189.393736909726</v>
      </c>
      <c r="L714" s="24">
        <v>45189.393736909726</v>
      </c>
      <c r="M714">
        <v>1</v>
      </c>
      <c r="N714" s="24"/>
      <c r="O714" s="24"/>
      <c r="P714" s="24"/>
      <c r="Q714" s="24"/>
      <c r="V714" s="24"/>
      <c r="W714" s="24"/>
      <c r="X714" s="24"/>
      <c r="Y714" s="24"/>
      <c r="AA714" s="24"/>
      <c r="AB714" s="24"/>
      <c r="AC714" s="24"/>
      <c r="AD714" s="24"/>
      <c r="AF714" s="24"/>
      <c r="AG714" s="24"/>
      <c r="AH714" s="24"/>
      <c r="AI714" s="24"/>
      <c r="AK714" s="24"/>
      <c r="AL714" s="24"/>
      <c r="AM714" s="24"/>
      <c r="AN714" s="24"/>
      <c r="AP714" s="24"/>
      <c r="AQ714" s="24"/>
      <c r="AR714" s="24"/>
      <c r="AS714" s="24"/>
      <c r="AX714" s="24"/>
      <c r="AY714" s="24"/>
      <c r="AZ714" s="24"/>
      <c r="BA714" s="24"/>
      <c r="BC714" s="24"/>
      <c r="BD714" s="24"/>
      <c r="BE714" s="24"/>
      <c r="BF714" s="24"/>
      <c r="BH714" s="24">
        <v>45177.805797083332</v>
      </c>
      <c r="BI714" s="24">
        <v>45177.805797083332</v>
      </c>
      <c r="BJ714" s="24">
        <v>45189.384554814817</v>
      </c>
      <c r="BK714" s="24">
        <v>45189.384554814817</v>
      </c>
      <c r="BL714">
        <v>1</v>
      </c>
      <c r="BM714" s="24"/>
      <c r="BN714" s="24"/>
      <c r="BO714" s="24"/>
      <c r="BP714" s="24"/>
      <c r="BR714" s="24"/>
      <c r="BS714" s="24"/>
      <c r="BT714" s="24"/>
      <c r="BU714" s="24"/>
      <c r="BW714" s="24">
        <v>45189.393736909726</v>
      </c>
      <c r="BX714" s="24">
        <v>45189.393736909726</v>
      </c>
      <c r="BY714" s="24">
        <v>45803.483806805554</v>
      </c>
      <c r="BZ714" s="24">
        <v>45803.483806805554</v>
      </c>
      <c r="CA714">
        <v>1</v>
      </c>
      <c r="CB714" s="24">
        <v>45803.483806805554</v>
      </c>
      <c r="CC714" s="24">
        <v>45803.483806805554</v>
      </c>
      <c r="CD714">
        <v>1</v>
      </c>
      <c r="CE714" s="24"/>
      <c r="CF714" s="24"/>
      <c r="CH714" s="24"/>
      <c r="CI714" s="24"/>
      <c r="CJ714" s="24"/>
      <c r="CK714" s="24"/>
      <c r="DE714" s="24"/>
      <c r="DF714" s="24"/>
      <c r="DG714" s="24"/>
      <c r="DH714" s="24"/>
      <c r="DJ714" t="s">
        <v>149</v>
      </c>
      <c r="DK714" t="s">
        <v>149</v>
      </c>
      <c r="DQ714" t="s">
        <v>1000</v>
      </c>
      <c r="DR714" t="s">
        <v>149</v>
      </c>
      <c r="DS714" s="24">
        <v>46160.384426226854</v>
      </c>
    </row>
    <row r="715" spans="1:123" x14ac:dyDescent="0.3">
      <c r="A715" t="s">
        <v>965</v>
      </c>
      <c r="D715" t="s">
        <v>225</v>
      </c>
      <c r="E715" s="24">
        <v>44987.416828703703</v>
      </c>
      <c r="G715" t="s">
        <v>150</v>
      </c>
      <c r="H715" t="s">
        <v>155</v>
      </c>
      <c r="I715" s="24">
        <v>45189.384575416669</v>
      </c>
      <c r="J715" s="24">
        <v>45189.384575416669</v>
      </c>
      <c r="K715" s="24">
        <v>45189.393845787039</v>
      </c>
      <c r="L715" s="24">
        <v>45189.393845787039</v>
      </c>
      <c r="M715">
        <v>1</v>
      </c>
      <c r="N715" s="24"/>
      <c r="O715" s="24"/>
      <c r="P715" s="24"/>
      <c r="Q715" s="24"/>
      <c r="V715" s="24"/>
      <c r="W715" s="24"/>
      <c r="X715" s="24"/>
      <c r="Y715" s="24"/>
      <c r="AA715" s="24"/>
      <c r="AB715" s="24"/>
      <c r="AC715" s="24"/>
      <c r="AD715" s="24"/>
      <c r="AF715" s="24"/>
      <c r="AG715" s="24"/>
      <c r="AH715" s="24"/>
      <c r="AI715" s="24"/>
      <c r="AK715" s="24"/>
      <c r="AL715" s="24"/>
      <c r="AM715" s="24"/>
      <c r="AN715" s="24"/>
      <c r="AP715" s="24"/>
      <c r="AQ715" s="24"/>
      <c r="AR715" s="24"/>
      <c r="AS715" s="24"/>
      <c r="AX715" s="24"/>
      <c r="AY715" s="24"/>
      <c r="AZ715" s="24"/>
      <c r="BA715" s="24"/>
      <c r="BC715" s="24"/>
      <c r="BD715" s="24"/>
      <c r="BE715" s="24"/>
      <c r="BF715" s="24"/>
      <c r="BH715" s="24">
        <v>45177.805611643518</v>
      </c>
      <c r="BI715" s="24">
        <v>45177.805611643518</v>
      </c>
      <c r="BJ715" s="24">
        <v>45189.384575416669</v>
      </c>
      <c r="BK715" s="24">
        <v>45189.384575416669</v>
      </c>
      <c r="BL715">
        <v>1</v>
      </c>
      <c r="BM715" s="24"/>
      <c r="BN715" s="24"/>
      <c r="BO715" s="24"/>
      <c r="BP715" s="24"/>
      <c r="BR715" s="24"/>
      <c r="BS715" s="24"/>
      <c r="BT715" s="24"/>
      <c r="BU715" s="24"/>
      <c r="BW715" s="24">
        <v>45189.393845787039</v>
      </c>
      <c r="BX715" s="24">
        <v>45189.393845787039</v>
      </c>
      <c r="BY715" s="24">
        <v>45925.470518402777</v>
      </c>
      <c r="BZ715" s="24">
        <v>45925.470518402777</v>
      </c>
      <c r="CA715">
        <v>1</v>
      </c>
      <c r="CB715" s="24">
        <v>45925.470518402777</v>
      </c>
      <c r="CC715" s="24">
        <v>45925.470518402777</v>
      </c>
      <c r="CD715">
        <v>1</v>
      </c>
      <c r="CE715" s="24"/>
      <c r="CF715" s="24"/>
      <c r="CH715" s="24"/>
      <c r="CI715" s="24"/>
      <c r="CJ715" s="24"/>
      <c r="CK715" s="24"/>
      <c r="DE715" s="24"/>
      <c r="DF715" s="24"/>
      <c r="DG715" s="24"/>
      <c r="DH715" s="24"/>
      <c r="DJ715" t="s">
        <v>149</v>
      </c>
      <c r="DK715" t="s">
        <v>149</v>
      </c>
      <c r="DQ715" t="s">
        <v>1000</v>
      </c>
      <c r="DR715" t="s">
        <v>149</v>
      </c>
      <c r="DS715" s="24">
        <v>46160.384426226854</v>
      </c>
    </row>
    <row r="716" spans="1:123" x14ac:dyDescent="0.3">
      <c r="A716" t="s">
        <v>966</v>
      </c>
      <c r="D716" t="s">
        <v>225</v>
      </c>
      <c r="E716" s="24">
        <v>44949.727465277778</v>
      </c>
      <c r="G716" t="s">
        <v>106</v>
      </c>
      <c r="H716" t="s">
        <v>154</v>
      </c>
      <c r="I716" s="24">
        <v>45189.384536134261</v>
      </c>
      <c r="J716" s="24">
        <v>45189.384536134261</v>
      </c>
      <c r="K716" s="24">
        <v>45189.393967465279</v>
      </c>
      <c r="L716" s="24">
        <v>45189.393967465279</v>
      </c>
      <c r="M716">
        <v>1</v>
      </c>
      <c r="N716" s="24"/>
      <c r="O716" s="24"/>
      <c r="P716" s="24"/>
      <c r="Q716" s="24"/>
      <c r="V716" s="24"/>
      <c r="W716" s="24"/>
      <c r="X716" s="24"/>
      <c r="Y716" s="24"/>
      <c r="AA716" s="24"/>
      <c r="AB716" s="24"/>
      <c r="AC716" s="24"/>
      <c r="AD716" s="24"/>
      <c r="AF716" s="24"/>
      <c r="AG716" s="24"/>
      <c r="AH716" s="24"/>
      <c r="AI716" s="24"/>
      <c r="AK716" s="24"/>
      <c r="AL716" s="24"/>
      <c r="AM716" s="24"/>
      <c r="AN716" s="24"/>
      <c r="AP716" s="24"/>
      <c r="AQ716" s="24"/>
      <c r="AR716" s="24"/>
      <c r="AS716" s="24"/>
      <c r="AX716" s="24"/>
      <c r="AY716" s="24"/>
      <c r="AZ716" s="24"/>
      <c r="BA716" s="24"/>
      <c r="BC716" s="24"/>
      <c r="BD716" s="24"/>
      <c r="BE716" s="24"/>
      <c r="BF716" s="24"/>
      <c r="BH716" s="24">
        <v>45177.805407175925</v>
      </c>
      <c r="BI716" s="24">
        <v>45177.805407175925</v>
      </c>
      <c r="BJ716" s="24">
        <v>45189.384536134261</v>
      </c>
      <c r="BK716" s="24">
        <v>45189.384536134261</v>
      </c>
      <c r="BL716">
        <v>1</v>
      </c>
      <c r="BM716" s="24"/>
      <c r="BN716" s="24"/>
      <c r="BO716" s="24"/>
      <c r="BP716" s="24"/>
      <c r="BR716" s="24"/>
      <c r="BS716" s="24"/>
      <c r="BT716" s="24"/>
      <c r="BU716" s="24"/>
      <c r="BW716" s="24">
        <v>45189.393967465279</v>
      </c>
      <c r="BX716" s="24">
        <v>45189.393967465279</v>
      </c>
      <c r="BY716" s="24"/>
      <c r="BZ716" s="24"/>
      <c r="CA716">
        <v>1</v>
      </c>
      <c r="CB716" s="24"/>
      <c r="CC716" s="24"/>
      <c r="CE716" s="24"/>
      <c r="CF716" s="24"/>
      <c r="CH716" s="24"/>
      <c r="CI716" s="24"/>
      <c r="CJ716" s="24"/>
      <c r="CK716" s="24"/>
      <c r="DE716" s="24"/>
      <c r="DF716" s="24"/>
      <c r="DG716" s="24"/>
      <c r="DH716" s="24"/>
      <c r="DJ716" t="s">
        <v>149</v>
      </c>
      <c r="DK716" t="s">
        <v>149</v>
      </c>
      <c r="DP716">
        <v>971</v>
      </c>
      <c r="DQ716" t="s">
        <v>1000</v>
      </c>
      <c r="DR716" t="s">
        <v>149</v>
      </c>
      <c r="DS716" s="24">
        <v>46160.384426226854</v>
      </c>
    </row>
    <row r="717" spans="1:123" x14ac:dyDescent="0.3">
      <c r="A717" t="s">
        <v>967</v>
      </c>
      <c r="D717" t="s">
        <v>225</v>
      </c>
      <c r="E717" s="24">
        <v>45091.682523148149</v>
      </c>
      <c r="G717" t="s">
        <v>150</v>
      </c>
      <c r="H717" t="s">
        <v>155</v>
      </c>
      <c r="I717" s="24">
        <v>45631.574667442132</v>
      </c>
      <c r="J717" s="24">
        <v>45631.574667442132</v>
      </c>
      <c r="K717" s="24">
        <v>46154.36733202546</v>
      </c>
      <c r="L717" s="24">
        <v>46154.36733202546</v>
      </c>
      <c r="M717">
        <v>1</v>
      </c>
      <c r="N717" s="24"/>
      <c r="O717" s="24"/>
      <c r="P717" s="24"/>
      <c r="Q717" s="24"/>
      <c r="V717" s="24"/>
      <c r="W717" s="24"/>
      <c r="X717" s="24"/>
      <c r="Y717" s="24"/>
      <c r="AA717" s="24">
        <v>45117.375485960649</v>
      </c>
      <c r="AB717" s="24">
        <v>45096.491014178238</v>
      </c>
      <c r="AC717" s="24">
        <v>45104.405736932873</v>
      </c>
      <c r="AD717" s="24">
        <v>45631.574667442132</v>
      </c>
      <c r="AE717">
        <v>4</v>
      </c>
      <c r="AF717" s="24"/>
      <c r="AG717" s="24"/>
      <c r="AH717" s="24"/>
      <c r="AI717" s="24"/>
      <c r="AK717" s="24"/>
      <c r="AL717" s="24"/>
      <c r="AM717" s="24"/>
      <c r="AN717" s="24"/>
      <c r="AP717" s="24"/>
      <c r="AQ717" s="24"/>
      <c r="AR717" s="24"/>
      <c r="AS717" s="24"/>
      <c r="AU717">
        <v>45104.608462175929</v>
      </c>
      <c r="AV717">
        <v>45104.608462175929</v>
      </c>
      <c r="AW717">
        <v>1</v>
      </c>
      <c r="AX717" s="24"/>
      <c r="AY717" s="24"/>
      <c r="AZ717" s="24"/>
      <c r="BA717" s="24"/>
      <c r="BC717" s="24"/>
      <c r="BD717" s="24"/>
      <c r="BE717" s="24"/>
      <c r="BF717" s="24"/>
      <c r="BH717" s="24"/>
      <c r="BI717" s="24"/>
      <c r="BJ717" s="24"/>
      <c r="BK717" s="24"/>
      <c r="BM717" s="24"/>
      <c r="BN717" s="24"/>
      <c r="BO717" s="24"/>
      <c r="BP717" s="24"/>
      <c r="BR717" s="24"/>
      <c r="BS717" s="24"/>
      <c r="BT717" s="24"/>
      <c r="BU717" s="24"/>
      <c r="BW717" s="24"/>
      <c r="BX717" s="24"/>
      <c r="BY717" s="24"/>
      <c r="BZ717" s="24"/>
      <c r="CB717" s="24">
        <v>46154.36733202546</v>
      </c>
      <c r="CC717" s="24">
        <v>46154.36733202546</v>
      </c>
      <c r="CD717">
        <v>1</v>
      </c>
      <c r="CE717" s="24"/>
      <c r="CF717" s="24"/>
      <c r="CH717" s="24"/>
      <c r="CI717" s="24"/>
      <c r="CJ717" s="24"/>
      <c r="CK717" s="24"/>
      <c r="DB717">
        <v>45104.608400833335</v>
      </c>
      <c r="DC717">
        <v>45104.608400833335</v>
      </c>
      <c r="DD717">
        <v>1</v>
      </c>
      <c r="DE717" s="24"/>
      <c r="DF717" s="24"/>
      <c r="DG717" s="24"/>
      <c r="DH717" s="24"/>
      <c r="DJ717" t="s">
        <v>149</v>
      </c>
      <c r="DK717" t="s">
        <v>149</v>
      </c>
      <c r="DQ717" t="s">
        <v>1000</v>
      </c>
      <c r="DR717" t="s">
        <v>149</v>
      </c>
      <c r="DS717" s="24">
        <v>46160.384426226854</v>
      </c>
    </row>
    <row r="718" spans="1:123" x14ac:dyDescent="0.3">
      <c r="A718" t="s">
        <v>968</v>
      </c>
      <c r="D718" t="s">
        <v>225</v>
      </c>
      <c r="E718" s="24">
        <v>44809.488923611112</v>
      </c>
      <c r="G718" t="s">
        <v>150</v>
      </c>
      <c r="H718" t="s">
        <v>155</v>
      </c>
      <c r="I718" s="24"/>
      <c r="J718" s="24"/>
      <c r="K718" s="24"/>
      <c r="L718" s="24"/>
      <c r="N718" s="24"/>
      <c r="O718" s="24"/>
      <c r="P718" s="24"/>
      <c r="Q718" s="24"/>
      <c r="V718" s="24"/>
      <c r="W718" s="24"/>
      <c r="X718" s="24"/>
      <c r="Y718" s="24"/>
      <c r="AA718" s="24"/>
      <c r="AB718" s="24"/>
      <c r="AC718" s="24"/>
      <c r="AD718" s="24"/>
      <c r="AF718" s="24"/>
      <c r="AG718" s="24"/>
      <c r="AH718" s="24"/>
      <c r="AI718" s="24"/>
      <c r="AK718" s="24"/>
      <c r="AL718" s="24"/>
      <c r="AM718" s="24"/>
      <c r="AN718" s="24"/>
      <c r="AP718" s="24"/>
      <c r="AQ718" s="24"/>
      <c r="AR718" s="24"/>
      <c r="AS718" s="24"/>
      <c r="AX718" s="24"/>
      <c r="AY718" s="24"/>
      <c r="AZ718" s="24"/>
      <c r="BA718" s="24"/>
      <c r="BC718" s="24"/>
      <c r="BD718" s="24"/>
      <c r="BE718" s="24"/>
      <c r="BF718" s="24"/>
      <c r="BH718" s="24">
        <v>45177.805246238429</v>
      </c>
      <c r="BI718" s="24">
        <v>45177.805246238429</v>
      </c>
      <c r="BJ718" s="24">
        <v>45925.47094890046</v>
      </c>
      <c r="BK718" s="24">
        <v>45925.47094890046</v>
      </c>
      <c r="BL718">
        <v>1</v>
      </c>
      <c r="BM718" s="24"/>
      <c r="BN718" s="24"/>
      <c r="BO718" s="24"/>
      <c r="BP718" s="24"/>
      <c r="BR718" s="24"/>
      <c r="BS718" s="24"/>
      <c r="BT718" s="24"/>
      <c r="BU718" s="24"/>
      <c r="BW718" s="24"/>
      <c r="BX718" s="24"/>
      <c r="BY718" s="24"/>
      <c r="BZ718" s="24"/>
      <c r="CB718" s="24">
        <v>45925.47094890046</v>
      </c>
      <c r="CC718" s="24">
        <v>45925.47094890046</v>
      </c>
      <c r="CD718">
        <v>1</v>
      </c>
      <c r="CE718" s="24"/>
      <c r="CF718" s="24"/>
      <c r="CH718" s="24"/>
      <c r="CI718" s="24"/>
      <c r="CJ718" s="24"/>
      <c r="CK718" s="24"/>
      <c r="DE718" s="24"/>
      <c r="DF718" s="24"/>
      <c r="DG718" s="24"/>
      <c r="DH718" s="24"/>
      <c r="DJ718" t="s">
        <v>149</v>
      </c>
      <c r="DK718" t="s">
        <v>149</v>
      </c>
      <c r="DQ718" t="s">
        <v>1000</v>
      </c>
      <c r="DR718" t="s">
        <v>149</v>
      </c>
      <c r="DS718" s="24">
        <v>46160.384426226854</v>
      </c>
    </row>
    <row r="719" spans="1:123" x14ac:dyDescent="0.3">
      <c r="A719" t="s">
        <v>969</v>
      </c>
      <c r="D719" t="s">
        <v>225</v>
      </c>
      <c r="E719" s="24">
        <v>45100.597777777781</v>
      </c>
      <c r="G719" t="s">
        <v>106</v>
      </c>
      <c r="H719" t="s">
        <v>154</v>
      </c>
      <c r="I719" s="24">
        <v>45189.384592974537</v>
      </c>
      <c r="J719" s="24">
        <v>45189.384592974537</v>
      </c>
      <c r="K719" s="24">
        <v>45189.393877337963</v>
      </c>
      <c r="L719" s="24">
        <v>45189.393877337963</v>
      </c>
      <c r="M719">
        <v>1</v>
      </c>
      <c r="N719" s="24"/>
      <c r="O719" s="24"/>
      <c r="P719" s="24"/>
      <c r="Q719" s="24"/>
      <c r="V719" s="24"/>
      <c r="W719" s="24"/>
      <c r="X719" s="24"/>
      <c r="Y719" s="24"/>
      <c r="AA719" s="24"/>
      <c r="AB719" s="24"/>
      <c r="AC719" s="24"/>
      <c r="AD719" s="24"/>
      <c r="AF719" s="24"/>
      <c r="AG719" s="24"/>
      <c r="AH719" s="24"/>
      <c r="AI719" s="24"/>
      <c r="AK719" s="24"/>
      <c r="AL719" s="24"/>
      <c r="AM719" s="24"/>
      <c r="AN719" s="24"/>
      <c r="AP719" s="24"/>
      <c r="AQ719" s="24"/>
      <c r="AR719" s="24"/>
      <c r="AS719" s="24"/>
      <c r="AX719" s="24"/>
      <c r="AY719" s="24"/>
      <c r="AZ719" s="24"/>
      <c r="BA719" s="24"/>
      <c r="BC719" s="24"/>
      <c r="BD719" s="24"/>
      <c r="BE719" s="24"/>
      <c r="BF719" s="24"/>
      <c r="BH719" s="24">
        <v>45177.804973692131</v>
      </c>
      <c r="BI719" s="24">
        <v>45177.804973692131</v>
      </c>
      <c r="BJ719" s="24">
        <v>45189.384592974537</v>
      </c>
      <c r="BK719" s="24">
        <v>45189.384592974537</v>
      </c>
      <c r="BL719">
        <v>1</v>
      </c>
      <c r="BM719" s="24"/>
      <c r="BN719" s="24"/>
      <c r="BO719" s="24"/>
      <c r="BP719" s="24"/>
      <c r="BR719" s="24"/>
      <c r="BS719" s="24"/>
      <c r="BT719" s="24"/>
      <c r="BU719" s="24"/>
      <c r="BW719" s="24">
        <v>45189.393877337963</v>
      </c>
      <c r="BX719" s="24">
        <v>45189.393877337963</v>
      </c>
      <c r="BY719" s="24"/>
      <c r="BZ719" s="24"/>
      <c r="CA719">
        <v>1</v>
      </c>
      <c r="CB719" s="24"/>
      <c r="CC719" s="24"/>
      <c r="CE719" s="24"/>
      <c r="CF719" s="24"/>
      <c r="CH719" s="24"/>
      <c r="CI719" s="24"/>
      <c r="CJ719" s="24"/>
      <c r="CK719" s="24"/>
      <c r="DE719" s="24"/>
      <c r="DF719" s="24"/>
      <c r="DG719" s="24"/>
      <c r="DH719" s="24"/>
      <c r="DJ719" t="s">
        <v>149</v>
      </c>
      <c r="DK719" t="s">
        <v>149</v>
      </c>
      <c r="DP719">
        <v>971</v>
      </c>
      <c r="DQ719" t="s">
        <v>1000</v>
      </c>
      <c r="DR719" t="s">
        <v>149</v>
      </c>
      <c r="DS719" s="24">
        <v>46160.384426226854</v>
      </c>
    </row>
    <row r="720" spans="1:123" x14ac:dyDescent="0.3">
      <c r="A720" t="s">
        <v>970</v>
      </c>
      <c r="D720" t="s">
        <v>225</v>
      </c>
      <c r="E720" s="24">
        <v>45057.395648148151</v>
      </c>
      <c r="G720" t="s">
        <v>150</v>
      </c>
      <c r="H720" t="s">
        <v>155</v>
      </c>
      <c r="I720" s="24">
        <v>45189.384639456017</v>
      </c>
      <c r="J720" s="24">
        <v>45189.384639456017</v>
      </c>
      <c r="K720" s="24">
        <v>45189.393817974538</v>
      </c>
      <c r="L720" s="24">
        <v>45189.393817974538</v>
      </c>
      <c r="M720">
        <v>1</v>
      </c>
      <c r="N720" s="24"/>
      <c r="O720" s="24"/>
      <c r="P720" s="24"/>
      <c r="Q720" s="24"/>
      <c r="V720" s="24"/>
      <c r="W720" s="24"/>
      <c r="X720" s="24"/>
      <c r="Y720" s="24"/>
      <c r="AA720" s="24"/>
      <c r="AB720" s="24"/>
      <c r="AC720" s="24"/>
      <c r="AD720" s="24"/>
      <c r="AF720" s="24"/>
      <c r="AG720" s="24"/>
      <c r="AH720" s="24"/>
      <c r="AI720" s="24"/>
      <c r="AK720" s="24"/>
      <c r="AL720" s="24"/>
      <c r="AM720" s="24"/>
      <c r="AN720" s="24"/>
      <c r="AP720" s="24"/>
      <c r="AQ720" s="24"/>
      <c r="AR720" s="24"/>
      <c r="AS720" s="24"/>
      <c r="AX720" s="24"/>
      <c r="AY720" s="24"/>
      <c r="AZ720" s="24"/>
      <c r="BA720" s="24"/>
      <c r="BC720" s="24"/>
      <c r="BD720" s="24"/>
      <c r="BE720" s="24"/>
      <c r="BF720" s="24"/>
      <c r="BH720" s="24">
        <v>45177.8040124537</v>
      </c>
      <c r="BI720" s="24">
        <v>45177.8040124537</v>
      </c>
      <c r="BJ720" s="24">
        <v>45189.384639456017</v>
      </c>
      <c r="BK720" s="24">
        <v>45189.384639456017</v>
      </c>
      <c r="BL720">
        <v>1</v>
      </c>
      <c r="BM720" s="24"/>
      <c r="BN720" s="24"/>
      <c r="BO720" s="24"/>
      <c r="BP720" s="24"/>
      <c r="BR720" s="24"/>
      <c r="BS720" s="24"/>
      <c r="BT720" s="24"/>
      <c r="BU720" s="24"/>
      <c r="BW720" s="24">
        <v>45189.393817974538</v>
      </c>
      <c r="BX720" s="24">
        <v>45189.393817974538</v>
      </c>
      <c r="BY720" s="24">
        <v>45968.64618423611</v>
      </c>
      <c r="BZ720" s="24">
        <v>45968.64618423611</v>
      </c>
      <c r="CA720">
        <v>1</v>
      </c>
      <c r="CB720" s="24">
        <v>45968.64618423611</v>
      </c>
      <c r="CC720" s="24">
        <v>45968.64618423611</v>
      </c>
      <c r="CD720">
        <v>1</v>
      </c>
      <c r="CE720" s="24"/>
      <c r="CF720" s="24"/>
      <c r="CH720" s="24"/>
      <c r="CI720" s="24"/>
      <c r="CJ720" s="24"/>
      <c r="CK720" s="24"/>
      <c r="DE720" s="24"/>
      <c r="DF720" s="24"/>
      <c r="DG720" s="24"/>
      <c r="DH720" s="24"/>
      <c r="DJ720" t="s">
        <v>149</v>
      </c>
      <c r="DK720" t="s">
        <v>149</v>
      </c>
      <c r="DQ720" t="s">
        <v>1000</v>
      </c>
      <c r="DR720" t="s">
        <v>149</v>
      </c>
      <c r="DS720" s="24">
        <v>46160.384426226854</v>
      </c>
    </row>
    <row r="721" spans="1:123" x14ac:dyDescent="0.3">
      <c r="A721" t="s">
        <v>971</v>
      </c>
      <c r="D721" t="s">
        <v>223</v>
      </c>
      <c r="E721" s="24">
        <v>44845.581666666665</v>
      </c>
      <c r="G721" t="s">
        <v>150</v>
      </c>
      <c r="H721" t="s">
        <v>155</v>
      </c>
      <c r="I721" s="24"/>
      <c r="J721" s="24"/>
      <c r="K721" s="24"/>
      <c r="L721" s="24"/>
      <c r="N721" s="24"/>
      <c r="O721" s="24"/>
      <c r="P721" s="24"/>
      <c r="Q721" s="24"/>
      <c r="V721" s="24"/>
      <c r="W721" s="24"/>
      <c r="X721" s="24"/>
      <c r="Y721" s="24"/>
      <c r="AA721" s="24"/>
      <c r="AB721" s="24"/>
      <c r="AC721" s="24"/>
      <c r="AD721" s="24"/>
      <c r="AF721" s="24"/>
      <c r="AG721" s="24"/>
      <c r="AH721" s="24"/>
      <c r="AI721" s="24"/>
      <c r="AK721" s="24"/>
      <c r="AL721" s="24"/>
      <c r="AM721" s="24"/>
      <c r="AN721" s="24"/>
      <c r="AP721" s="24"/>
      <c r="AQ721" s="24"/>
      <c r="AR721" s="24"/>
      <c r="AS721" s="24"/>
      <c r="AX721" s="24"/>
      <c r="AY721" s="24"/>
      <c r="AZ721" s="24"/>
      <c r="BA721" s="24"/>
      <c r="BC721" s="24"/>
      <c r="BD721" s="24"/>
      <c r="BE721" s="24"/>
      <c r="BF721" s="24"/>
      <c r="BH721" s="24">
        <v>45177.803653078707</v>
      </c>
      <c r="BI721" s="24">
        <v>45177.803653078707</v>
      </c>
      <c r="BJ721" s="24">
        <v>46000.443873877317</v>
      </c>
      <c r="BK721" s="24">
        <v>46000.443873877317</v>
      </c>
      <c r="BL721">
        <v>1</v>
      </c>
      <c r="BM721" s="24"/>
      <c r="BN721" s="24"/>
      <c r="BO721" s="24"/>
      <c r="BP721" s="24"/>
      <c r="BR721" s="24"/>
      <c r="BS721" s="24"/>
      <c r="BT721" s="24"/>
      <c r="BU721" s="24"/>
      <c r="BW721" s="24"/>
      <c r="BX721" s="24"/>
      <c r="BY721" s="24"/>
      <c r="BZ721" s="24"/>
      <c r="CB721" s="24">
        <v>46000.443873877317</v>
      </c>
      <c r="CC721" s="24">
        <v>46000.443873877317</v>
      </c>
      <c r="CD721">
        <v>1</v>
      </c>
      <c r="CE721" s="24"/>
      <c r="CF721" s="24"/>
      <c r="CH721" s="24"/>
      <c r="CI721" s="24"/>
      <c r="CJ721" s="24"/>
      <c r="CK721" s="24"/>
      <c r="DE721" s="24"/>
      <c r="DF721" s="24"/>
      <c r="DG721" s="24"/>
      <c r="DH721" s="24"/>
      <c r="DJ721" t="s">
        <v>149</v>
      </c>
      <c r="DK721" t="s">
        <v>149</v>
      </c>
      <c r="DQ721" t="s">
        <v>1000</v>
      </c>
      <c r="DR721" t="s">
        <v>149</v>
      </c>
      <c r="DS721" s="24">
        <v>46160.384426226854</v>
      </c>
    </row>
    <row r="722" spans="1:123" x14ac:dyDescent="0.3">
      <c r="A722" t="s">
        <v>972</v>
      </c>
      <c r="D722" t="s">
        <v>225</v>
      </c>
      <c r="E722" s="24">
        <v>44858.456192129626</v>
      </c>
      <c r="G722" t="s">
        <v>150</v>
      </c>
      <c r="H722" t="s">
        <v>155</v>
      </c>
      <c r="I722" s="24">
        <v>45189.384630104163</v>
      </c>
      <c r="J722" s="24">
        <v>45189.384630104163</v>
      </c>
      <c r="K722" s="24">
        <v>45189.393782534724</v>
      </c>
      <c r="L722" s="24">
        <v>45189.393782534724</v>
      </c>
      <c r="M722">
        <v>1</v>
      </c>
      <c r="N722" s="24"/>
      <c r="O722" s="24"/>
      <c r="P722" s="24"/>
      <c r="Q722" s="24"/>
      <c r="V722" s="24"/>
      <c r="W722" s="24"/>
      <c r="X722" s="24"/>
      <c r="Y722" s="24"/>
      <c r="AA722" s="24"/>
      <c r="AB722" s="24"/>
      <c r="AC722" s="24"/>
      <c r="AD722" s="24"/>
      <c r="AF722" s="24"/>
      <c r="AG722" s="24"/>
      <c r="AH722" s="24"/>
      <c r="AI722" s="24"/>
      <c r="AK722" s="24"/>
      <c r="AL722" s="24"/>
      <c r="AM722" s="24"/>
      <c r="AN722" s="24"/>
      <c r="AP722" s="24"/>
      <c r="AQ722" s="24"/>
      <c r="AR722" s="24"/>
      <c r="AS722" s="24"/>
      <c r="AX722" s="24"/>
      <c r="AY722" s="24"/>
      <c r="AZ722" s="24"/>
      <c r="BA722" s="24"/>
      <c r="BC722" s="24"/>
      <c r="BD722" s="24"/>
      <c r="BE722" s="24"/>
      <c r="BF722" s="24"/>
      <c r="BH722" s="24">
        <v>45177.80286585648</v>
      </c>
      <c r="BI722" s="24">
        <v>45177.80286585648</v>
      </c>
      <c r="BJ722" s="24">
        <v>45189.384630104163</v>
      </c>
      <c r="BK722" s="24">
        <v>45189.384630104163</v>
      </c>
      <c r="BL722">
        <v>1</v>
      </c>
      <c r="BM722" s="24"/>
      <c r="BN722" s="24"/>
      <c r="BO722" s="24"/>
      <c r="BP722" s="24"/>
      <c r="BR722" s="24"/>
      <c r="BS722" s="24"/>
      <c r="BT722" s="24"/>
      <c r="BU722" s="24"/>
      <c r="BW722" s="24">
        <v>45189.393782534724</v>
      </c>
      <c r="BX722" s="24">
        <v>45189.393782534724</v>
      </c>
      <c r="BY722" s="24">
        <v>45939.618550740743</v>
      </c>
      <c r="BZ722" s="24">
        <v>45939.618550740743</v>
      </c>
      <c r="CA722">
        <v>1</v>
      </c>
      <c r="CB722" s="24">
        <v>45939.618550740743</v>
      </c>
      <c r="CC722" s="24">
        <v>45939.618550740743</v>
      </c>
      <c r="CD722">
        <v>1</v>
      </c>
      <c r="CE722" s="24"/>
      <c r="CF722" s="24"/>
      <c r="CH722" s="24"/>
      <c r="CI722" s="24"/>
      <c r="CJ722" s="24"/>
      <c r="CK722" s="24"/>
      <c r="DE722" s="24"/>
      <c r="DF722" s="24"/>
      <c r="DG722" s="24"/>
      <c r="DH722" s="24"/>
      <c r="DJ722" t="s">
        <v>149</v>
      </c>
      <c r="DK722" t="s">
        <v>149</v>
      </c>
      <c r="DQ722" t="s">
        <v>1000</v>
      </c>
      <c r="DR722" t="s">
        <v>149</v>
      </c>
      <c r="DS722" s="24">
        <v>46160.384426226854</v>
      </c>
    </row>
    <row r="723" spans="1:123" x14ac:dyDescent="0.3">
      <c r="A723" t="s">
        <v>973</v>
      </c>
      <c r="D723" t="s">
        <v>225</v>
      </c>
      <c r="E723" s="24">
        <v>44882.357939814814</v>
      </c>
      <c r="G723" t="s">
        <v>150</v>
      </c>
      <c r="H723" t="s">
        <v>155</v>
      </c>
      <c r="I723" s="24">
        <v>45189.384657499999</v>
      </c>
      <c r="J723" s="24">
        <v>45189.384657499999</v>
      </c>
      <c r="K723" s="24">
        <v>45189.393852800924</v>
      </c>
      <c r="L723" s="24">
        <v>45189.393852800924</v>
      </c>
      <c r="M723">
        <v>1</v>
      </c>
      <c r="N723" s="24"/>
      <c r="O723" s="24"/>
      <c r="P723" s="24"/>
      <c r="Q723" s="24"/>
      <c r="V723" s="24"/>
      <c r="W723" s="24"/>
      <c r="X723" s="24"/>
      <c r="Y723" s="24"/>
      <c r="AA723" s="24"/>
      <c r="AB723" s="24"/>
      <c r="AC723" s="24"/>
      <c r="AD723" s="24"/>
      <c r="AF723" s="24"/>
      <c r="AG723" s="24"/>
      <c r="AH723" s="24"/>
      <c r="AI723" s="24"/>
      <c r="AK723" s="24"/>
      <c r="AL723" s="24"/>
      <c r="AM723" s="24"/>
      <c r="AN723" s="24"/>
      <c r="AP723" s="24"/>
      <c r="AQ723" s="24"/>
      <c r="AR723" s="24"/>
      <c r="AS723" s="24"/>
      <c r="AX723" s="24"/>
      <c r="AY723" s="24"/>
      <c r="AZ723" s="24"/>
      <c r="BA723" s="24"/>
      <c r="BC723" s="24"/>
      <c r="BD723" s="24"/>
      <c r="BE723" s="24"/>
      <c r="BF723" s="24"/>
      <c r="BH723" s="24">
        <v>45177.802635532411</v>
      </c>
      <c r="BI723" s="24">
        <v>45177.802635532411</v>
      </c>
      <c r="BJ723" s="24">
        <v>45189.384657499999</v>
      </c>
      <c r="BK723" s="24">
        <v>45189.384657499999</v>
      </c>
      <c r="BL723">
        <v>1</v>
      </c>
      <c r="BM723" s="24"/>
      <c r="BN723" s="24"/>
      <c r="BO723" s="24"/>
      <c r="BP723" s="24"/>
      <c r="BR723" s="24"/>
      <c r="BS723" s="24"/>
      <c r="BT723" s="24"/>
      <c r="BU723" s="24"/>
      <c r="BW723" s="24">
        <v>45189.393852800924</v>
      </c>
      <c r="BX723" s="24">
        <v>45189.393852800924</v>
      </c>
      <c r="BY723" s="24">
        <v>45882.310532881944</v>
      </c>
      <c r="BZ723" s="24">
        <v>45882.310532881944</v>
      </c>
      <c r="CA723">
        <v>1</v>
      </c>
      <c r="CB723" s="24">
        <v>45882.310532881944</v>
      </c>
      <c r="CC723" s="24">
        <v>45882.310532881944</v>
      </c>
      <c r="CD723">
        <v>1</v>
      </c>
      <c r="CE723" s="24"/>
      <c r="CF723" s="24"/>
      <c r="CH723" s="24"/>
      <c r="CI723" s="24"/>
      <c r="CJ723" s="24"/>
      <c r="CK723" s="24"/>
      <c r="DE723" s="24"/>
      <c r="DF723" s="24"/>
      <c r="DG723" s="24"/>
      <c r="DH723" s="24"/>
      <c r="DJ723" t="s">
        <v>149</v>
      </c>
      <c r="DK723" t="s">
        <v>149</v>
      </c>
      <c r="DQ723" t="s">
        <v>1000</v>
      </c>
      <c r="DR723" t="s">
        <v>149</v>
      </c>
      <c r="DS723" s="24">
        <v>46160.384426226854</v>
      </c>
    </row>
    <row r="724" spans="1:123" x14ac:dyDescent="0.3">
      <c r="A724" t="s">
        <v>974</v>
      </c>
      <c r="D724" t="s">
        <v>225</v>
      </c>
      <c r="E724" s="24">
        <v>44768.464548611111</v>
      </c>
      <c r="G724" t="s">
        <v>150</v>
      </c>
      <c r="H724" t="s">
        <v>155</v>
      </c>
      <c r="I724" s="24"/>
      <c r="J724" s="24"/>
      <c r="K724" s="24"/>
      <c r="L724" s="24"/>
      <c r="N724" s="24"/>
      <c r="O724" s="24"/>
      <c r="P724" s="24"/>
      <c r="Q724" s="24"/>
      <c r="V724" s="24"/>
      <c r="W724" s="24"/>
      <c r="X724" s="24"/>
      <c r="Y724" s="24"/>
      <c r="AA724" s="24">
        <v>44798.310123379626</v>
      </c>
      <c r="AB724" s="24">
        <v>44798.310123379626</v>
      </c>
      <c r="AC724" s="24">
        <v>44806.325321875003</v>
      </c>
      <c r="AD724" s="24">
        <v>44806.325321875003</v>
      </c>
      <c r="AE724">
        <v>1</v>
      </c>
      <c r="AF724" s="24"/>
      <c r="AG724" s="24"/>
      <c r="AH724" s="24"/>
      <c r="AI724" s="24"/>
      <c r="AK724" s="24"/>
      <c r="AL724" s="24"/>
      <c r="AM724" s="24"/>
      <c r="AN724" s="24"/>
      <c r="AP724" s="24"/>
      <c r="AQ724" s="24"/>
      <c r="AR724" s="24"/>
      <c r="AS724" s="24"/>
      <c r="AU724">
        <v>44806.325321875003</v>
      </c>
      <c r="AV724">
        <v>44806.325321875003</v>
      </c>
      <c r="AW724">
        <v>1</v>
      </c>
      <c r="AX724" s="24"/>
      <c r="AY724" s="24"/>
      <c r="AZ724" s="24"/>
      <c r="BA724" s="24"/>
      <c r="BC724" s="24"/>
      <c r="BD724" s="24"/>
      <c r="BE724" s="24"/>
      <c r="BF724" s="24"/>
      <c r="BH724" s="24">
        <v>45177.802273622685</v>
      </c>
      <c r="BI724" s="24">
        <v>45177.802273622685</v>
      </c>
      <c r="BJ724" s="24">
        <v>46000.442232476853</v>
      </c>
      <c r="BK724" s="24">
        <v>46000.442232476853</v>
      </c>
      <c r="BL724">
        <v>1</v>
      </c>
      <c r="BM724" s="24"/>
      <c r="BN724" s="24"/>
      <c r="BO724" s="24"/>
      <c r="BP724" s="24"/>
      <c r="BR724" s="24"/>
      <c r="BS724" s="24"/>
      <c r="BT724" s="24"/>
      <c r="BU724" s="24"/>
      <c r="BW724" s="24"/>
      <c r="BX724" s="24"/>
      <c r="BY724" s="24"/>
      <c r="BZ724" s="24"/>
      <c r="CB724" s="24">
        <v>46000.442232476853</v>
      </c>
      <c r="CC724" s="24">
        <v>46000.442232476853</v>
      </c>
      <c r="CD724">
        <v>1</v>
      </c>
      <c r="CE724" s="24"/>
      <c r="CF724" s="24"/>
      <c r="CH724" s="24"/>
      <c r="CI724" s="24"/>
      <c r="CJ724" s="24"/>
      <c r="CK724" s="24"/>
      <c r="DE724" s="24"/>
      <c r="DF724" s="24"/>
      <c r="DG724" s="24"/>
      <c r="DH724" s="24"/>
      <c r="DJ724" t="s">
        <v>149</v>
      </c>
      <c r="DK724" t="s">
        <v>149</v>
      </c>
      <c r="DQ724" t="s">
        <v>1000</v>
      </c>
      <c r="DR724" t="s">
        <v>149</v>
      </c>
      <c r="DS724" s="24">
        <v>46160.384426226854</v>
      </c>
    </row>
    <row r="725" spans="1:123" x14ac:dyDescent="0.3">
      <c r="A725" t="s">
        <v>975</v>
      </c>
      <c r="D725" t="s">
        <v>225</v>
      </c>
      <c r="E725" s="24">
        <v>44834.54582175926</v>
      </c>
      <c r="G725" t="s">
        <v>150</v>
      </c>
      <c r="H725" t="s">
        <v>155</v>
      </c>
      <c r="I725" s="24"/>
      <c r="J725" s="24"/>
      <c r="K725" s="24"/>
      <c r="L725" s="24"/>
      <c r="N725" s="24"/>
      <c r="O725" s="24"/>
      <c r="P725" s="24"/>
      <c r="Q725" s="24"/>
      <c r="V725" s="24"/>
      <c r="W725" s="24"/>
      <c r="X725" s="24"/>
      <c r="Y725" s="24"/>
      <c r="AA725" s="24"/>
      <c r="AB725" s="24"/>
      <c r="AC725" s="24"/>
      <c r="AD725" s="24"/>
      <c r="AF725" s="24"/>
      <c r="AG725" s="24"/>
      <c r="AH725" s="24"/>
      <c r="AI725" s="24"/>
      <c r="AK725" s="24"/>
      <c r="AL725" s="24"/>
      <c r="AM725" s="24"/>
      <c r="AN725" s="24"/>
      <c r="AP725" s="24"/>
      <c r="AQ725" s="24"/>
      <c r="AR725" s="24"/>
      <c r="AS725" s="24"/>
      <c r="AX725" s="24"/>
      <c r="AY725" s="24"/>
      <c r="AZ725" s="24"/>
      <c r="BA725" s="24"/>
      <c r="BC725" s="24"/>
      <c r="BD725" s="24"/>
      <c r="BE725" s="24"/>
      <c r="BF725" s="24"/>
      <c r="BH725" s="24">
        <v>45177.80217505787</v>
      </c>
      <c r="BI725" s="24">
        <v>45177.80217505787</v>
      </c>
      <c r="BJ725" s="24">
        <v>45980.351786504631</v>
      </c>
      <c r="BK725" s="24">
        <v>45980.351786504631</v>
      </c>
      <c r="BL725">
        <v>1</v>
      </c>
      <c r="BM725" s="24"/>
      <c r="BN725" s="24"/>
      <c r="BO725" s="24"/>
      <c r="BP725" s="24"/>
      <c r="BR725" s="24"/>
      <c r="BS725" s="24"/>
      <c r="BT725" s="24"/>
      <c r="BU725" s="24"/>
      <c r="BW725" s="24"/>
      <c r="BX725" s="24"/>
      <c r="BY725" s="24"/>
      <c r="BZ725" s="24"/>
      <c r="CB725" s="24">
        <v>45980.351786504631</v>
      </c>
      <c r="CC725" s="24">
        <v>45980.351786504631</v>
      </c>
      <c r="CD725">
        <v>1</v>
      </c>
      <c r="CE725" s="24"/>
      <c r="CF725" s="24"/>
      <c r="CH725" s="24"/>
      <c r="CI725" s="24"/>
      <c r="CJ725" s="24"/>
      <c r="CK725" s="24"/>
      <c r="DE725" s="24"/>
      <c r="DF725" s="24"/>
      <c r="DG725" s="24"/>
      <c r="DH725" s="24"/>
      <c r="DJ725" t="s">
        <v>149</v>
      </c>
      <c r="DK725" t="s">
        <v>149</v>
      </c>
      <c r="DQ725" t="s">
        <v>1000</v>
      </c>
      <c r="DR725" t="s">
        <v>149</v>
      </c>
      <c r="DS725" s="24">
        <v>46160.384426226854</v>
      </c>
    </row>
    <row r="726" spans="1:123" x14ac:dyDescent="0.3">
      <c r="A726" t="s">
        <v>976</v>
      </c>
      <c r="D726" t="s">
        <v>225</v>
      </c>
      <c r="E726" s="24">
        <v>45132.352638888886</v>
      </c>
      <c r="G726" t="s">
        <v>150</v>
      </c>
      <c r="H726" t="s">
        <v>155</v>
      </c>
      <c r="I726" s="24">
        <v>45189.384506840281</v>
      </c>
      <c r="J726" s="24">
        <v>45189.384506840281</v>
      </c>
      <c r="K726" s="24">
        <v>45189.393898622686</v>
      </c>
      <c r="L726" s="24">
        <v>45189.393898622686</v>
      </c>
      <c r="M726">
        <v>1</v>
      </c>
      <c r="N726" s="24"/>
      <c r="O726" s="24"/>
      <c r="P726" s="24"/>
      <c r="Q726" s="24"/>
      <c r="V726" s="24"/>
      <c r="W726" s="24"/>
      <c r="X726" s="24"/>
      <c r="Y726" s="24"/>
      <c r="AA726" s="24"/>
      <c r="AB726" s="24"/>
      <c r="AC726" s="24"/>
      <c r="AD726" s="24"/>
      <c r="AF726" s="24"/>
      <c r="AG726" s="24"/>
      <c r="AH726" s="24"/>
      <c r="AI726" s="24"/>
      <c r="AK726" s="24"/>
      <c r="AL726" s="24"/>
      <c r="AM726" s="24"/>
      <c r="AN726" s="24"/>
      <c r="AP726" s="24"/>
      <c r="AQ726" s="24"/>
      <c r="AR726" s="24"/>
      <c r="AS726" s="24"/>
      <c r="AX726" s="24"/>
      <c r="AY726" s="24"/>
      <c r="AZ726" s="24"/>
      <c r="BA726" s="24"/>
      <c r="BC726" s="24"/>
      <c r="BD726" s="24"/>
      <c r="BE726" s="24"/>
      <c r="BF726" s="24"/>
      <c r="BH726" s="24">
        <v>45177.800823819445</v>
      </c>
      <c r="BI726" s="24">
        <v>45177.800823819445</v>
      </c>
      <c r="BJ726" s="24">
        <v>45189.384506840281</v>
      </c>
      <c r="BK726" s="24">
        <v>45189.384506840281</v>
      </c>
      <c r="BL726">
        <v>1</v>
      </c>
      <c r="BM726" s="24"/>
      <c r="BN726" s="24"/>
      <c r="BO726" s="24"/>
      <c r="BP726" s="24"/>
      <c r="BR726" s="24"/>
      <c r="BS726" s="24"/>
      <c r="BT726" s="24"/>
      <c r="BU726" s="24"/>
      <c r="BW726" s="24">
        <v>45189.393898622686</v>
      </c>
      <c r="BX726" s="24">
        <v>45189.393898622686</v>
      </c>
      <c r="BY726" s="24">
        <v>45925.470007094904</v>
      </c>
      <c r="BZ726" s="24">
        <v>45925.470007094904</v>
      </c>
      <c r="CA726">
        <v>1</v>
      </c>
      <c r="CB726" s="24">
        <v>45925.470007094904</v>
      </c>
      <c r="CC726" s="24">
        <v>45925.470007094904</v>
      </c>
      <c r="CD726">
        <v>1</v>
      </c>
      <c r="CE726" s="24"/>
      <c r="CF726" s="24"/>
      <c r="CH726" s="24"/>
      <c r="CI726" s="24"/>
      <c r="CJ726" s="24"/>
      <c r="CK726" s="24"/>
      <c r="DE726" s="24"/>
      <c r="DF726" s="24"/>
      <c r="DG726" s="24"/>
      <c r="DH726" s="24"/>
      <c r="DJ726" t="s">
        <v>149</v>
      </c>
      <c r="DK726" t="s">
        <v>149</v>
      </c>
      <c r="DQ726" t="s">
        <v>1000</v>
      </c>
      <c r="DR726" t="s">
        <v>149</v>
      </c>
      <c r="DS726" s="24">
        <v>46160.384426226854</v>
      </c>
    </row>
    <row r="727" spans="1:123" x14ac:dyDescent="0.3">
      <c r="A727" t="s">
        <v>977</v>
      </c>
      <c r="D727" t="s">
        <v>223</v>
      </c>
      <c r="E727" s="24">
        <v>44579.395555555559</v>
      </c>
      <c r="G727" t="s">
        <v>150</v>
      </c>
      <c r="H727" t="s">
        <v>155</v>
      </c>
      <c r="I727" s="24"/>
      <c r="J727" s="24"/>
      <c r="K727" s="24"/>
      <c r="L727" s="24"/>
      <c r="N727" s="24"/>
      <c r="O727" s="24"/>
      <c r="P727" s="24"/>
      <c r="Q727" s="24"/>
      <c r="V727" s="24"/>
      <c r="W727" s="24"/>
      <c r="X727" s="24"/>
      <c r="Y727" s="24"/>
      <c r="AA727" s="24"/>
      <c r="AB727" s="24"/>
      <c r="AC727" s="24"/>
      <c r="AD727" s="24"/>
      <c r="AF727" s="24"/>
      <c r="AG727" s="24"/>
      <c r="AH727" s="24"/>
      <c r="AI727" s="24"/>
      <c r="AK727" s="24"/>
      <c r="AL727" s="24"/>
      <c r="AM727" s="24"/>
      <c r="AN727" s="24"/>
      <c r="AP727" s="24"/>
      <c r="AQ727" s="24"/>
      <c r="AR727" s="24"/>
      <c r="AS727" s="24"/>
      <c r="AX727" s="24"/>
      <c r="AY727" s="24"/>
      <c r="AZ727" s="24"/>
      <c r="BA727" s="24"/>
      <c r="BC727" s="24"/>
      <c r="BD727" s="24"/>
      <c r="BE727" s="24"/>
      <c r="BF727" s="24"/>
      <c r="BH727" s="24">
        <v>45177.745840787036</v>
      </c>
      <c r="BI727" s="24">
        <v>45177.745840787036</v>
      </c>
      <c r="BJ727" s="24">
        <v>45925.35085239583</v>
      </c>
      <c r="BK727" s="24">
        <v>45925.35085239583</v>
      </c>
      <c r="BL727">
        <v>1</v>
      </c>
      <c r="BM727" s="24"/>
      <c r="BN727" s="24"/>
      <c r="BO727" s="24"/>
      <c r="BP727" s="24"/>
      <c r="BR727" s="24"/>
      <c r="BS727" s="24"/>
      <c r="BT727" s="24"/>
      <c r="BU727" s="24"/>
      <c r="BW727" s="24"/>
      <c r="BX727" s="24"/>
      <c r="BY727" s="24"/>
      <c r="BZ727" s="24"/>
      <c r="CB727" s="24">
        <v>45925.35085239583</v>
      </c>
      <c r="CC727" s="24">
        <v>45925.35085239583</v>
      </c>
      <c r="CD727">
        <v>1</v>
      </c>
      <c r="CE727" s="24"/>
      <c r="CF727" s="24"/>
      <c r="CH727" s="24"/>
      <c r="CI727" s="24"/>
      <c r="CJ727" s="24"/>
      <c r="CK727" s="24"/>
      <c r="DE727" s="24"/>
      <c r="DF727" s="24"/>
      <c r="DG727" s="24"/>
      <c r="DH727" s="24"/>
      <c r="DJ727" t="s">
        <v>149</v>
      </c>
      <c r="DK727" t="s">
        <v>149</v>
      </c>
      <c r="DQ727" t="s">
        <v>1000</v>
      </c>
      <c r="DR727" t="s">
        <v>149</v>
      </c>
      <c r="DS727" s="24">
        <v>46160.384426226854</v>
      </c>
    </row>
    <row r="728" spans="1:123" x14ac:dyDescent="0.3">
      <c r="A728" t="s">
        <v>978</v>
      </c>
      <c r="D728" t="s">
        <v>223</v>
      </c>
      <c r="E728" s="24">
        <v>44613.310856481483</v>
      </c>
      <c r="G728" t="s">
        <v>150</v>
      </c>
      <c r="H728" t="s">
        <v>155</v>
      </c>
      <c r="I728" s="24"/>
      <c r="J728" s="24"/>
      <c r="K728" s="24"/>
      <c r="L728" s="24"/>
      <c r="N728" s="24"/>
      <c r="O728" s="24"/>
      <c r="P728" s="24"/>
      <c r="Q728" s="24"/>
      <c r="V728" s="24"/>
      <c r="W728" s="24"/>
      <c r="X728" s="24"/>
      <c r="Y728" s="24"/>
      <c r="AA728" s="24"/>
      <c r="AB728" s="24"/>
      <c r="AC728" s="24"/>
      <c r="AD728" s="24"/>
      <c r="AF728" s="24"/>
      <c r="AG728" s="24"/>
      <c r="AH728" s="24"/>
      <c r="AI728" s="24"/>
      <c r="AK728" s="24"/>
      <c r="AL728" s="24"/>
      <c r="AM728" s="24"/>
      <c r="AN728" s="24"/>
      <c r="AP728" s="24"/>
      <c r="AQ728" s="24"/>
      <c r="AR728" s="24"/>
      <c r="AS728" s="24"/>
      <c r="AX728" s="24"/>
      <c r="AY728" s="24"/>
      <c r="AZ728" s="24"/>
      <c r="BA728" s="24"/>
      <c r="BC728" s="24"/>
      <c r="BD728" s="24"/>
      <c r="BE728" s="24"/>
      <c r="BF728" s="24"/>
      <c r="BH728" s="24">
        <v>45177.745690960648</v>
      </c>
      <c r="BI728" s="24">
        <v>45177.745690960648</v>
      </c>
      <c r="BJ728" s="24">
        <v>45925.350557812497</v>
      </c>
      <c r="BK728" s="24">
        <v>45925.350557812497</v>
      </c>
      <c r="BL728">
        <v>1</v>
      </c>
      <c r="BM728" s="24"/>
      <c r="BN728" s="24"/>
      <c r="BO728" s="24"/>
      <c r="BP728" s="24"/>
      <c r="BR728" s="24"/>
      <c r="BS728" s="24"/>
      <c r="BT728" s="24"/>
      <c r="BU728" s="24"/>
      <c r="BW728" s="24"/>
      <c r="BX728" s="24"/>
      <c r="BY728" s="24"/>
      <c r="BZ728" s="24"/>
      <c r="CB728" s="24">
        <v>45925.350557812497</v>
      </c>
      <c r="CC728" s="24">
        <v>45925.350557812497</v>
      </c>
      <c r="CD728">
        <v>1</v>
      </c>
      <c r="CE728" s="24"/>
      <c r="CF728" s="24"/>
      <c r="CH728" s="24"/>
      <c r="CI728" s="24"/>
      <c r="CJ728" s="24"/>
      <c r="CK728" s="24"/>
      <c r="DE728" s="24"/>
      <c r="DF728" s="24"/>
      <c r="DG728" s="24"/>
      <c r="DH728" s="24"/>
      <c r="DJ728" t="s">
        <v>149</v>
      </c>
      <c r="DK728" t="s">
        <v>149</v>
      </c>
      <c r="DQ728" t="s">
        <v>1000</v>
      </c>
      <c r="DR728" t="s">
        <v>149</v>
      </c>
      <c r="DS728" s="24">
        <v>46160.384426226854</v>
      </c>
    </row>
    <row r="729" spans="1:123" x14ac:dyDescent="0.3">
      <c r="A729" t="s">
        <v>979</v>
      </c>
      <c r="D729" t="s">
        <v>223</v>
      </c>
      <c r="E729" s="24">
        <v>44442.435127314813</v>
      </c>
      <c r="G729" t="s">
        <v>150</v>
      </c>
      <c r="H729" t="s">
        <v>155</v>
      </c>
      <c r="I729" s="24"/>
      <c r="J729" s="24"/>
      <c r="K729" s="24"/>
      <c r="L729" s="24"/>
      <c r="N729" s="24"/>
      <c r="O729" s="24"/>
      <c r="P729" s="24"/>
      <c r="Q729" s="24"/>
      <c r="V729" s="24"/>
      <c r="W729" s="24"/>
      <c r="X729" s="24"/>
      <c r="Y729" s="24"/>
      <c r="AA729" s="24">
        <v>44442.457876828703</v>
      </c>
      <c r="AB729" s="24">
        <v>44442.457876828703</v>
      </c>
      <c r="AC729" s="24">
        <v>44445.453195891205</v>
      </c>
      <c r="AD729" s="24">
        <v>44445.453195891205</v>
      </c>
      <c r="AE729">
        <v>1</v>
      </c>
      <c r="AF729" s="24"/>
      <c r="AG729" s="24"/>
      <c r="AH729" s="24"/>
      <c r="AI729" s="24"/>
      <c r="AK729" s="24"/>
      <c r="AL729" s="24"/>
      <c r="AM729" s="24"/>
      <c r="AN729" s="24"/>
      <c r="AP729" s="24"/>
      <c r="AQ729" s="24"/>
      <c r="AR729" s="24"/>
      <c r="AS729" s="24"/>
      <c r="AU729">
        <v>44797.425849618056</v>
      </c>
      <c r="AV729">
        <v>44797.425849618056</v>
      </c>
      <c r="AW729">
        <v>1</v>
      </c>
      <c r="AX729" s="24"/>
      <c r="AY729" s="24"/>
      <c r="AZ729" s="24"/>
      <c r="BA729" s="24"/>
      <c r="BC729" s="24"/>
      <c r="BD729" s="24"/>
      <c r="BE729" s="24"/>
      <c r="BF729" s="24"/>
      <c r="BH729" s="24">
        <v>45177.745514513888</v>
      </c>
      <c r="BI729" s="24">
        <v>45177.745514513888</v>
      </c>
      <c r="BJ729" s="24">
        <v>46000.440466388885</v>
      </c>
      <c r="BK729" s="24">
        <v>46000.440466388885</v>
      </c>
      <c r="BL729">
        <v>1</v>
      </c>
      <c r="BM729" s="24"/>
      <c r="BN729" s="24"/>
      <c r="BO729" s="24"/>
      <c r="BP729" s="24"/>
      <c r="BR729" s="24"/>
      <c r="BS729" s="24"/>
      <c r="BT729" s="24"/>
      <c r="BU729" s="24"/>
      <c r="BW729" s="24"/>
      <c r="BX729" s="24"/>
      <c r="BY729" s="24"/>
      <c r="BZ729" s="24"/>
      <c r="CB729" s="24">
        <v>46000.440466388885</v>
      </c>
      <c r="CC729" s="24">
        <v>46000.440466388885</v>
      </c>
      <c r="CD729">
        <v>1</v>
      </c>
      <c r="CE729" s="24"/>
      <c r="CF729" s="24"/>
      <c r="CH729" s="24"/>
      <c r="CI729" s="24"/>
      <c r="CJ729" s="24"/>
      <c r="CK729" s="24"/>
      <c r="DB729">
        <v>44445.453195891205</v>
      </c>
      <c r="DC729">
        <v>44445.453195891205</v>
      </c>
      <c r="DD729">
        <v>1</v>
      </c>
      <c r="DE729" s="24"/>
      <c r="DF729" s="24"/>
      <c r="DG729" s="24"/>
      <c r="DH729" s="24"/>
      <c r="DJ729" t="s">
        <v>149</v>
      </c>
      <c r="DK729" t="s">
        <v>149</v>
      </c>
      <c r="DQ729" t="s">
        <v>1000</v>
      </c>
      <c r="DR729" t="s">
        <v>149</v>
      </c>
      <c r="DS729" s="24">
        <v>46160.384426226854</v>
      </c>
    </row>
    <row r="730" spans="1:123" x14ac:dyDescent="0.3">
      <c r="A730" t="s">
        <v>980</v>
      </c>
      <c r="D730" t="s">
        <v>223</v>
      </c>
      <c r="E730" s="24">
        <v>44678.493854166663</v>
      </c>
      <c r="G730" t="s">
        <v>150</v>
      </c>
      <c r="H730" t="s">
        <v>155</v>
      </c>
      <c r="I730" s="24"/>
      <c r="J730" s="24"/>
      <c r="K730" s="24"/>
      <c r="L730" s="24"/>
      <c r="N730" s="24"/>
      <c r="O730" s="24"/>
      <c r="P730" s="24"/>
      <c r="Q730" s="24"/>
      <c r="V730" s="24"/>
      <c r="W730" s="24"/>
      <c r="X730" s="24"/>
      <c r="Y730" s="24"/>
      <c r="AA730" s="24"/>
      <c r="AB730" s="24"/>
      <c r="AC730" s="24"/>
      <c r="AD730" s="24"/>
      <c r="AF730" s="24"/>
      <c r="AG730" s="24"/>
      <c r="AH730" s="24"/>
      <c r="AI730" s="24"/>
      <c r="AK730" s="24"/>
      <c r="AL730" s="24"/>
      <c r="AM730" s="24"/>
      <c r="AN730" s="24"/>
      <c r="AP730" s="24"/>
      <c r="AQ730" s="24"/>
      <c r="AR730" s="24"/>
      <c r="AS730" s="24"/>
      <c r="AX730" s="24"/>
      <c r="AY730" s="24"/>
      <c r="AZ730" s="24"/>
      <c r="BA730" s="24"/>
      <c r="BC730" s="24"/>
      <c r="BD730" s="24"/>
      <c r="BE730" s="24"/>
      <c r="BF730" s="24"/>
      <c r="BH730" s="24">
        <v>45177.74404528935</v>
      </c>
      <c r="BI730" s="24">
        <v>45177.74404528935</v>
      </c>
      <c r="BJ730" s="24">
        <v>46000.441397592593</v>
      </c>
      <c r="BK730" s="24">
        <v>46000.441397592593</v>
      </c>
      <c r="BL730">
        <v>1</v>
      </c>
      <c r="BM730" s="24"/>
      <c r="BN730" s="24"/>
      <c r="BO730" s="24"/>
      <c r="BP730" s="24"/>
      <c r="BR730" s="24"/>
      <c r="BS730" s="24"/>
      <c r="BT730" s="24"/>
      <c r="BU730" s="24"/>
      <c r="BW730" s="24"/>
      <c r="BX730" s="24"/>
      <c r="BY730" s="24"/>
      <c r="BZ730" s="24"/>
      <c r="CB730" s="24">
        <v>46000.441397592593</v>
      </c>
      <c r="CC730" s="24">
        <v>46000.441397592593</v>
      </c>
      <c r="CD730">
        <v>1</v>
      </c>
      <c r="CE730" s="24"/>
      <c r="CF730" s="24"/>
      <c r="CH730" s="24"/>
      <c r="CI730" s="24"/>
      <c r="CJ730" s="24"/>
      <c r="CK730" s="24"/>
      <c r="DE730" s="24"/>
      <c r="DF730" s="24"/>
      <c r="DG730" s="24"/>
      <c r="DH730" s="24"/>
      <c r="DJ730" t="s">
        <v>149</v>
      </c>
      <c r="DK730" t="s">
        <v>149</v>
      </c>
      <c r="DQ730" t="s">
        <v>1000</v>
      </c>
      <c r="DR730" t="s">
        <v>149</v>
      </c>
      <c r="DS730" s="24">
        <v>46160.384426226854</v>
      </c>
    </row>
    <row r="731" spans="1:123" x14ac:dyDescent="0.3">
      <c r="A731" t="s">
        <v>981</v>
      </c>
      <c r="D731" t="s">
        <v>223</v>
      </c>
      <c r="E731" s="24">
        <v>44525.477430555555</v>
      </c>
      <c r="G731" t="s">
        <v>150</v>
      </c>
      <c r="H731" t="s">
        <v>155</v>
      </c>
      <c r="I731" s="24"/>
      <c r="J731" s="24"/>
      <c r="K731" s="24"/>
      <c r="L731" s="24"/>
      <c r="N731" s="24"/>
      <c r="O731" s="24"/>
      <c r="P731" s="24"/>
      <c r="Q731" s="24"/>
      <c r="V731" s="24"/>
      <c r="W731" s="24"/>
      <c r="X731" s="24"/>
      <c r="Y731" s="24"/>
      <c r="AA731" s="24"/>
      <c r="AB731" s="24"/>
      <c r="AC731" s="24"/>
      <c r="AD731" s="24"/>
      <c r="AF731" s="24"/>
      <c r="AG731" s="24"/>
      <c r="AH731" s="24"/>
      <c r="AI731" s="24"/>
      <c r="AK731" s="24"/>
      <c r="AL731" s="24"/>
      <c r="AM731" s="24"/>
      <c r="AN731" s="24"/>
      <c r="AP731" s="24"/>
      <c r="AQ731" s="24"/>
      <c r="AR731" s="24"/>
      <c r="AS731" s="24"/>
      <c r="AX731" s="24"/>
      <c r="AY731" s="24"/>
      <c r="AZ731" s="24"/>
      <c r="BA731" s="24"/>
      <c r="BC731" s="24"/>
      <c r="BD731" s="24"/>
      <c r="BE731" s="24"/>
      <c r="BF731" s="24"/>
      <c r="BH731" s="24">
        <v>45177.742678865739</v>
      </c>
      <c r="BI731" s="24">
        <v>45177.742678865739</v>
      </c>
      <c r="BJ731" s="24">
        <v>46000.441007349538</v>
      </c>
      <c r="BK731" s="24">
        <v>46000.441007349538</v>
      </c>
      <c r="BL731">
        <v>1</v>
      </c>
      <c r="BM731" s="24"/>
      <c r="BN731" s="24"/>
      <c r="BO731" s="24"/>
      <c r="BP731" s="24"/>
      <c r="BR731" s="24"/>
      <c r="BS731" s="24"/>
      <c r="BT731" s="24"/>
      <c r="BU731" s="24"/>
      <c r="BW731" s="24"/>
      <c r="BX731" s="24"/>
      <c r="BY731" s="24"/>
      <c r="BZ731" s="24"/>
      <c r="CB731" s="24">
        <v>46000.441007349538</v>
      </c>
      <c r="CC731" s="24">
        <v>46000.441007349538</v>
      </c>
      <c r="CD731">
        <v>1</v>
      </c>
      <c r="CE731" s="24"/>
      <c r="CF731" s="24"/>
      <c r="CH731" s="24"/>
      <c r="CI731" s="24"/>
      <c r="CJ731" s="24"/>
      <c r="CK731" s="24"/>
      <c r="DE731" s="24"/>
      <c r="DF731" s="24"/>
      <c r="DG731" s="24"/>
      <c r="DH731" s="24"/>
      <c r="DJ731" t="s">
        <v>149</v>
      </c>
      <c r="DK731" t="s">
        <v>149</v>
      </c>
      <c r="DQ731" t="s">
        <v>1000</v>
      </c>
      <c r="DR731" t="s">
        <v>149</v>
      </c>
      <c r="DS731" s="24">
        <v>46160.384426226854</v>
      </c>
    </row>
    <row r="732" spans="1:123" x14ac:dyDescent="0.3">
      <c r="A732" t="s">
        <v>982</v>
      </c>
      <c r="D732" t="s">
        <v>225</v>
      </c>
      <c r="E732" s="24">
        <v>44510.328518518516</v>
      </c>
      <c r="G732" t="s">
        <v>150</v>
      </c>
      <c r="H732" t="s">
        <v>155</v>
      </c>
      <c r="I732" s="24"/>
      <c r="J732" s="24"/>
      <c r="K732" s="24"/>
      <c r="L732" s="24"/>
      <c r="N732" s="24"/>
      <c r="O732" s="24"/>
      <c r="P732" s="24"/>
      <c r="Q732" s="24"/>
      <c r="V732" s="24"/>
      <c r="W732" s="24"/>
      <c r="X732" s="24"/>
      <c r="Y732" s="24"/>
      <c r="AA732" s="24"/>
      <c r="AB732" s="24"/>
      <c r="AC732" s="24"/>
      <c r="AD732" s="24"/>
      <c r="AF732" s="24"/>
      <c r="AG732" s="24"/>
      <c r="AH732" s="24"/>
      <c r="AI732" s="24"/>
      <c r="AK732" s="24"/>
      <c r="AL732" s="24"/>
      <c r="AM732" s="24"/>
      <c r="AN732" s="24"/>
      <c r="AP732" s="24"/>
      <c r="AQ732" s="24"/>
      <c r="AR732" s="24"/>
      <c r="AS732" s="24"/>
      <c r="AX732" s="24"/>
      <c r="AY732" s="24"/>
      <c r="AZ732" s="24"/>
      <c r="BA732" s="24"/>
      <c r="BC732" s="24"/>
      <c r="BD732" s="24"/>
      <c r="BE732" s="24"/>
      <c r="BF732" s="24"/>
      <c r="BH732" s="24">
        <v>45177.737064803237</v>
      </c>
      <c r="BI732" s="24">
        <v>45177.737064803237</v>
      </c>
      <c r="BJ732" s="24">
        <v>46000.443115208334</v>
      </c>
      <c r="BK732" s="24">
        <v>46000.443115208334</v>
      </c>
      <c r="BL732">
        <v>1</v>
      </c>
      <c r="BM732" s="24"/>
      <c r="BN732" s="24"/>
      <c r="BO732" s="24"/>
      <c r="BP732" s="24"/>
      <c r="BR732" s="24"/>
      <c r="BS732" s="24"/>
      <c r="BT732" s="24"/>
      <c r="BU732" s="24"/>
      <c r="BW732" s="24"/>
      <c r="BX732" s="24"/>
      <c r="BY732" s="24"/>
      <c r="BZ732" s="24"/>
      <c r="CB732" s="24">
        <v>46000.443115208334</v>
      </c>
      <c r="CC732" s="24">
        <v>46000.443115208334</v>
      </c>
      <c r="CD732">
        <v>1</v>
      </c>
      <c r="CE732" s="24"/>
      <c r="CF732" s="24"/>
      <c r="CH732" s="24"/>
      <c r="CI732" s="24"/>
      <c r="CJ732" s="24"/>
      <c r="CK732" s="24"/>
      <c r="DE732" s="24"/>
      <c r="DF732" s="24"/>
      <c r="DG732" s="24"/>
      <c r="DH732" s="24"/>
      <c r="DJ732" t="s">
        <v>149</v>
      </c>
      <c r="DK732" t="s">
        <v>149</v>
      </c>
      <c r="DQ732" t="s">
        <v>1000</v>
      </c>
      <c r="DR732" t="s">
        <v>149</v>
      </c>
      <c r="DS732" s="24">
        <v>46160.384426226854</v>
      </c>
    </row>
    <row r="733" spans="1:123" x14ac:dyDescent="0.3">
      <c r="A733" t="s">
        <v>983</v>
      </c>
      <c r="D733" t="s">
        <v>225</v>
      </c>
      <c r="E733" s="24">
        <v>44614.424953703703</v>
      </c>
      <c r="G733" t="s">
        <v>150</v>
      </c>
      <c r="H733" t="s">
        <v>155</v>
      </c>
      <c r="I733" s="24">
        <v>45189.384646168983</v>
      </c>
      <c r="J733" s="24">
        <v>45189.384646168983</v>
      </c>
      <c r="K733" s="24">
        <v>45189.393776527781</v>
      </c>
      <c r="L733" s="24">
        <v>45189.393776527781</v>
      </c>
      <c r="M733">
        <v>1</v>
      </c>
      <c r="N733" s="24"/>
      <c r="O733" s="24"/>
      <c r="P733" s="24"/>
      <c r="Q733" s="24"/>
      <c r="V733" s="24"/>
      <c r="W733" s="24"/>
      <c r="X733" s="24"/>
      <c r="Y733" s="24"/>
      <c r="AA733" s="24"/>
      <c r="AB733" s="24"/>
      <c r="AC733" s="24"/>
      <c r="AD733" s="24"/>
      <c r="AF733" s="24"/>
      <c r="AG733" s="24"/>
      <c r="AH733" s="24"/>
      <c r="AI733" s="24"/>
      <c r="AK733" s="24"/>
      <c r="AL733" s="24"/>
      <c r="AM733" s="24"/>
      <c r="AN733" s="24"/>
      <c r="AP733" s="24"/>
      <c r="AQ733" s="24"/>
      <c r="AR733" s="24"/>
      <c r="AS733" s="24"/>
      <c r="AX733" s="24"/>
      <c r="AY733" s="24"/>
      <c r="AZ733" s="24"/>
      <c r="BA733" s="24"/>
      <c r="BC733" s="24"/>
      <c r="BD733" s="24"/>
      <c r="BE733" s="24"/>
      <c r="BF733" s="24"/>
      <c r="BH733" s="24">
        <v>45177.736534027776</v>
      </c>
      <c r="BI733" s="24">
        <v>45177.736534027776</v>
      </c>
      <c r="BJ733" s="24">
        <v>45189.384646168983</v>
      </c>
      <c r="BK733" s="24">
        <v>45189.384646168983</v>
      </c>
      <c r="BL733">
        <v>1</v>
      </c>
      <c r="BM733" s="24"/>
      <c r="BN733" s="24"/>
      <c r="BO733" s="24"/>
      <c r="BP733" s="24"/>
      <c r="BR733" s="24"/>
      <c r="BS733" s="24"/>
      <c r="BT733" s="24"/>
      <c r="BU733" s="24"/>
      <c r="BW733" s="24">
        <v>45189.393776527781</v>
      </c>
      <c r="BX733" s="24">
        <v>45189.393776527781</v>
      </c>
      <c r="BY733" s="24">
        <v>45968.64443601852</v>
      </c>
      <c r="BZ733" s="24">
        <v>45968.64443601852</v>
      </c>
      <c r="CA733">
        <v>1</v>
      </c>
      <c r="CB733" s="24">
        <v>45968.64443601852</v>
      </c>
      <c r="CC733" s="24">
        <v>45968.64443601852</v>
      </c>
      <c r="CD733">
        <v>1</v>
      </c>
      <c r="CE733" s="24"/>
      <c r="CF733" s="24"/>
      <c r="CH733" s="24"/>
      <c r="CI733" s="24"/>
      <c r="CJ733" s="24"/>
      <c r="CK733" s="24"/>
      <c r="DE733" s="24"/>
      <c r="DF733" s="24"/>
      <c r="DG733" s="24"/>
      <c r="DH733" s="24"/>
      <c r="DJ733" t="s">
        <v>149</v>
      </c>
      <c r="DK733" t="s">
        <v>149</v>
      </c>
      <c r="DQ733" t="s">
        <v>1000</v>
      </c>
      <c r="DR733" t="s">
        <v>149</v>
      </c>
      <c r="DS733" s="24">
        <v>46160.384426226854</v>
      </c>
    </row>
    <row r="734" spans="1:123" x14ac:dyDescent="0.3">
      <c r="A734" t="s">
        <v>984</v>
      </c>
      <c r="D734" t="s">
        <v>225</v>
      </c>
      <c r="E734" s="24">
        <v>44592.322210648148</v>
      </c>
      <c r="G734" t="s">
        <v>150</v>
      </c>
      <c r="H734" t="s">
        <v>155</v>
      </c>
      <c r="I734" s="24"/>
      <c r="J734" s="24"/>
      <c r="K734" s="24"/>
      <c r="L734" s="24"/>
      <c r="N734" s="24"/>
      <c r="O734" s="24"/>
      <c r="P734" s="24"/>
      <c r="Q734" s="24"/>
      <c r="V734" s="24"/>
      <c r="W734" s="24"/>
      <c r="X734" s="24"/>
      <c r="Y734" s="24"/>
      <c r="AA734" s="24"/>
      <c r="AB734" s="24"/>
      <c r="AC734" s="24"/>
      <c r="AD734" s="24"/>
      <c r="AF734" s="24"/>
      <c r="AG734" s="24"/>
      <c r="AH734" s="24"/>
      <c r="AI734" s="24"/>
      <c r="AK734" s="24"/>
      <c r="AL734" s="24"/>
      <c r="AM734" s="24"/>
      <c r="AN734" s="24"/>
      <c r="AP734" s="24"/>
      <c r="AQ734" s="24"/>
      <c r="AR734" s="24"/>
      <c r="AS734" s="24"/>
      <c r="AX734" s="24"/>
      <c r="AY734" s="24"/>
      <c r="AZ734" s="24"/>
      <c r="BA734" s="24"/>
      <c r="BC734" s="24"/>
      <c r="BD734" s="24"/>
      <c r="BE734" s="24"/>
      <c r="BF734" s="24"/>
      <c r="BH734" s="24">
        <v>45177.735797650465</v>
      </c>
      <c r="BI734" s="24">
        <v>45177.735797650465</v>
      </c>
      <c r="BJ734" s="24">
        <v>46000.441803958332</v>
      </c>
      <c r="BK734" s="24">
        <v>46000.441803958332</v>
      </c>
      <c r="BL734">
        <v>1</v>
      </c>
      <c r="BM734" s="24"/>
      <c r="BN734" s="24"/>
      <c r="BO734" s="24"/>
      <c r="BP734" s="24"/>
      <c r="BR734" s="24"/>
      <c r="BS734" s="24"/>
      <c r="BT734" s="24"/>
      <c r="BU734" s="24"/>
      <c r="BW734" s="24"/>
      <c r="BX734" s="24"/>
      <c r="BY734" s="24"/>
      <c r="BZ734" s="24"/>
      <c r="CB734" s="24">
        <v>46000.441803958332</v>
      </c>
      <c r="CC734" s="24">
        <v>46000.441803958332</v>
      </c>
      <c r="CD734">
        <v>1</v>
      </c>
      <c r="CE734" s="24"/>
      <c r="CF734" s="24"/>
      <c r="CH734" s="24"/>
      <c r="CI734" s="24"/>
      <c r="CJ734" s="24"/>
      <c r="CK734" s="24"/>
      <c r="DE734" s="24"/>
      <c r="DF734" s="24"/>
      <c r="DG734" s="24"/>
      <c r="DH734" s="24"/>
      <c r="DJ734" t="s">
        <v>149</v>
      </c>
      <c r="DK734" t="s">
        <v>149</v>
      </c>
      <c r="DQ734" t="s">
        <v>1000</v>
      </c>
      <c r="DR734" t="s">
        <v>149</v>
      </c>
      <c r="DS734" s="24">
        <v>46160.384426226854</v>
      </c>
    </row>
    <row r="735" spans="1:123" x14ac:dyDescent="0.3">
      <c r="A735" t="s">
        <v>985</v>
      </c>
      <c r="D735" t="s">
        <v>223</v>
      </c>
      <c r="E735" s="24">
        <v>44309.463437500002</v>
      </c>
      <c r="G735" t="s">
        <v>150</v>
      </c>
      <c r="H735" t="s">
        <v>155</v>
      </c>
      <c r="I735" s="24"/>
      <c r="J735" s="24"/>
      <c r="K735" s="24"/>
      <c r="L735" s="24"/>
      <c r="N735" s="24"/>
      <c r="O735" s="24"/>
      <c r="P735" s="24"/>
      <c r="Q735" s="24"/>
      <c r="V735" s="24"/>
      <c r="W735" s="24"/>
      <c r="X735" s="24"/>
      <c r="Y735" s="24"/>
      <c r="AA735" s="24"/>
      <c r="AB735" s="24"/>
      <c r="AC735" s="24"/>
      <c r="AD735" s="24"/>
      <c r="AF735" s="24"/>
      <c r="AG735" s="24"/>
      <c r="AH735" s="24"/>
      <c r="AI735" s="24"/>
      <c r="AK735" s="24"/>
      <c r="AL735" s="24"/>
      <c r="AM735" s="24"/>
      <c r="AN735" s="24"/>
      <c r="AP735" s="24"/>
      <c r="AQ735" s="24"/>
      <c r="AR735" s="24"/>
      <c r="AS735" s="24"/>
      <c r="AX735" s="24"/>
      <c r="AY735" s="24"/>
      <c r="AZ735" s="24"/>
      <c r="BA735" s="24"/>
      <c r="BC735" s="24"/>
      <c r="BD735" s="24"/>
      <c r="BE735" s="24"/>
      <c r="BF735" s="24"/>
      <c r="BH735" s="24">
        <v>45177.558920173607</v>
      </c>
      <c r="BI735" s="24">
        <v>45177.558920173607</v>
      </c>
      <c r="BJ735" s="24">
        <v>46000.443434490742</v>
      </c>
      <c r="BK735" s="24">
        <v>46000.443434490742</v>
      </c>
      <c r="BL735">
        <v>1</v>
      </c>
      <c r="BM735" s="24"/>
      <c r="BN735" s="24"/>
      <c r="BO735" s="24"/>
      <c r="BP735" s="24"/>
      <c r="BR735" s="24"/>
      <c r="BS735" s="24"/>
      <c r="BT735" s="24"/>
      <c r="BU735" s="24"/>
      <c r="BW735" s="24"/>
      <c r="BX735" s="24"/>
      <c r="BY735" s="24"/>
      <c r="BZ735" s="24"/>
      <c r="CB735" s="24">
        <v>46000.443434490742</v>
      </c>
      <c r="CC735" s="24">
        <v>46000.443434490742</v>
      </c>
      <c r="CD735">
        <v>1</v>
      </c>
      <c r="CE735" s="24"/>
      <c r="CF735" s="24"/>
      <c r="CH735" s="24"/>
      <c r="CI735" s="24"/>
      <c r="CJ735" s="24"/>
      <c r="CK735" s="24"/>
      <c r="DE735" s="24"/>
      <c r="DF735" s="24"/>
      <c r="DG735" s="24"/>
      <c r="DH735" s="24"/>
      <c r="DJ735" t="s">
        <v>149</v>
      </c>
      <c r="DK735" t="s">
        <v>149</v>
      </c>
      <c r="DQ735" t="s">
        <v>1000</v>
      </c>
      <c r="DR735" t="s">
        <v>149</v>
      </c>
      <c r="DS735" s="24">
        <v>46160.384426226854</v>
      </c>
    </row>
    <row r="736" spans="1:123" x14ac:dyDescent="0.3">
      <c r="A736" t="s">
        <v>1219</v>
      </c>
      <c r="D736" t="s">
        <v>225</v>
      </c>
      <c r="E736" s="24">
        <v>46155.660266203704</v>
      </c>
      <c r="G736" t="s">
        <v>113</v>
      </c>
      <c r="H736" t="s">
        <v>155</v>
      </c>
      <c r="I736" s="24"/>
      <c r="J736" s="24"/>
      <c r="K736" s="24"/>
      <c r="L736" s="24"/>
      <c r="N736" s="24"/>
      <c r="O736" s="24"/>
      <c r="P736" s="24"/>
      <c r="Q736" s="24"/>
      <c r="V736" s="24"/>
      <c r="W736" s="24"/>
      <c r="X736" s="24"/>
      <c r="Y736" s="24"/>
      <c r="AA736" s="24">
        <v>46155.661135625</v>
      </c>
      <c r="AB736" s="24">
        <v>46155.661135625</v>
      </c>
      <c r="AC736" s="24">
        <v>46155.661165509257</v>
      </c>
      <c r="AD736" s="24">
        <v>46155.661165509257</v>
      </c>
      <c r="AE736">
        <v>1</v>
      </c>
      <c r="AF736" s="24"/>
      <c r="AG736" s="24"/>
      <c r="AH736" s="24"/>
      <c r="AI736" s="24"/>
      <c r="AK736" s="24"/>
      <c r="AL736" s="24"/>
      <c r="AM736" s="24"/>
      <c r="AN736" s="24"/>
      <c r="AP736" s="24"/>
      <c r="AQ736" s="24"/>
      <c r="AR736" s="24">
        <v>46155.66109775463</v>
      </c>
      <c r="AS736" s="24">
        <v>46155.66109775463</v>
      </c>
      <c r="AX736" s="24"/>
      <c r="AY736" s="24"/>
      <c r="AZ736" s="24"/>
      <c r="BA736" s="24"/>
      <c r="BC736" s="24">
        <v>46155.661216307868</v>
      </c>
      <c r="BD736" s="24">
        <v>46155.661216307868</v>
      </c>
      <c r="BE736" s="24"/>
      <c r="BF736" s="24"/>
      <c r="BG736">
        <v>1</v>
      </c>
      <c r="BH736" s="24">
        <v>46155.66109775463</v>
      </c>
      <c r="BI736" s="24">
        <v>46155.66109775463</v>
      </c>
      <c r="BJ736" s="24">
        <v>46155.661135625</v>
      </c>
      <c r="BK736" s="24">
        <v>46155.661135625</v>
      </c>
      <c r="BL736">
        <v>1</v>
      </c>
      <c r="BM736" s="24"/>
      <c r="BN736" s="24"/>
      <c r="BO736" s="24"/>
      <c r="BP736" s="24"/>
      <c r="BR736" s="24">
        <v>46155.661165509257</v>
      </c>
      <c r="BS736" s="24">
        <v>46155.661165509257</v>
      </c>
      <c r="BT736" s="24">
        <v>46155.661216307868</v>
      </c>
      <c r="BU736" s="24">
        <v>46155.661216307868</v>
      </c>
      <c r="BV736">
        <v>1</v>
      </c>
      <c r="BW736" s="24"/>
      <c r="BX736" s="24"/>
      <c r="BY736" s="24"/>
      <c r="BZ736" s="24"/>
      <c r="CB736" s="24"/>
      <c r="CC736" s="24"/>
      <c r="CE736" s="24"/>
      <c r="CF736" s="24"/>
      <c r="CH736" s="24"/>
      <c r="CI736" s="24"/>
      <c r="CJ736" s="24"/>
      <c r="CK736" s="24"/>
      <c r="DE736" s="24"/>
      <c r="DF736" s="24"/>
      <c r="DG736" s="24"/>
      <c r="DH736" s="24"/>
      <c r="DJ736" t="s">
        <v>149</v>
      </c>
      <c r="DK736" t="s">
        <v>149</v>
      </c>
      <c r="DO736">
        <v>5</v>
      </c>
      <c r="DP736">
        <v>5</v>
      </c>
      <c r="DQ736" t="s">
        <v>1001</v>
      </c>
      <c r="DR736" t="s">
        <v>149</v>
      </c>
      <c r="DS736" s="24">
        <v>46160.384426226854</v>
      </c>
    </row>
    <row r="737" spans="1:123" x14ac:dyDescent="0.3">
      <c r="A737" t="s">
        <v>1220</v>
      </c>
      <c r="D737" t="s">
        <v>225</v>
      </c>
      <c r="E737" s="24">
        <v>46155.43105324074</v>
      </c>
      <c r="G737" t="s">
        <v>102</v>
      </c>
      <c r="H737" t="s">
        <v>154</v>
      </c>
      <c r="I737" s="24"/>
      <c r="J737" s="24"/>
      <c r="K737" s="24"/>
      <c r="L737" s="24"/>
      <c r="N737" s="24"/>
      <c r="O737" s="24"/>
      <c r="P737" s="24"/>
      <c r="Q737" s="24"/>
      <c r="V737" s="24"/>
      <c r="W737" s="24"/>
      <c r="X737" s="24"/>
      <c r="Y737" s="24"/>
      <c r="AA737" s="24"/>
      <c r="AB737" s="24"/>
      <c r="AC737" s="24"/>
      <c r="AD737" s="24"/>
      <c r="AF737" s="24"/>
      <c r="AG737" s="24"/>
      <c r="AH737" s="24"/>
      <c r="AI737" s="24"/>
      <c r="AK737" s="24"/>
      <c r="AL737" s="24"/>
      <c r="AM737" s="24"/>
      <c r="AN737" s="24"/>
      <c r="AP737" s="24"/>
      <c r="AQ737" s="24"/>
      <c r="AR737" s="24"/>
      <c r="AS737" s="24"/>
      <c r="AX737" s="24"/>
      <c r="AY737" s="24"/>
      <c r="AZ737" s="24"/>
      <c r="BA737" s="24"/>
      <c r="BC737" s="24"/>
      <c r="BD737" s="24"/>
      <c r="BE737" s="24"/>
      <c r="BF737" s="24"/>
      <c r="BH737" s="24"/>
      <c r="BI737" s="24"/>
      <c r="BJ737" s="24"/>
      <c r="BK737" s="24"/>
      <c r="BM737" s="24"/>
      <c r="BN737" s="24"/>
      <c r="BO737" s="24"/>
      <c r="BP737" s="24"/>
      <c r="BR737" s="24"/>
      <c r="BS737" s="24"/>
      <c r="BT737" s="24"/>
      <c r="BU737" s="24"/>
      <c r="BW737" s="24"/>
      <c r="BX737" s="24"/>
      <c r="BY737" s="24"/>
      <c r="BZ737" s="24"/>
      <c r="CB737" s="24"/>
      <c r="CC737" s="24"/>
      <c r="CE737" s="24"/>
      <c r="CF737" s="24"/>
      <c r="CH737" s="24"/>
      <c r="CI737" s="24"/>
      <c r="CJ737" s="24"/>
      <c r="CK737" s="24"/>
      <c r="DE737" s="24"/>
      <c r="DF737" s="24"/>
      <c r="DG737" s="24"/>
      <c r="DH737" s="24"/>
      <c r="DJ737" t="s">
        <v>149</v>
      </c>
      <c r="DK737" t="s">
        <v>149</v>
      </c>
      <c r="DQ737" t="s">
        <v>1001</v>
      </c>
      <c r="DR737" t="s">
        <v>149</v>
      </c>
      <c r="DS737" s="24">
        <v>46160.384426226854</v>
      </c>
    </row>
    <row r="738" spans="1:123" x14ac:dyDescent="0.3">
      <c r="A738" t="s">
        <v>1221</v>
      </c>
      <c r="D738" t="s">
        <v>223</v>
      </c>
      <c r="E738" s="24">
        <v>46155.422546296293</v>
      </c>
      <c r="G738" t="s">
        <v>107</v>
      </c>
      <c r="H738" t="s">
        <v>154</v>
      </c>
      <c r="I738" s="24"/>
      <c r="J738" s="24"/>
      <c r="K738" s="24"/>
      <c r="L738" s="24"/>
      <c r="N738" s="24"/>
      <c r="O738" s="24"/>
      <c r="P738" s="24"/>
      <c r="Q738" s="24"/>
      <c r="V738" s="24"/>
      <c r="W738" s="24"/>
      <c r="X738" s="24"/>
      <c r="Y738" s="24"/>
      <c r="AA738" s="24"/>
      <c r="AB738" s="24"/>
      <c r="AC738" s="24"/>
      <c r="AD738" s="24"/>
      <c r="AF738" s="24"/>
      <c r="AG738" s="24"/>
      <c r="AH738" s="24"/>
      <c r="AI738" s="24"/>
      <c r="AK738" s="24"/>
      <c r="AL738" s="24"/>
      <c r="AM738" s="24"/>
      <c r="AN738" s="24"/>
      <c r="AP738" s="24"/>
      <c r="AQ738" s="24"/>
      <c r="AR738" s="24">
        <v>46155.428214814812</v>
      </c>
      <c r="AS738" s="24">
        <v>46155.428214814812</v>
      </c>
      <c r="AX738" s="24"/>
      <c r="AY738" s="24"/>
      <c r="AZ738" s="24"/>
      <c r="BA738" s="24"/>
      <c r="BC738" s="24"/>
      <c r="BD738" s="24"/>
      <c r="BE738" s="24"/>
      <c r="BF738" s="24"/>
      <c r="BH738" s="24">
        <v>46155.428214814812</v>
      </c>
      <c r="BI738" s="24">
        <v>46155.428214814812</v>
      </c>
      <c r="BJ738" s="24"/>
      <c r="BK738" s="24"/>
      <c r="BL738">
        <v>1</v>
      </c>
      <c r="BM738" s="24"/>
      <c r="BN738" s="24"/>
      <c r="BO738" s="24"/>
      <c r="BP738" s="24"/>
      <c r="BR738" s="24"/>
      <c r="BS738" s="24"/>
      <c r="BT738" s="24"/>
      <c r="BU738" s="24"/>
      <c r="BW738" s="24"/>
      <c r="BX738" s="24"/>
      <c r="BY738" s="24"/>
      <c r="BZ738" s="24"/>
      <c r="CB738" s="24"/>
      <c r="CC738" s="24"/>
      <c r="CE738" s="24"/>
      <c r="CF738" s="24"/>
      <c r="CH738" s="24"/>
      <c r="CI738" s="24"/>
      <c r="CJ738" s="24"/>
      <c r="CK738" s="24"/>
      <c r="DE738" s="24"/>
      <c r="DF738" s="24"/>
      <c r="DG738" s="24"/>
      <c r="DH738" s="24"/>
      <c r="DJ738" t="s">
        <v>149</v>
      </c>
      <c r="DK738" t="s">
        <v>149</v>
      </c>
      <c r="DP738">
        <v>5</v>
      </c>
      <c r="DQ738" t="s">
        <v>1001</v>
      </c>
      <c r="DR738" t="s">
        <v>149</v>
      </c>
      <c r="DS738" s="24">
        <v>46160.384426226854</v>
      </c>
    </row>
    <row r="739" spans="1:123" x14ac:dyDescent="0.3">
      <c r="A739" t="s">
        <v>1222</v>
      </c>
      <c r="D739" t="s">
        <v>223</v>
      </c>
      <c r="E739" s="24">
        <v>46153.488865740743</v>
      </c>
      <c r="G739" t="s">
        <v>102</v>
      </c>
      <c r="H739" t="s">
        <v>154</v>
      </c>
      <c r="I739" s="24"/>
      <c r="J739" s="24"/>
      <c r="K739" s="24"/>
      <c r="L739" s="24"/>
      <c r="N739" s="24"/>
      <c r="O739" s="24"/>
      <c r="P739" s="24"/>
      <c r="Q739" s="24"/>
      <c r="V739" s="24"/>
      <c r="W739" s="24"/>
      <c r="X739" s="24"/>
      <c r="Y739" s="24"/>
      <c r="AA739" s="24"/>
      <c r="AB739" s="24"/>
      <c r="AC739" s="24"/>
      <c r="AD739" s="24"/>
      <c r="AF739" s="24"/>
      <c r="AG739" s="24"/>
      <c r="AH739" s="24"/>
      <c r="AI739" s="24"/>
      <c r="AK739" s="24"/>
      <c r="AL739" s="24"/>
      <c r="AM739" s="24"/>
      <c r="AN739" s="24"/>
      <c r="AP739" s="24"/>
      <c r="AQ739" s="24"/>
      <c r="AR739" s="24"/>
      <c r="AS739" s="24"/>
      <c r="AX739" s="24"/>
      <c r="AY739" s="24"/>
      <c r="AZ739" s="24"/>
      <c r="BA739" s="24"/>
      <c r="BC739" s="24"/>
      <c r="BD739" s="24"/>
      <c r="BE739" s="24"/>
      <c r="BF739" s="24"/>
      <c r="BH739" s="24"/>
      <c r="BI739" s="24"/>
      <c r="BJ739" s="24"/>
      <c r="BK739" s="24"/>
      <c r="BM739" s="24"/>
      <c r="BN739" s="24"/>
      <c r="BO739" s="24"/>
      <c r="BP739" s="24"/>
      <c r="BR739" s="24"/>
      <c r="BS739" s="24"/>
      <c r="BT739" s="24"/>
      <c r="BU739" s="24"/>
      <c r="BW739" s="24"/>
      <c r="BX739" s="24"/>
      <c r="BY739" s="24"/>
      <c r="BZ739" s="24"/>
      <c r="CB739" s="24"/>
      <c r="CC739" s="24"/>
      <c r="CE739" s="24"/>
      <c r="CF739" s="24"/>
      <c r="CH739" s="24"/>
      <c r="CI739" s="24"/>
      <c r="CJ739" s="24"/>
      <c r="CK739" s="24"/>
      <c r="DE739" s="24"/>
      <c r="DF739" s="24"/>
      <c r="DG739" s="24"/>
      <c r="DH739" s="24"/>
      <c r="DJ739" t="s">
        <v>149</v>
      </c>
      <c r="DK739" t="s">
        <v>149</v>
      </c>
      <c r="DQ739" t="s">
        <v>1001</v>
      </c>
      <c r="DR739" t="s">
        <v>149</v>
      </c>
      <c r="DS739" s="24">
        <v>46160.384426226854</v>
      </c>
    </row>
    <row r="740" spans="1:123" x14ac:dyDescent="0.3">
      <c r="A740" t="s">
        <v>1223</v>
      </c>
      <c r="D740" t="s">
        <v>225</v>
      </c>
      <c r="E740" s="24">
        <v>46153.488402777781</v>
      </c>
      <c r="G740" t="s">
        <v>112</v>
      </c>
      <c r="H740" t="s">
        <v>89</v>
      </c>
      <c r="I740" s="24"/>
      <c r="J740" s="24"/>
      <c r="K740" s="24"/>
      <c r="L740" s="24"/>
      <c r="N740" s="24"/>
      <c r="O740" s="24"/>
      <c r="P740" s="24"/>
      <c r="Q740" s="24"/>
      <c r="V740" s="24"/>
      <c r="W740" s="24"/>
      <c r="X740" s="24"/>
      <c r="Y740" s="24"/>
      <c r="AA740" s="24">
        <v>46155.638529374999</v>
      </c>
      <c r="AB740" s="24">
        <v>46155.638529374999</v>
      </c>
      <c r="AC740" s="24">
        <v>46155.639185023145</v>
      </c>
      <c r="AD740" s="24">
        <v>46155.639185023145</v>
      </c>
      <c r="AE740">
        <v>1</v>
      </c>
      <c r="AF740" s="24">
        <v>46155.639185023145</v>
      </c>
      <c r="AG740" s="24">
        <v>46155.639185023145</v>
      </c>
      <c r="AH740" s="24">
        <v>46155.639204282408</v>
      </c>
      <c r="AI740" s="24">
        <v>46155.639204282408</v>
      </c>
      <c r="AJ740">
        <v>1</v>
      </c>
      <c r="AK740" s="24">
        <v>46155.639204282408</v>
      </c>
      <c r="AL740" s="24">
        <v>46155.639204282408</v>
      </c>
      <c r="AM740" s="24">
        <v>46155.639306215278</v>
      </c>
      <c r="AN740" s="24">
        <v>46155.639306215278</v>
      </c>
      <c r="AO740">
        <v>1</v>
      </c>
      <c r="AP740" s="24"/>
      <c r="AQ740" s="24"/>
      <c r="AR740" s="24">
        <v>46155.638440011571</v>
      </c>
      <c r="AS740" s="24">
        <v>46155.638440011571</v>
      </c>
      <c r="AX740" s="24"/>
      <c r="AY740" s="24"/>
      <c r="AZ740" s="24"/>
      <c r="BA740" s="24"/>
      <c r="BC740" s="24">
        <v>46155.639451550924</v>
      </c>
      <c r="BD740" s="24">
        <v>46155.639451550924</v>
      </c>
      <c r="BE740" s="24">
        <v>46155.639738888887</v>
      </c>
      <c r="BF740" s="24">
        <v>46155.639738888887</v>
      </c>
      <c r="BG740">
        <v>1</v>
      </c>
      <c r="BH740" s="24">
        <v>46155.638440011571</v>
      </c>
      <c r="BI740" s="24">
        <v>46155.638440011571</v>
      </c>
      <c r="BJ740" s="24">
        <v>46155.638529374999</v>
      </c>
      <c r="BK740" s="24">
        <v>46155.638529374999</v>
      </c>
      <c r="BL740">
        <v>1</v>
      </c>
      <c r="BM740" s="24"/>
      <c r="BN740" s="24"/>
      <c r="BO740" s="24"/>
      <c r="BP740" s="24"/>
      <c r="BR740" s="24">
        <v>46155.639738888887</v>
      </c>
      <c r="BS740" s="24">
        <v>46155.639306215278</v>
      </c>
      <c r="BT740" s="24">
        <v>46155.639451550924</v>
      </c>
      <c r="BU740" s="24">
        <v>46155.639451550924</v>
      </c>
      <c r="BV740">
        <v>2</v>
      </c>
      <c r="BW740" s="24"/>
      <c r="BX740" s="24"/>
      <c r="BY740" s="24"/>
      <c r="BZ740" s="24"/>
      <c r="CB740" s="24"/>
      <c r="CC740" s="24"/>
      <c r="CE740" s="24"/>
      <c r="CF740" s="24"/>
      <c r="CH740" s="24"/>
      <c r="CI740" s="24"/>
      <c r="CJ740" s="24"/>
      <c r="CK740" s="24"/>
      <c r="DE740" s="24"/>
      <c r="DF740" s="24"/>
      <c r="DG740" s="24"/>
      <c r="DH740" s="24"/>
      <c r="DJ740" t="s">
        <v>149</v>
      </c>
      <c r="DK740" t="s">
        <v>149</v>
      </c>
      <c r="DO740">
        <v>5</v>
      </c>
      <c r="DP740">
        <v>5</v>
      </c>
      <c r="DQ740" t="s">
        <v>1001</v>
      </c>
      <c r="DR740" t="s">
        <v>149</v>
      </c>
      <c r="DS740" s="24">
        <v>46160.384426226854</v>
      </c>
    </row>
    <row r="741" spans="1:123" x14ac:dyDescent="0.3">
      <c r="A741" t="s">
        <v>1224</v>
      </c>
      <c r="D741" t="s">
        <v>225</v>
      </c>
      <c r="E741" s="24">
        <v>46153.484872685185</v>
      </c>
      <c r="G741" t="s">
        <v>102</v>
      </c>
      <c r="H741" t="s">
        <v>154</v>
      </c>
      <c r="I741" s="24"/>
      <c r="J741" s="24"/>
      <c r="K741" s="24"/>
      <c r="L741" s="24"/>
      <c r="N741" s="24"/>
      <c r="O741" s="24"/>
      <c r="P741" s="24"/>
      <c r="Q741" s="24"/>
      <c r="V741" s="24"/>
      <c r="W741" s="24"/>
      <c r="X741" s="24"/>
      <c r="Y741" s="24"/>
      <c r="AA741" s="24"/>
      <c r="AB741" s="24"/>
      <c r="AC741" s="24"/>
      <c r="AD741" s="24"/>
      <c r="AF741" s="24"/>
      <c r="AG741" s="24"/>
      <c r="AH741" s="24"/>
      <c r="AI741" s="24"/>
      <c r="AK741" s="24"/>
      <c r="AL741" s="24"/>
      <c r="AM741" s="24"/>
      <c r="AN741" s="24"/>
      <c r="AP741" s="24"/>
      <c r="AQ741" s="24"/>
      <c r="AR741" s="24"/>
      <c r="AS741" s="24"/>
      <c r="AX741" s="24"/>
      <c r="AY741" s="24"/>
      <c r="AZ741" s="24"/>
      <c r="BA741" s="24"/>
      <c r="BC741" s="24"/>
      <c r="BD741" s="24"/>
      <c r="BE741" s="24"/>
      <c r="BF741" s="24"/>
      <c r="BH741" s="24"/>
      <c r="BI741" s="24"/>
      <c r="BJ741" s="24"/>
      <c r="BK741" s="24"/>
      <c r="BM741" s="24"/>
      <c r="BN741" s="24"/>
      <c r="BO741" s="24"/>
      <c r="BP741" s="24"/>
      <c r="BR741" s="24"/>
      <c r="BS741" s="24"/>
      <c r="BT741" s="24"/>
      <c r="BU741" s="24"/>
      <c r="BW741" s="24"/>
      <c r="BX741" s="24"/>
      <c r="BY741" s="24"/>
      <c r="BZ741" s="24"/>
      <c r="CB741" s="24"/>
      <c r="CC741" s="24"/>
      <c r="CE741" s="24"/>
      <c r="CF741" s="24"/>
      <c r="CH741" s="24"/>
      <c r="CI741" s="24"/>
      <c r="CJ741" s="24"/>
      <c r="CK741" s="24"/>
      <c r="DE741" s="24"/>
      <c r="DF741" s="24"/>
      <c r="DG741" s="24"/>
      <c r="DH741" s="24"/>
      <c r="DJ741" t="s">
        <v>149</v>
      </c>
      <c r="DK741" t="s">
        <v>149</v>
      </c>
      <c r="DQ741" t="s">
        <v>1001</v>
      </c>
      <c r="DR741" t="s">
        <v>149</v>
      </c>
      <c r="DS741" s="24">
        <v>46160.384426226854</v>
      </c>
    </row>
    <row r="742" spans="1:123" x14ac:dyDescent="0.3">
      <c r="A742" t="s">
        <v>1225</v>
      </c>
      <c r="D742" t="s">
        <v>225</v>
      </c>
      <c r="E742" s="24">
        <v>46153.484560185185</v>
      </c>
      <c r="G742" t="s">
        <v>102</v>
      </c>
      <c r="H742" t="s">
        <v>154</v>
      </c>
      <c r="I742" s="24"/>
      <c r="J742" s="24"/>
      <c r="K742" s="24"/>
      <c r="L742" s="24"/>
      <c r="N742" s="24"/>
      <c r="O742" s="24"/>
      <c r="P742" s="24"/>
      <c r="Q742" s="24"/>
      <c r="V742" s="24"/>
      <c r="W742" s="24"/>
      <c r="X742" s="24"/>
      <c r="Y742" s="24"/>
      <c r="AA742" s="24"/>
      <c r="AB742" s="24"/>
      <c r="AC742" s="24"/>
      <c r="AD742" s="24"/>
      <c r="AF742" s="24"/>
      <c r="AG742" s="24"/>
      <c r="AH742" s="24"/>
      <c r="AI742" s="24"/>
      <c r="AK742" s="24"/>
      <c r="AL742" s="24"/>
      <c r="AM742" s="24"/>
      <c r="AN742" s="24"/>
      <c r="AP742" s="24"/>
      <c r="AQ742" s="24"/>
      <c r="AR742" s="24"/>
      <c r="AS742" s="24"/>
      <c r="AX742" s="24"/>
      <c r="AY742" s="24"/>
      <c r="AZ742" s="24"/>
      <c r="BA742" s="24"/>
      <c r="BC742" s="24"/>
      <c r="BD742" s="24"/>
      <c r="BE742" s="24"/>
      <c r="BF742" s="24"/>
      <c r="BH742" s="24"/>
      <c r="BI742" s="24"/>
      <c r="BJ742" s="24"/>
      <c r="BK742" s="24"/>
      <c r="BM742" s="24"/>
      <c r="BN742" s="24"/>
      <c r="BO742" s="24"/>
      <c r="BP742" s="24"/>
      <c r="BR742" s="24"/>
      <c r="BS742" s="24"/>
      <c r="BT742" s="24"/>
      <c r="BU742" s="24"/>
      <c r="BW742" s="24"/>
      <c r="BX742" s="24"/>
      <c r="BY742" s="24"/>
      <c r="BZ742" s="24"/>
      <c r="CB742" s="24"/>
      <c r="CC742" s="24"/>
      <c r="CE742" s="24"/>
      <c r="CF742" s="24"/>
      <c r="CH742" s="24"/>
      <c r="CI742" s="24"/>
      <c r="CJ742" s="24"/>
      <c r="CK742" s="24"/>
      <c r="DE742" s="24"/>
      <c r="DF742" s="24"/>
      <c r="DG742" s="24"/>
      <c r="DH742" s="24"/>
      <c r="DJ742" t="s">
        <v>149</v>
      </c>
      <c r="DK742" t="s">
        <v>149</v>
      </c>
      <c r="DQ742" t="s">
        <v>1001</v>
      </c>
      <c r="DR742" t="s">
        <v>149</v>
      </c>
      <c r="DS742" s="24">
        <v>46160.384426226854</v>
      </c>
    </row>
    <row r="743" spans="1:123" x14ac:dyDescent="0.3">
      <c r="A743" t="s">
        <v>1226</v>
      </c>
      <c r="D743" t="s">
        <v>225</v>
      </c>
      <c r="E743" s="24">
        <v>46153.474768518521</v>
      </c>
      <c r="G743" t="s">
        <v>102</v>
      </c>
      <c r="H743" t="s">
        <v>154</v>
      </c>
      <c r="I743" s="24"/>
      <c r="J743" s="24"/>
      <c r="K743" s="24"/>
      <c r="L743" s="24"/>
      <c r="N743" s="24"/>
      <c r="O743" s="24"/>
      <c r="P743" s="24"/>
      <c r="Q743" s="24"/>
      <c r="V743" s="24"/>
      <c r="W743" s="24"/>
      <c r="X743" s="24"/>
      <c r="Y743" s="24"/>
      <c r="AA743" s="24"/>
      <c r="AB743" s="24"/>
      <c r="AC743" s="24"/>
      <c r="AD743" s="24"/>
      <c r="AF743" s="24"/>
      <c r="AG743" s="24"/>
      <c r="AH743" s="24"/>
      <c r="AI743" s="24"/>
      <c r="AK743" s="24"/>
      <c r="AL743" s="24"/>
      <c r="AM743" s="24"/>
      <c r="AN743" s="24"/>
      <c r="AP743" s="24"/>
      <c r="AQ743" s="24"/>
      <c r="AR743" s="24"/>
      <c r="AS743" s="24"/>
      <c r="AX743" s="24"/>
      <c r="AY743" s="24"/>
      <c r="AZ743" s="24"/>
      <c r="BA743" s="24"/>
      <c r="BC743" s="24"/>
      <c r="BD743" s="24"/>
      <c r="BE743" s="24"/>
      <c r="BF743" s="24"/>
      <c r="BH743" s="24"/>
      <c r="BI743" s="24"/>
      <c r="BJ743" s="24"/>
      <c r="BK743" s="24"/>
      <c r="BM743" s="24"/>
      <c r="BN743" s="24"/>
      <c r="BO743" s="24"/>
      <c r="BP743" s="24"/>
      <c r="BR743" s="24"/>
      <c r="BS743" s="24"/>
      <c r="BT743" s="24"/>
      <c r="BU743" s="24"/>
      <c r="BW743" s="24"/>
      <c r="BX743" s="24"/>
      <c r="BY743" s="24"/>
      <c r="BZ743" s="24"/>
      <c r="CB743" s="24"/>
      <c r="CC743" s="24"/>
      <c r="CE743" s="24"/>
      <c r="CF743" s="24"/>
      <c r="CH743" s="24"/>
      <c r="CI743" s="24"/>
      <c r="CJ743" s="24"/>
      <c r="CK743" s="24"/>
      <c r="DE743" s="24"/>
      <c r="DF743" s="24"/>
      <c r="DG743" s="24"/>
      <c r="DH743" s="24"/>
      <c r="DJ743" t="s">
        <v>149</v>
      </c>
      <c r="DK743" t="s">
        <v>149</v>
      </c>
      <c r="DQ743" t="s">
        <v>1001</v>
      </c>
      <c r="DR743" t="s">
        <v>149</v>
      </c>
      <c r="DS743" s="24">
        <v>46160.384426226854</v>
      </c>
    </row>
    <row r="744" spans="1:123" x14ac:dyDescent="0.3">
      <c r="A744" t="s">
        <v>1227</v>
      </c>
      <c r="D744" t="s">
        <v>224</v>
      </c>
      <c r="E744" s="24">
        <v>46149.499016203707</v>
      </c>
      <c r="G744" t="s">
        <v>111</v>
      </c>
      <c r="H744" t="s">
        <v>89</v>
      </c>
      <c r="I744" s="24"/>
      <c r="J744" s="24"/>
      <c r="K744" s="24"/>
      <c r="L744" s="24"/>
      <c r="N744" s="24"/>
      <c r="O744" s="24"/>
      <c r="P744" s="24"/>
      <c r="Q744" s="24"/>
      <c r="V744" s="24"/>
      <c r="W744" s="24"/>
      <c r="X744" s="24"/>
      <c r="Y744" s="24"/>
      <c r="AA744" s="24">
        <v>46149.575498391205</v>
      </c>
      <c r="AB744" s="24">
        <v>46149.575498391205</v>
      </c>
      <c r="AC744" s="24">
        <v>46154.526870381946</v>
      </c>
      <c r="AD744" s="24">
        <v>46154.526870381946</v>
      </c>
      <c r="AE744">
        <v>1</v>
      </c>
      <c r="AF744" s="24">
        <v>46154.526870381946</v>
      </c>
      <c r="AG744" s="24">
        <v>46154.526870381946</v>
      </c>
      <c r="AH744" s="24">
        <v>46154.616952928242</v>
      </c>
      <c r="AI744" s="24">
        <v>46154.616952928242</v>
      </c>
      <c r="AJ744">
        <v>1</v>
      </c>
      <c r="AK744" s="24">
        <v>46154.616952928242</v>
      </c>
      <c r="AL744" s="24">
        <v>46154.616952928242</v>
      </c>
      <c r="AM744" s="24"/>
      <c r="AN744" s="24"/>
      <c r="AO744">
        <v>1</v>
      </c>
      <c r="AP744" s="24"/>
      <c r="AQ744" s="24"/>
      <c r="AR744" s="24">
        <v>46149.540776435184</v>
      </c>
      <c r="AS744" s="24">
        <v>46149.540776435184</v>
      </c>
      <c r="AX744" s="24"/>
      <c r="AY744" s="24"/>
      <c r="AZ744" s="24"/>
      <c r="BA744" s="24"/>
      <c r="BC744" s="24"/>
      <c r="BD744" s="24"/>
      <c r="BE744" s="24"/>
      <c r="BF744" s="24"/>
      <c r="BH744" s="24">
        <v>46149.540776435184</v>
      </c>
      <c r="BI744" s="24">
        <v>46149.540776435184</v>
      </c>
      <c r="BJ744" s="24">
        <v>46149.575498391205</v>
      </c>
      <c r="BK744" s="24">
        <v>46149.575498391205</v>
      </c>
      <c r="BL744">
        <v>1</v>
      </c>
      <c r="BM744" s="24"/>
      <c r="BN744" s="24"/>
      <c r="BO744" s="24"/>
      <c r="BP744" s="24"/>
      <c r="BR744" s="24"/>
      <c r="BS744" s="24"/>
      <c r="BT744" s="24"/>
      <c r="BU744" s="24"/>
      <c r="BW744" s="24"/>
      <c r="BX744" s="24"/>
      <c r="BY744" s="24"/>
      <c r="BZ744" s="24"/>
      <c r="CB744" s="24"/>
      <c r="CC744" s="24"/>
      <c r="CE744" s="24"/>
      <c r="CF744" s="24"/>
      <c r="CH744" s="24"/>
      <c r="CI744" s="24"/>
      <c r="CJ744" s="24"/>
      <c r="CK744" s="24"/>
      <c r="DE744" s="24"/>
      <c r="DF744" s="24"/>
      <c r="DG744" s="24"/>
      <c r="DH744" s="24"/>
      <c r="DJ744" t="s">
        <v>149</v>
      </c>
      <c r="DK744" t="s">
        <v>149</v>
      </c>
      <c r="DO744">
        <v>11</v>
      </c>
      <c r="DP744">
        <v>6</v>
      </c>
      <c r="DQ744" t="s">
        <v>1001</v>
      </c>
      <c r="DR744" t="s">
        <v>149</v>
      </c>
      <c r="DS744" s="24">
        <v>46160.384426226854</v>
      </c>
    </row>
    <row r="745" spans="1:123" x14ac:dyDescent="0.3">
      <c r="A745" t="s">
        <v>1228</v>
      </c>
      <c r="D745" t="s">
        <v>225</v>
      </c>
      <c r="E745" s="24">
        <v>46141.575752314813</v>
      </c>
      <c r="G745" t="s">
        <v>172</v>
      </c>
      <c r="H745" t="s">
        <v>89</v>
      </c>
      <c r="I745" s="24"/>
      <c r="J745" s="24"/>
      <c r="K745" s="24"/>
      <c r="L745" s="24"/>
      <c r="N745" s="24"/>
      <c r="O745" s="24"/>
      <c r="P745" s="24"/>
      <c r="Q745" s="24"/>
      <c r="V745" s="24"/>
      <c r="W745" s="24"/>
      <c r="X745" s="24"/>
      <c r="Y745" s="24"/>
      <c r="AA745" s="24">
        <v>46155.584917858796</v>
      </c>
      <c r="AB745" s="24">
        <v>46155.584917858796</v>
      </c>
      <c r="AC745" s="24">
        <v>46155.667396041667</v>
      </c>
      <c r="AD745" s="24">
        <v>46155.667396041667</v>
      </c>
      <c r="AE745">
        <v>1</v>
      </c>
      <c r="AF745" s="24">
        <v>46155.667396041667</v>
      </c>
      <c r="AG745" s="24">
        <v>46155.667396041667</v>
      </c>
      <c r="AH745" s="24"/>
      <c r="AI745" s="24"/>
      <c r="AJ745">
        <v>1</v>
      </c>
      <c r="AK745" s="24"/>
      <c r="AL745" s="24"/>
      <c r="AM745" s="24"/>
      <c r="AN745" s="24"/>
      <c r="AP745" s="24"/>
      <c r="AQ745" s="24"/>
      <c r="AR745" s="24">
        <v>46155.451151643516</v>
      </c>
      <c r="AS745" s="24">
        <v>46155.451151643516</v>
      </c>
      <c r="AX745" s="24"/>
      <c r="AY745" s="24"/>
      <c r="AZ745" s="24"/>
      <c r="BA745" s="24"/>
      <c r="BC745" s="24"/>
      <c r="BD745" s="24"/>
      <c r="BE745" s="24"/>
      <c r="BF745" s="24"/>
      <c r="BH745" s="24">
        <v>46155.451151643516</v>
      </c>
      <c r="BI745" s="24">
        <v>46155.451151643516</v>
      </c>
      <c r="BJ745" s="24">
        <v>46155.584917858796</v>
      </c>
      <c r="BK745" s="24">
        <v>46155.584917858796</v>
      </c>
      <c r="BL745">
        <v>1</v>
      </c>
      <c r="BM745" s="24"/>
      <c r="BN745" s="24"/>
      <c r="BO745" s="24"/>
      <c r="BP745" s="24"/>
      <c r="BR745" s="24"/>
      <c r="BS745" s="24"/>
      <c r="BT745" s="24"/>
      <c r="BU745" s="24"/>
      <c r="BW745" s="24"/>
      <c r="BX745" s="24"/>
      <c r="BY745" s="24"/>
      <c r="BZ745" s="24"/>
      <c r="CB745" s="24"/>
      <c r="CC745" s="24"/>
      <c r="CE745" s="24"/>
      <c r="CF745" s="24"/>
      <c r="CH745" s="24"/>
      <c r="CI745" s="24"/>
      <c r="CJ745" s="24"/>
      <c r="CK745" s="24"/>
      <c r="DE745" s="24"/>
      <c r="DF745" s="24"/>
      <c r="DG745" s="24"/>
      <c r="DH745" s="24"/>
      <c r="DJ745" t="s">
        <v>149</v>
      </c>
      <c r="DK745" t="s">
        <v>149</v>
      </c>
      <c r="DO745">
        <v>5</v>
      </c>
      <c r="DP745">
        <v>5</v>
      </c>
      <c r="DQ745" t="s">
        <v>1001</v>
      </c>
      <c r="DR745" t="s">
        <v>149</v>
      </c>
      <c r="DS745" s="24">
        <v>46160.384426226854</v>
      </c>
    </row>
    <row r="746" spans="1:123" x14ac:dyDescent="0.3">
      <c r="A746" t="s">
        <v>1229</v>
      </c>
      <c r="D746" t="s">
        <v>225</v>
      </c>
      <c r="E746" s="24">
        <v>46141.570694444446</v>
      </c>
      <c r="G746" t="s">
        <v>90</v>
      </c>
      <c r="H746" t="s">
        <v>155</v>
      </c>
      <c r="I746" s="24"/>
      <c r="J746" s="24"/>
      <c r="K746" s="24"/>
      <c r="L746" s="24"/>
      <c r="N746" s="24"/>
      <c r="O746" s="24"/>
      <c r="P746" s="24"/>
      <c r="Q746" s="24"/>
      <c r="V746" s="24"/>
      <c r="W746" s="24"/>
      <c r="X746" s="24"/>
      <c r="Y746" s="24"/>
      <c r="AA746" s="24">
        <v>46142.422069201391</v>
      </c>
      <c r="AB746" s="24">
        <v>46142.422069201391</v>
      </c>
      <c r="AC746" s="24">
        <v>46142.656551145832</v>
      </c>
      <c r="AD746" s="24">
        <v>46142.656551145832</v>
      </c>
      <c r="AE746">
        <v>1</v>
      </c>
      <c r="AF746" s="24">
        <v>46142.656551145832</v>
      </c>
      <c r="AG746" s="24">
        <v>46142.656551145832</v>
      </c>
      <c r="AH746" s="24">
        <v>46146.278181782407</v>
      </c>
      <c r="AI746" s="24">
        <v>46146.278181782407</v>
      </c>
      <c r="AJ746">
        <v>1</v>
      </c>
      <c r="AK746" s="24">
        <v>46146.278181782407</v>
      </c>
      <c r="AL746" s="24">
        <v>46146.278181782407</v>
      </c>
      <c r="AM746" s="24">
        <v>46155.442098877313</v>
      </c>
      <c r="AN746" s="24">
        <v>46155.442098877313</v>
      </c>
      <c r="AO746">
        <v>1</v>
      </c>
      <c r="AP746" s="24"/>
      <c r="AQ746" s="24"/>
      <c r="AR746" s="24">
        <v>46142.422024421299</v>
      </c>
      <c r="AS746" s="24">
        <v>46142.422024421299</v>
      </c>
      <c r="AX746" s="24"/>
      <c r="AY746" s="24"/>
      <c r="AZ746" s="24"/>
      <c r="BA746" s="24"/>
      <c r="BC746" s="24">
        <v>46155.442238391202</v>
      </c>
      <c r="BD746" s="24">
        <v>46155.442238391202</v>
      </c>
      <c r="BE746" s="24">
        <v>46155.612759282405</v>
      </c>
      <c r="BF746" s="24">
        <v>46155.612759282405</v>
      </c>
      <c r="BG746">
        <v>1</v>
      </c>
      <c r="BH746" s="24">
        <v>46142.422024421299</v>
      </c>
      <c r="BI746" s="24">
        <v>46142.422024421299</v>
      </c>
      <c r="BJ746" s="24">
        <v>46142.422069201391</v>
      </c>
      <c r="BK746" s="24">
        <v>46142.422069201391</v>
      </c>
      <c r="BL746">
        <v>1</v>
      </c>
      <c r="BM746" s="24"/>
      <c r="BN746" s="24"/>
      <c r="BO746" s="24"/>
      <c r="BP746" s="24"/>
      <c r="BR746" s="24">
        <v>46155.442098877313</v>
      </c>
      <c r="BS746" s="24">
        <v>46155.442098877313</v>
      </c>
      <c r="BT746" s="24">
        <v>46155.442238391202</v>
      </c>
      <c r="BU746" s="24">
        <v>46155.442238391202</v>
      </c>
      <c r="BV746">
        <v>1</v>
      </c>
      <c r="BW746" s="24"/>
      <c r="BX746" s="24"/>
      <c r="BY746" s="24"/>
      <c r="BZ746" s="24"/>
      <c r="CB746" s="24"/>
      <c r="CC746" s="24"/>
      <c r="CE746" s="24">
        <v>46155.612759282405</v>
      </c>
      <c r="CF746" s="24">
        <v>46155.612759282405</v>
      </c>
      <c r="CG746">
        <v>1</v>
      </c>
      <c r="CH746" s="24"/>
      <c r="CI746" s="24"/>
      <c r="CJ746" s="24"/>
      <c r="CK746" s="24"/>
      <c r="DE746" s="24"/>
      <c r="DF746" s="24"/>
      <c r="DG746" s="24"/>
      <c r="DH746" s="24"/>
      <c r="DJ746" t="s">
        <v>149</v>
      </c>
      <c r="DK746" t="s">
        <v>149</v>
      </c>
      <c r="DM746">
        <v>14</v>
      </c>
      <c r="DN746">
        <v>14</v>
      </c>
      <c r="DQ746" t="s">
        <v>1001</v>
      </c>
      <c r="DR746" t="s">
        <v>149</v>
      </c>
      <c r="DS746" s="24">
        <v>46160.384426226854</v>
      </c>
    </row>
    <row r="747" spans="1:123" x14ac:dyDescent="0.3">
      <c r="A747" t="s">
        <v>1230</v>
      </c>
      <c r="D747" t="s">
        <v>225</v>
      </c>
      <c r="E747" s="24">
        <v>46141.56108796296</v>
      </c>
      <c r="G747" t="s">
        <v>90</v>
      </c>
      <c r="H747" t="s">
        <v>155</v>
      </c>
      <c r="I747" s="24"/>
      <c r="J747" s="24"/>
      <c r="K747" s="24"/>
      <c r="L747" s="24"/>
      <c r="N747" s="24"/>
      <c r="O747" s="24"/>
      <c r="P747" s="24"/>
      <c r="Q747" s="24"/>
      <c r="V747" s="24"/>
      <c r="W747" s="24"/>
      <c r="X747" s="24"/>
      <c r="Y747" s="24"/>
      <c r="AA747" s="24">
        <v>46142.657202152775</v>
      </c>
      <c r="AB747" s="24">
        <v>46142.657202152775</v>
      </c>
      <c r="AC747" s="24">
        <v>46154.722856643515</v>
      </c>
      <c r="AD747" s="24">
        <v>46154.722856643515</v>
      </c>
      <c r="AE747">
        <v>1</v>
      </c>
      <c r="AF747" s="24">
        <v>46154.722856643515</v>
      </c>
      <c r="AG747" s="24">
        <v>46154.722856643515</v>
      </c>
      <c r="AH747" s="24">
        <v>46155.310560810183</v>
      </c>
      <c r="AI747" s="24">
        <v>46155.310560810183</v>
      </c>
      <c r="AJ747">
        <v>1</v>
      </c>
      <c r="AK747" s="24">
        <v>46155.310560810183</v>
      </c>
      <c r="AL747" s="24">
        <v>46155.310560810183</v>
      </c>
      <c r="AM747" s="24">
        <v>46155.441027800924</v>
      </c>
      <c r="AN747" s="24">
        <v>46155.441027800924</v>
      </c>
      <c r="AO747">
        <v>1</v>
      </c>
      <c r="AP747" s="24"/>
      <c r="AQ747" s="24"/>
      <c r="AR747" s="24">
        <v>46142.450401736111</v>
      </c>
      <c r="AS747" s="24">
        <v>46142.450401736111</v>
      </c>
      <c r="AX747" s="24"/>
      <c r="AY747" s="24"/>
      <c r="AZ747" s="24"/>
      <c r="BA747" s="24"/>
      <c r="BC747" s="24">
        <v>46155.441284918983</v>
      </c>
      <c r="BD747" s="24">
        <v>46155.441284918983</v>
      </c>
      <c r="BE747" s="24">
        <v>46155.612759039352</v>
      </c>
      <c r="BF747" s="24">
        <v>46155.612759039352</v>
      </c>
      <c r="BG747">
        <v>1</v>
      </c>
      <c r="BH747" s="24">
        <v>46142.450401736111</v>
      </c>
      <c r="BI747" s="24">
        <v>46142.450401736111</v>
      </c>
      <c r="BJ747" s="24">
        <v>46142.657202152775</v>
      </c>
      <c r="BK747" s="24">
        <v>46142.657202152775</v>
      </c>
      <c r="BL747">
        <v>1</v>
      </c>
      <c r="BM747" s="24"/>
      <c r="BN747" s="24"/>
      <c r="BO747" s="24"/>
      <c r="BP747" s="24"/>
      <c r="BR747" s="24">
        <v>46155.441027800924</v>
      </c>
      <c r="BS747" s="24">
        <v>46155.441027800924</v>
      </c>
      <c r="BT747" s="24">
        <v>46155.441284918983</v>
      </c>
      <c r="BU747" s="24">
        <v>46155.441284918983</v>
      </c>
      <c r="BV747">
        <v>1</v>
      </c>
      <c r="BW747" s="24"/>
      <c r="BX747" s="24"/>
      <c r="BY747" s="24"/>
      <c r="BZ747" s="24"/>
      <c r="CB747" s="24"/>
      <c r="CC747" s="24"/>
      <c r="CE747" s="24">
        <v>46155.612759039352</v>
      </c>
      <c r="CF747" s="24">
        <v>46155.612759039352</v>
      </c>
      <c r="CG747">
        <v>1</v>
      </c>
      <c r="CH747" s="24"/>
      <c r="CI747" s="24"/>
      <c r="CJ747" s="24"/>
      <c r="CK747" s="24"/>
      <c r="DE747" s="24"/>
      <c r="DF747" s="24"/>
      <c r="DG747" s="24"/>
      <c r="DH747" s="24"/>
      <c r="DJ747" t="s">
        <v>149</v>
      </c>
      <c r="DK747" t="s">
        <v>149</v>
      </c>
      <c r="DM747">
        <v>14</v>
      </c>
      <c r="DN747">
        <v>13</v>
      </c>
      <c r="DQ747" t="s">
        <v>1001</v>
      </c>
      <c r="DR747" t="s">
        <v>149</v>
      </c>
      <c r="DS747" s="24">
        <v>46160.384426226854</v>
      </c>
    </row>
    <row r="748" spans="1:123" x14ac:dyDescent="0.3">
      <c r="A748" t="s">
        <v>1231</v>
      </c>
      <c r="D748" t="s">
        <v>223</v>
      </c>
      <c r="E748" s="24">
        <v>46140.672743055555</v>
      </c>
      <c r="G748" t="s">
        <v>90</v>
      </c>
      <c r="H748" t="s">
        <v>155</v>
      </c>
      <c r="I748" s="24"/>
      <c r="J748" s="24"/>
      <c r="K748" s="24"/>
      <c r="L748" s="24"/>
      <c r="N748" s="24"/>
      <c r="O748" s="24"/>
      <c r="P748" s="24"/>
      <c r="Q748" s="24"/>
      <c r="V748" s="24"/>
      <c r="W748" s="24"/>
      <c r="X748" s="24"/>
      <c r="Y748" s="24"/>
      <c r="AA748" s="24">
        <v>46147.650600671295</v>
      </c>
      <c r="AB748" s="24">
        <v>46147.650600671295</v>
      </c>
      <c r="AC748" s="24">
        <v>46148.388802870373</v>
      </c>
      <c r="AD748" s="24">
        <v>46148.388802870373</v>
      </c>
      <c r="AE748">
        <v>1</v>
      </c>
      <c r="AF748" s="24">
        <v>46148.388802870373</v>
      </c>
      <c r="AG748" s="24">
        <v>46148.388802870373</v>
      </c>
      <c r="AH748" s="24">
        <v>46155.427685023147</v>
      </c>
      <c r="AI748" s="24">
        <v>46155.427685023147</v>
      </c>
      <c r="AJ748">
        <v>1</v>
      </c>
      <c r="AK748" s="24"/>
      <c r="AL748" s="24"/>
      <c r="AM748" s="24"/>
      <c r="AN748" s="24"/>
      <c r="AP748" s="24"/>
      <c r="AQ748" s="24"/>
      <c r="AR748" s="24">
        <v>46141.548859907409</v>
      </c>
      <c r="AS748" s="24">
        <v>46141.548859907409</v>
      </c>
      <c r="AX748" s="24"/>
      <c r="AY748" s="24"/>
      <c r="AZ748" s="24"/>
      <c r="BA748" s="24"/>
      <c r="BC748" s="24"/>
      <c r="BD748" s="24"/>
      <c r="BE748" s="24"/>
      <c r="BF748" s="24"/>
      <c r="BH748" s="24">
        <v>46141.548859907409</v>
      </c>
      <c r="BI748" s="24">
        <v>46141.548859907409</v>
      </c>
      <c r="BJ748" s="24">
        <v>46147.650600671295</v>
      </c>
      <c r="BK748" s="24">
        <v>46147.650600671295</v>
      </c>
      <c r="BL748">
        <v>1</v>
      </c>
      <c r="BM748" s="24"/>
      <c r="BN748" s="24"/>
      <c r="BO748" s="24"/>
      <c r="BP748" s="24"/>
      <c r="BR748" s="24"/>
      <c r="BS748" s="24"/>
      <c r="BT748" s="24"/>
      <c r="BU748" s="24"/>
      <c r="BW748" s="24"/>
      <c r="BX748" s="24"/>
      <c r="BY748" s="24"/>
      <c r="BZ748" s="24"/>
      <c r="CB748" s="24"/>
      <c r="CC748" s="24"/>
      <c r="CE748" s="24">
        <v>46155.427685023147</v>
      </c>
      <c r="CF748" s="24">
        <v>46155.427685023147</v>
      </c>
      <c r="CG748">
        <v>1</v>
      </c>
      <c r="CH748" s="24"/>
      <c r="CI748" s="24"/>
      <c r="CJ748" s="24"/>
      <c r="CK748" s="24"/>
      <c r="DE748" s="24"/>
      <c r="DF748" s="24"/>
      <c r="DG748" s="24"/>
      <c r="DH748" s="24"/>
      <c r="DJ748" t="s">
        <v>149</v>
      </c>
      <c r="DK748" t="s">
        <v>149</v>
      </c>
      <c r="DM748">
        <v>14</v>
      </c>
      <c r="DN748">
        <v>8</v>
      </c>
      <c r="DQ748" t="s">
        <v>1001</v>
      </c>
      <c r="DR748" t="s">
        <v>149</v>
      </c>
      <c r="DS748" s="24">
        <v>46160.384426226854</v>
      </c>
    </row>
    <row r="749" spans="1:123" x14ac:dyDescent="0.3">
      <c r="A749" t="s">
        <v>1232</v>
      </c>
      <c r="D749" t="s">
        <v>223</v>
      </c>
      <c r="E749" s="24">
        <v>46140.668483796297</v>
      </c>
      <c r="G749" t="s">
        <v>90</v>
      </c>
      <c r="H749" t="s">
        <v>155</v>
      </c>
      <c r="I749" s="24"/>
      <c r="J749" s="24"/>
      <c r="K749" s="24"/>
      <c r="L749" s="24"/>
      <c r="N749" s="24"/>
      <c r="O749" s="24"/>
      <c r="P749" s="24"/>
      <c r="Q749" s="24"/>
      <c r="V749" s="24"/>
      <c r="W749" s="24"/>
      <c r="X749" s="24"/>
      <c r="Y749" s="24"/>
      <c r="AA749" s="24">
        <v>46141.634151469909</v>
      </c>
      <c r="AB749" s="24">
        <v>46141.634151469909</v>
      </c>
      <c r="AC749" s="24">
        <v>46142.35945048611</v>
      </c>
      <c r="AD749" s="24">
        <v>46142.35945048611</v>
      </c>
      <c r="AE749">
        <v>1</v>
      </c>
      <c r="AF749" s="24">
        <v>46142.35945048611</v>
      </c>
      <c r="AG749" s="24">
        <v>46142.35945048611</v>
      </c>
      <c r="AH749" s="24">
        <v>46148.512417442129</v>
      </c>
      <c r="AI749" s="24">
        <v>46148.512417442129</v>
      </c>
      <c r="AJ749">
        <v>1</v>
      </c>
      <c r="AK749" s="24"/>
      <c r="AL749" s="24"/>
      <c r="AM749" s="24"/>
      <c r="AN749" s="24"/>
      <c r="AP749" s="24"/>
      <c r="AQ749" s="24"/>
      <c r="AR749" s="24">
        <v>46141.634111620369</v>
      </c>
      <c r="AS749" s="24">
        <v>46141.634111620369</v>
      </c>
      <c r="AX749" s="24"/>
      <c r="AY749" s="24"/>
      <c r="AZ749" s="24"/>
      <c r="BA749" s="24"/>
      <c r="BC749" s="24"/>
      <c r="BD749" s="24"/>
      <c r="BE749" s="24"/>
      <c r="BF749" s="24"/>
      <c r="BH749" s="24">
        <v>46141.634111620369</v>
      </c>
      <c r="BI749" s="24">
        <v>46141.634111620369</v>
      </c>
      <c r="BJ749" s="24">
        <v>46141.634151469909</v>
      </c>
      <c r="BK749" s="24">
        <v>46141.634151469909</v>
      </c>
      <c r="BL749">
        <v>1</v>
      </c>
      <c r="BM749" s="24"/>
      <c r="BN749" s="24"/>
      <c r="BO749" s="24"/>
      <c r="BP749" s="24"/>
      <c r="BR749" s="24"/>
      <c r="BS749" s="24"/>
      <c r="BT749" s="24"/>
      <c r="BU749" s="24"/>
      <c r="BW749" s="24"/>
      <c r="BX749" s="24"/>
      <c r="BY749" s="24"/>
      <c r="BZ749" s="24"/>
      <c r="CB749" s="24"/>
      <c r="CC749" s="24"/>
      <c r="CE749" s="24">
        <v>46148.512417442129</v>
      </c>
      <c r="CF749" s="24">
        <v>46148.512417442129</v>
      </c>
      <c r="CG749">
        <v>1</v>
      </c>
      <c r="CH749" s="24"/>
      <c r="CI749" s="24"/>
      <c r="CJ749" s="24"/>
      <c r="CK749" s="24"/>
      <c r="DE749" s="24"/>
      <c r="DF749" s="24"/>
      <c r="DG749" s="24"/>
      <c r="DH749" s="24"/>
      <c r="DJ749" t="s">
        <v>149</v>
      </c>
      <c r="DK749" t="s">
        <v>149</v>
      </c>
      <c r="DM749">
        <v>7</v>
      </c>
      <c r="DN749">
        <v>7</v>
      </c>
      <c r="DQ749" t="s">
        <v>1001</v>
      </c>
      <c r="DR749" t="s">
        <v>149</v>
      </c>
      <c r="DS749" s="24">
        <v>46160.384426226854</v>
      </c>
    </row>
    <row r="750" spans="1:123" x14ac:dyDescent="0.3">
      <c r="A750" t="s">
        <v>1233</v>
      </c>
      <c r="D750" t="s">
        <v>225</v>
      </c>
      <c r="E750" s="24">
        <v>46139.483611111114</v>
      </c>
      <c r="G750" t="s">
        <v>90</v>
      </c>
      <c r="H750" t="s">
        <v>155</v>
      </c>
      <c r="I750" s="24"/>
      <c r="J750" s="24"/>
      <c r="K750" s="24"/>
      <c r="L750" s="24"/>
      <c r="N750" s="24"/>
      <c r="O750" s="24"/>
      <c r="P750" s="24"/>
      <c r="Q750" s="24"/>
      <c r="V750" s="24"/>
      <c r="W750" s="24"/>
      <c r="X750" s="24"/>
      <c r="Y750" s="24"/>
      <c r="AA750" s="24">
        <v>46146.53267197917</v>
      </c>
      <c r="AB750" s="24">
        <v>46146.53267197917</v>
      </c>
      <c r="AC750" s="24">
        <v>46146.533677604166</v>
      </c>
      <c r="AD750" s="24">
        <v>46146.533677604166</v>
      </c>
      <c r="AE750">
        <v>1</v>
      </c>
      <c r="AF750" s="24">
        <v>46146.533677604166</v>
      </c>
      <c r="AG750" s="24">
        <v>46146.533677604166</v>
      </c>
      <c r="AH750" s="24">
        <v>46147.409321030093</v>
      </c>
      <c r="AI750" s="24">
        <v>46147.409321030093</v>
      </c>
      <c r="AJ750">
        <v>1</v>
      </c>
      <c r="AK750" s="24">
        <v>46147.409321030093</v>
      </c>
      <c r="AL750" s="24">
        <v>46147.409321030093</v>
      </c>
      <c r="AM750" s="24">
        <v>46148.61919449074</v>
      </c>
      <c r="AN750" s="24">
        <v>46148.61919449074</v>
      </c>
      <c r="AO750">
        <v>1</v>
      </c>
      <c r="AP750" s="24"/>
      <c r="AQ750" s="24"/>
      <c r="AR750" s="24">
        <v>46141.635598217596</v>
      </c>
      <c r="AS750" s="24">
        <v>46141.635598217596</v>
      </c>
      <c r="AX750" s="24"/>
      <c r="AY750" s="24"/>
      <c r="AZ750" s="24"/>
      <c r="BA750" s="24"/>
      <c r="BC750" s="24">
        <v>46155.42465148148</v>
      </c>
      <c r="BD750" s="24">
        <v>46155.42465148148</v>
      </c>
      <c r="BE750" s="24">
        <v>46155.612760277778</v>
      </c>
      <c r="BF750" s="24">
        <v>46155.612760277778</v>
      </c>
      <c r="BG750">
        <v>1</v>
      </c>
      <c r="BH750" s="24">
        <v>46141.635598217596</v>
      </c>
      <c r="BI750" s="24">
        <v>46141.635598217596</v>
      </c>
      <c r="BJ750" s="24">
        <v>46146.53267197917</v>
      </c>
      <c r="BK750" s="24">
        <v>46146.53267197917</v>
      </c>
      <c r="BL750">
        <v>1</v>
      </c>
      <c r="BM750" s="24"/>
      <c r="BN750" s="24"/>
      <c r="BO750" s="24"/>
      <c r="BP750" s="24"/>
      <c r="BR750" s="24">
        <v>46148.61919449074</v>
      </c>
      <c r="BS750" s="24">
        <v>46148.61919449074</v>
      </c>
      <c r="BT750" s="24">
        <v>46155.42465148148</v>
      </c>
      <c r="BU750" s="24">
        <v>46155.42465148148</v>
      </c>
      <c r="BV750">
        <v>1</v>
      </c>
      <c r="BW750" s="24"/>
      <c r="BX750" s="24"/>
      <c r="BY750" s="24"/>
      <c r="BZ750" s="24"/>
      <c r="CB750" s="24"/>
      <c r="CC750" s="24"/>
      <c r="CE750" s="24">
        <v>46155.612760277778</v>
      </c>
      <c r="CF750" s="24">
        <v>46155.612760277778</v>
      </c>
      <c r="CG750">
        <v>1</v>
      </c>
      <c r="CH750" s="24"/>
      <c r="CI750" s="24"/>
      <c r="CJ750" s="24"/>
      <c r="CK750" s="24"/>
      <c r="DE750" s="24"/>
      <c r="DF750" s="24"/>
      <c r="DG750" s="24"/>
      <c r="DH750" s="24"/>
      <c r="DJ750" t="s">
        <v>149</v>
      </c>
      <c r="DK750" t="s">
        <v>149</v>
      </c>
      <c r="DM750">
        <v>14</v>
      </c>
      <c r="DN750">
        <v>10</v>
      </c>
      <c r="DQ750" t="s">
        <v>1001</v>
      </c>
      <c r="DR750" t="s">
        <v>149</v>
      </c>
      <c r="DS750" s="24">
        <v>46160.384426226854</v>
      </c>
    </row>
    <row r="751" spans="1:123" x14ac:dyDescent="0.3">
      <c r="A751" t="s">
        <v>1234</v>
      </c>
      <c r="D751" t="s">
        <v>225</v>
      </c>
      <c r="E751" s="24">
        <v>46135.448888888888</v>
      </c>
      <c r="G751" t="s">
        <v>102</v>
      </c>
      <c r="H751" t="s">
        <v>154</v>
      </c>
      <c r="I751" s="24"/>
      <c r="J751" s="24"/>
      <c r="K751" s="24"/>
      <c r="L751" s="24"/>
      <c r="N751" s="24"/>
      <c r="O751" s="24"/>
      <c r="P751" s="24"/>
      <c r="Q751" s="24"/>
      <c r="V751" s="24"/>
      <c r="W751" s="24"/>
      <c r="X751" s="24"/>
      <c r="Y751" s="24"/>
      <c r="AA751" s="24"/>
      <c r="AB751" s="24"/>
      <c r="AC751" s="24"/>
      <c r="AD751" s="24"/>
      <c r="AF751" s="24"/>
      <c r="AG751" s="24"/>
      <c r="AH751" s="24"/>
      <c r="AI751" s="24"/>
      <c r="AK751" s="24"/>
      <c r="AL751" s="24"/>
      <c r="AM751" s="24"/>
      <c r="AN751" s="24"/>
      <c r="AP751" s="24"/>
      <c r="AQ751" s="24"/>
      <c r="AR751" s="24"/>
      <c r="AS751" s="24"/>
      <c r="AX751" s="24"/>
      <c r="AY751" s="24"/>
      <c r="AZ751" s="24"/>
      <c r="BA751" s="24"/>
      <c r="BC751" s="24"/>
      <c r="BD751" s="24"/>
      <c r="BE751" s="24"/>
      <c r="BF751" s="24"/>
      <c r="BH751" s="24"/>
      <c r="BI751" s="24"/>
      <c r="BJ751" s="24"/>
      <c r="BK751" s="24"/>
      <c r="BM751" s="24"/>
      <c r="BN751" s="24"/>
      <c r="BO751" s="24"/>
      <c r="BP751" s="24"/>
      <c r="BR751" s="24"/>
      <c r="BS751" s="24"/>
      <c r="BT751" s="24"/>
      <c r="BU751" s="24"/>
      <c r="BW751" s="24"/>
      <c r="BX751" s="24"/>
      <c r="BY751" s="24"/>
      <c r="BZ751" s="24"/>
      <c r="CB751" s="24"/>
      <c r="CC751" s="24"/>
      <c r="CE751" s="24"/>
      <c r="CF751" s="24"/>
      <c r="CH751" s="24"/>
      <c r="CI751" s="24"/>
      <c r="CJ751" s="24"/>
      <c r="CK751" s="24"/>
      <c r="DE751" s="24"/>
      <c r="DF751" s="24"/>
      <c r="DG751" s="24"/>
      <c r="DH751" s="24"/>
      <c r="DJ751" t="s">
        <v>149</v>
      </c>
      <c r="DK751" t="s">
        <v>149</v>
      </c>
      <c r="DQ751" t="s">
        <v>1001</v>
      </c>
      <c r="DR751" t="s">
        <v>149</v>
      </c>
      <c r="DS751" s="24">
        <v>46160.384426226854</v>
      </c>
    </row>
    <row r="752" spans="1:123" x14ac:dyDescent="0.3">
      <c r="A752" t="s">
        <v>1235</v>
      </c>
      <c r="D752" t="s">
        <v>225</v>
      </c>
      <c r="E752" s="24">
        <v>46127.554027777776</v>
      </c>
      <c r="G752" t="s">
        <v>113</v>
      </c>
      <c r="H752" t="s">
        <v>155</v>
      </c>
      <c r="I752" s="24"/>
      <c r="J752" s="24"/>
      <c r="K752" s="24"/>
      <c r="L752" s="24"/>
      <c r="N752" s="24"/>
      <c r="O752" s="24"/>
      <c r="P752" s="24"/>
      <c r="Q752" s="24"/>
      <c r="V752" s="24"/>
      <c r="W752" s="24"/>
      <c r="X752" s="24"/>
      <c r="Y752" s="24"/>
      <c r="AA752" s="24">
        <v>46128.418085381942</v>
      </c>
      <c r="AB752" s="24">
        <v>46128.418085381942</v>
      </c>
      <c r="AC752" s="24">
        <v>46139.535635474538</v>
      </c>
      <c r="AD752" s="24">
        <v>46139.535635474538</v>
      </c>
      <c r="AE752">
        <v>1</v>
      </c>
      <c r="AF752" s="24">
        <v>46139.535635474538</v>
      </c>
      <c r="AG752" s="24">
        <v>46139.535635474538</v>
      </c>
      <c r="AH752" s="24">
        <v>46141.45198810185</v>
      </c>
      <c r="AI752" s="24">
        <v>46141.45198810185</v>
      </c>
      <c r="AJ752">
        <v>1</v>
      </c>
      <c r="AK752" s="24">
        <v>46141.45198810185</v>
      </c>
      <c r="AL752" s="24">
        <v>46141.45198810185</v>
      </c>
      <c r="AM752" s="24">
        <v>46141.45258060185</v>
      </c>
      <c r="AN752" s="24">
        <v>46141.45258060185</v>
      </c>
      <c r="AO752">
        <v>1</v>
      </c>
      <c r="AP752" s="24"/>
      <c r="AQ752" s="24"/>
      <c r="AR752" s="24">
        <v>46128.417925277776</v>
      </c>
      <c r="AS752" s="24">
        <v>46128.417925277776</v>
      </c>
      <c r="AX752" s="24"/>
      <c r="AY752" s="24"/>
      <c r="AZ752" s="24"/>
      <c r="BA752" s="24"/>
      <c r="BC752" s="24">
        <v>46141.452866261578</v>
      </c>
      <c r="BD752" s="24">
        <v>46141.452866261578</v>
      </c>
      <c r="BE752" s="24"/>
      <c r="BF752" s="24"/>
      <c r="BG752">
        <v>1</v>
      </c>
      <c r="BH752" s="24">
        <v>46128.417925277776</v>
      </c>
      <c r="BI752" s="24">
        <v>46128.417925277776</v>
      </c>
      <c r="BJ752" s="24">
        <v>46128.418085381942</v>
      </c>
      <c r="BK752" s="24">
        <v>46128.418085381942</v>
      </c>
      <c r="BL752">
        <v>1</v>
      </c>
      <c r="BM752" s="24"/>
      <c r="BN752" s="24"/>
      <c r="BO752" s="24"/>
      <c r="BP752" s="24"/>
      <c r="BR752" s="24">
        <v>46141.45258060185</v>
      </c>
      <c r="BS752" s="24">
        <v>46141.45258060185</v>
      </c>
      <c r="BT752" s="24">
        <v>46141.452866261578</v>
      </c>
      <c r="BU752" s="24">
        <v>46141.452866261578</v>
      </c>
      <c r="BV752">
        <v>1</v>
      </c>
      <c r="BW752" s="24"/>
      <c r="BX752" s="24"/>
      <c r="BY752" s="24"/>
      <c r="BZ752" s="24"/>
      <c r="CB752" s="24"/>
      <c r="CC752" s="24"/>
      <c r="CE752" s="24"/>
      <c r="CF752" s="24"/>
      <c r="CH752" s="24"/>
      <c r="CI752" s="24"/>
      <c r="CJ752" s="24"/>
      <c r="CK752" s="24"/>
      <c r="DE752" s="24"/>
      <c r="DF752" s="24"/>
      <c r="DG752" s="24"/>
      <c r="DH752" s="24"/>
      <c r="DJ752" t="s">
        <v>149</v>
      </c>
      <c r="DK752" t="s">
        <v>149</v>
      </c>
      <c r="DO752">
        <v>32</v>
      </c>
      <c r="DP752">
        <v>19</v>
      </c>
      <c r="DQ752" t="s">
        <v>1001</v>
      </c>
      <c r="DR752" t="s">
        <v>149</v>
      </c>
      <c r="DS752" s="24">
        <v>46160.384426226854</v>
      </c>
    </row>
    <row r="753" spans="1:123" x14ac:dyDescent="0.3">
      <c r="A753" t="s">
        <v>1236</v>
      </c>
      <c r="D753" t="s">
        <v>223</v>
      </c>
      <c r="E753" s="24">
        <v>46127.417939814812</v>
      </c>
      <c r="G753" t="s">
        <v>107</v>
      </c>
      <c r="H753" t="s">
        <v>154</v>
      </c>
      <c r="I753" s="24"/>
      <c r="J753" s="24"/>
      <c r="K753" s="24"/>
      <c r="L753" s="24"/>
      <c r="N753" s="24"/>
      <c r="O753" s="24"/>
      <c r="P753" s="24"/>
      <c r="Q753" s="24"/>
      <c r="V753" s="24"/>
      <c r="W753" s="24"/>
      <c r="X753" s="24"/>
      <c r="Y753" s="24"/>
      <c r="AA753" s="24"/>
      <c r="AB753" s="24"/>
      <c r="AC753" s="24"/>
      <c r="AD753" s="24"/>
      <c r="AF753" s="24"/>
      <c r="AG753" s="24"/>
      <c r="AH753" s="24"/>
      <c r="AI753" s="24"/>
      <c r="AK753" s="24"/>
      <c r="AL753" s="24"/>
      <c r="AM753" s="24"/>
      <c r="AN753" s="24"/>
      <c r="AP753" s="24"/>
      <c r="AQ753" s="24"/>
      <c r="AR753" s="24">
        <v>46127.423148414353</v>
      </c>
      <c r="AS753" s="24">
        <v>46127.423148414353</v>
      </c>
      <c r="AX753" s="24"/>
      <c r="AY753" s="24"/>
      <c r="AZ753" s="24"/>
      <c r="BA753" s="24"/>
      <c r="BC753" s="24"/>
      <c r="BD753" s="24"/>
      <c r="BE753" s="24"/>
      <c r="BF753" s="24"/>
      <c r="BH753" s="24">
        <v>46127.423148414353</v>
      </c>
      <c r="BI753" s="24">
        <v>46127.423148414353</v>
      </c>
      <c r="BJ753" s="24"/>
      <c r="BK753" s="24"/>
      <c r="BL753">
        <v>1</v>
      </c>
      <c r="BM753" s="24"/>
      <c r="BN753" s="24"/>
      <c r="BO753" s="24"/>
      <c r="BP753" s="24"/>
      <c r="BR753" s="24"/>
      <c r="BS753" s="24"/>
      <c r="BT753" s="24"/>
      <c r="BU753" s="24"/>
      <c r="BW753" s="24"/>
      <c r="BX753" s="24"/>
      <c r="BY753" s="24"/>
      <c r="BZ753" s="24"/>
      <c r="CB753" s="24"/>
      <c r="CC753" s="24"/>
      <c r="CE753" s="24"/>
      <c r="CF753" s="24"/>
      <c r="CH753" s="24"/>
      <c r="CI753" s="24"/>
      <c r="CJ753" s="24"/>
      <c r="CK753" s="24"/>
      <c r="DE753" s="24"/>
      <c r="DF753" s="24"/>
      <c r="DG753" s="24"/>
      <c r="DH753" s="24"/>
      <c r="DJ753" t="s">
        <v>149</v>
      </c>
      <c r="DK753" t="s">
        <v>149</v>
      </c>
      <c r="DP753">
        <v>33</v>
      </c>
      <c r="DQ753" t="s">
        <v>1001</v>
      </c>
      <c r="DR753" t="s">
        <v>149</v>
      </c>
      <c r="DS753" s="24">
        <v>46160.384426226854</v>
      </c>
    </row>
    <row r="754" spans="1:123" x14ac:dyDescent="0.3">
      <c r="A754" t="s">
        <v>1237</v>
      </c>
      <c r="D754" t="s">
        <v>223</v>
      </c>
      <c r="E754" s="24">
        <v>46127.40729166667</v>
      </c>
      <c r="G754" t="s">
        <v>90</v>
      </c>
      <c r="H754" t="s">
        <v>155</v>
      </c>
      <c r="I754" s="24"/>
      <c r="J754" s="24"/>
      <c r="K754" s="24"/>
      <c r="L754" s="24"/>
      <c r="N754" s="24"/>
      <c r="O754" s="24"/>
      <c r="P754" s="24"/>
      <c r="Q754" s="24"/>
      <c r="V754" s="24"/>
      <c r="W754" s="24"/>
      <c r="X754" s="24"/>
      <c r="Y754" s="24"/>
      <c r="AA754" s="24">
        <v>46129.510210324072</v>
      </c>
      <c r="AB754" s="24">
        <v>46129.510210324072</v>
      </c>
      <c r="AC754" s="24">
        <v>46129.511310046299</v>
      </c>
      <c r="AD754" s="24">
        <v>46129.511310046299</v>
      </c>
      <c r="AE754">
        <v>1</v>
      </c>
      <c r="AF754" s="24">
        <v>46129.511310046299</v>
      </c>
      <c r="AG754" s="24">
        <v>46129.511310046299</v>
      </c>
      <c r="AH754" s="24">
        <v>46141.548199409721</v>
      </c>
      <c r="AI754" s="24">
        <v>46141.548199409721</v>
      </c>
      <c r="AJ754">
        <v>1</v>
      </c>
      <c r="AK754" s="24"/>
      <c r="AL754" s="24"/>
      <c r="AM754" s="24"/>
      <c r="AN754" s="24"/>
      <c r="AP754" s="24"/>
      <c r="AQ754" s="24"/>
      <c r="AR754" s="24">
        <v>46127.408175706019</v>
      </c>
      <c r="AS754" s="24">
        <v>46127.408175706019</v>
      </c>
      <c r="AX754" s="24"/>
      <c r="AY754" s="24"/>
      <c r="AZ754" s="24"/>
      <c r="BA754" s="24"/>
      <c r="BC754" s="24"/>
      <c r="BD754" s="24"/>
      <c r="BE754" s="24"/>
      <c r="BF754" s="24"/>
      <c r="BH754" s="24">
        <v>46127.408175706019</v>
      </c>
      <c r="BI754" s="24">
        <v>46127.408175706019</v>
      </c>
      <c r="BJ754" s="24">
        <v>46129.510210324072</v>
      </c>
      <c r="BK754" s="24">
        <v>46129.510210324072</v>
      </c>
      <c r="BL754">
        <v>1</v>
      </c>
      <c r="BM754" s="24"/>
      <c r="BN754" s="24"/>
      <c r="BO754" s="24"/>
      <c r="BP754" s="24"/>
      <c r="BR754" s="24"/>
      <c r="BS754" s="24"/>
      <c r="BT754" s="24"/>
      <c r="BU754" s="24"/>
      <c r="BW754" s="24"/>
      <c r="BX754" s="24"/>
      <c r="BY754" s="24"/>
      <c r="BZ754" s="24"/>
      <c r="CB754" s="24"/>
      <c r="CC754" s="24"/>
      <c r="CE754" s="24">
        <v>46141.548199409721</v>
      </c>
      <c r="CF754" s="24">
        <v>46141.548199409721</v>
      </c>
      <c r="CG754">
        <v>1</v>
      </c>
      <c r="CH754" s="24"/>
      <c r="CI754" s="24"/>
      <c r="CJ754" s="24"/>
      <c r="CK754" s="24"/>
      <c r="DE754" s="24"/>
      <c r="DF754" s="24"/>
      <c r="DG754" s="24"/>
      <c r="DH754" s="24"/>
      <c r="DJ754" t="s">
        <v>149</v>
      </c>
      <c r="DK754" t="s">
        <v>149</v>
      </c>
      <c r="DM754">
        <v>15</v>
      </c>
      <c r="DN754">
        <v>13</v>
      </c>
      <c r="DQ754" t="s">
        <v>1001</v>
      </c>
      <c r="DR754" t="s">
        <v>149</v>
      </c>
      <c r="DS754" s="24">
        <v>46160.384426226854</v>
      </c>
    </row>
    <row r="755" spans="1:123" x14ac:dyDescent="0.3">
      <c r="A755" t="s">
        <v>1238</v>
      </c>
      <c r="D755" t="s">
        <v>225</v>
      </c>
      <c r="E755" s="24">
        <v>46125.475300925929</v>
      </c>
      <c r="G755" t="s">
        <v>102</v>
      </c>
      <c r="H755" t="s">
        <v>154</v>
      </c>
      <c r="I755" s="24"/>
      <c r="J755" s="24"/>
      <c r="K755" s="24"/>
      <c r="L755" s="24"/>
      <c r="N755" s="24"/>
      <c r="O755" s="24"/>
      <c r="P755" s="24"/>
      <c r="Q755" s="24"/>
      <c r="V755" s="24"/>
      <c r="W755" s="24"/>
      <c r="X755" s="24"/>
      <c r="Y755" s="24"/>
      <c r="AA755" s="24"/>
      <c r="AB755" s="24"/>
      <c r="AC755" s="24"/>
      <c r="AD755" s="24"/>
      <c r="AF755" s="24"/>
      <c r="AG755" s="24"/>
      <c r="AH755" s="24"/>
      <c r="AI755" s="24"/>
      <c r="AK755" s="24"/>
      <c r="AL755" s="24"/>
      <c r="AM755" s="24"/>
      <c r="AN755" s="24"/>
      <c r="AP755" s="24"/>
      <c r="AQ755" s="24"/>
      <c r="AR755" s="24"/>
      <c r="AS755" s="24"/>
      <c r="AX755" s="24"/>
      <c r="AY755" s="24"/>
      <c r="AZ755" s="24"/>
      <c r="BA755" s="24"/>
      <c r="BC755" s="24"/>
      <c r="BD755" s="24"/>
      <c r="BE755" s="24"/>
      <c r="BF755" s="24"/>
      <c r="BH755" s="24"/>
      <c r="BI755" s="24"/>
      <c r="BJ755" s="24"/>
      <c r="BK755" s="24"/>
      <c r="BM755" s="24"/>
      <c r="BN755" s="24"/>
      <c r="BO755" s="24"/>
      <c r="BP755" s="24"/>
      <c r="BR755" s="24"/>
      <c r="BS755" s="24"/>
      <c r="BT755" s="24"/>
      <c r="BU755" s="24"/>
      <c r="BW755" s="24"/>
      <c r="BX755" s="24"/>
      <c r="BY755" s="24"/>
      <c r="BZ755" s="24"/>
      <c r="CB755" s="24"/>
      <c r="CC755" s="24"/>
      <c r="CE755" s="24"/>
      <c r="CF755" s="24"/>
      <c r="CH755" s="24"/>
      <c r="CI755" s="24"/>
      <c r="CJ755" s="24"/>
      <c r="CK755" s="24"/>
      <c r="DE755" s="24"/>
      <c r="DF755" s="24"/>
      <c r="DG755" s="24"/>
      <c r="DH755" s="24"/>
      <c r="DJ755" t="s">
        <v>149</v>
      </c>
      <c r="DK755" t="s">
        <v>149</v>
      </c>
      <c r="DQ755" t="s">
        <v>1001</v>
      </c>
      <c r="DR755" t="s">
        <v>149</v>
      </c>
      <c r="DS755" s="24">
        <v>46160.384426226854</v>
      </c>
    </row>
    <row r="756" spans="1:123" x14ac:dyDescent="0.3">
      <c r="A756" t="s">
        <v>1239</v>
      </c>
      <c r="D756" t="s">
        <v>223</v>
      </c>
      <c r="E756" s="24">
        <v>46125.41578703704</v>
      </c>
      <c r="G756" t="s">
        <v>90</v>
      </c>
      <c r="H756" t="s">
        <v>155</v>
      </c>
      <c r="I756" s="24"/>
      <c r="J756" s="24"/>
      <c r="K756" s="24"/>
      <c r="L756" s="24"/>
      <c r="N756" s="24"/>
      <c r="O756" s="24"/>
      <c r="P756" s="24"/>
      <c r="Q756" s="24"/>
      <c r="V756" s="24"/>
      <c r="W756" s="24"/>
      <c r="X756" s="24"/>
      <c r="Y756" s="24"/>
      <c r="AA756" s="24">
        <v>46129.609605995371</v>
      </c>
      <c r="AB756" s="24">
        <v>46129.609605995371</v>
      </c>
      <c r="AC756" s="24">
        <v>46129.609638194444</v>
      </c>
      <c r="AD756" s="24">
        <v>46129.609638194444</v>
      </c>
      <c r="AE756">
        <v>1</v>
      </c>
      <c r="AF756" s="24">
        <v>46129.609638194444</v>
      </c>
      <c r="AG756" s="24">
        <v>46129.609638194444</v>
      </c>
      <c r="AH756" s="24">
        <v>46141.452909016203</v>
      </c>
      <c r="AI756" s="24">
        <v>46141.452909016203</v>
      </c>
      <c r="AJ756">
        <v>1</v>
      </c>
      <c r="AK756" s="24"/>
      <c r="AL756" s="24"/>
      <c r="AM756" s="24"/>
      <c r="AN756" s="24"/>
      <c r="AP756" s="24"/>
      <c r="AQ756" s="24"/>
      <c r="AR756" s="24">
        <v>46125.435346388891</v>
      </c>
      <c r="AS756" s="24">
        <v>46125.435346388891</v>
      </c>
      <c r="AX756" s="24"/>
      <c r="AY756" s="24"/>
      <c r="AZ756" s="24"/>
      <c r="BA756" s="24"/>
      <c r="BC756" s="24"/>
      <c r="BD756" s="24"/>
      <c r="BE756" s="24"/>
      <c r="BF756" s="24"/>
      <c r="BH756" s="24">
        <v>46125.435346388891</v>
      </c>
      <c r="BI756" s="24">
        <v>46125.435346388891</v>
      </c>
      <c r="BJ756" s="24">
        <v>46129.609605995371</v>
      </c>
      <c r="BK756" s="24">
        <v>46129.609605995371</v>
      </c>
      <c r="BL756">
        <v>1</v>
      </c>
      <c r="BM756" s="24"/>
      <c r="BN756" s="24"/>
      <c r="BO756" s="24"/>
      <c r="BP756" s="24"/>
      <c r="BR756" s="24"/>
      <c r="BS756" s="24"/>
      <c r="BT756" s="24"/>
      <c r="BU756" s="24"/>
      <c r="BW756" s="24"/>
      <c r="BX756" s="24"/>
      <c r="BY756" s="24"/>
      <c r="BZ756" s="24"/>
      <c r="CB756" s="24"/>
      <c r="CC756" s="24"/>
      <c r="CE756" s="24">
        <v>46141.452909016203</v>
      </c>
      <c r="CF756" s="24">
        <v>46141.452909016203</v>
      </c>
      <c r="CG756">
        <v>1</v>
      </c>
      <c r="CH756" s="24"/>
      <c r="CI756" s="24"/>
      <c r="CJ756" s="24"/>
      <c r="CK756" s="24"/>
      <c r="DE756" s="24"/>
      <c r="DF756" s="24"/>
      <c r="DG756" s="24"/>
      <c r="DH756" s="24"/>
      <c r="DJ756" t="s">
        <v>149</v>
      </c>
      <c r="DK756" t="s">
        <v>149</v>
      </c>
      <c r="DM756">
        <v>17</v>
      </c>
      <c r="DN756">
        <v>12</v>
      </c>
      <c r="DQ756" t="s">
        <v>1001</v>
      </c>
      <c r="DR756" t="s">
        <v>149</v>
      </c>
      <c r="DS756" s="24">
        <v>46160.384426226854</v>
      </c>
    </row>
    <row r="757" spans="1:123" x14ac:dyDescent="0.3">
      <c r="A757" t="s">
        <v>1240</v>
      </c>
      <c r="D757" t="s">
        <v>225</v>
      </c>
      <c r="E757" s="24">
        <v>46125.353159722225</v>
      </c>
      <c r="G757" t="s">
        <v>90</v>
      </c>
      <c r="H757" t="s">
        <v>155</v>
      </c>
      <c r="I757" s="24"/>
      <c r="J757" s="24"/>
      <c r="K757" s="24"/>
      <c r="L757" s="24"/>
      <c r="N757" s="24"/>
      <c r="O757" s="24"/>
      <c r="P757" s="24"/>
      <c r="Q757" s="24"/>
      <c r="V757" s="24"/>
      <c r="W757" s="24"/>
      <c r="X757" s="24"/>
      <c r="Y757" s="24"/>
      <c r="AA757" s="24">
        <v>46129.616187106483</v>
      </c>
      <c r="AB757" s="24">
        <v>46129.616187106483</v>
      </c>
      <c r="AC757" s="24">
        <v>46142.573771226853</v>
      </c>
      <c r="AD757" s="24">
        <v>46142.573771226853</v>
      </c>
      <c r="AE757">
        <v>1</v>
      </c>
      <c r="AF757" s="24">
        <v>46142.573771226853</v>
      </c>
      <c r="AG757" s="24">
        <v>46142.573771226853</v>
      </c>
      <c r="AH757" s="24">
        <v>46142.573800775463</v>
      </c>
      <c r="AI757" s="24">
        <v>46142.573800775463</v>
      </c>
      <c r="AJ757">
        <v>1</v>
      </c>
      <c r="AK757" s="24">
        <v>46142.573800775463</v>
      </c>
      <c r="AL757" s="24">
        <v>46142.573800775463</v>
      </c>
      <c r="AM757" s="24">
        <v>46146.404664282411</v>
      </c>
      <c r="AN757" s="24">
        <v>46146.404664282411</v>
      </c>
      <c r="AO757">
        <v>1</v>
      </c>
      <c r="AP757" s="24"/>
      <c r="AQ757" s="24"/>
      <c r="AR757" s="24">
        <v>46125.360405231484</v>
      </c>
      <c r="AS757" s="24">
        <v>46125.360405231484</v>
      </c>
      <c r="AX757" s="24"/>
      <c r="AY757" s="24"/>
      <c r="AZ757" s="24"/>
      <c r="BA757" s="24"/>
      <c r="BC757" s="24">
        <v>46146.406196516204</v>
      </c>
      <c r="BD757" s="24">
        <v>46146.406196516204</v>
      </c>
      <c r="BE757" s="24">
        <v>46155.612759363423</v>
      </c>
      <c r="BF757" s="24">
        <v>46155.612759363423</v>
      </c>
      <c r="BG757">
        <v>1</v>
      </c>
      <c r="BH757" s="24">
        <v>46125.360405231484</v>
      </c>
      <c r="BI757" s="24">
        <v>46125.360405231484</v>
      </c>
      <c r="BJ757" s="24">
        <v>46129.616187106483</v>
      </c>
      <c r="BK757" s="24">
        <v>46129.616187106483</v>
      </c>
      <c r="BL757">
        <v>1</v>
      </c>
      <c r="BM757" s="24"/>
      <c r="BN757" s="24"/>
      <c r="BO757" s="24"/>
      <c r="BP757" s="24"/>
      <c r="BR757" s="24">
        <v>46146.404664282411</v>
      </c>
      <c r="BS757" s="24">
        <v>46146.404664282411</v>
      </c>
      <c r="BT757" s="24">
        <v>46146.406196516204</v>
      </c>
      <c r="BU757" s="24">
        <v>46146.406196516204</v>
      </c>
      <c r="BV757">
        <v>1</v>
      </c>
      <c r="BW757" s="24"/>
      <c r="BX757" s="24"/>
      <c r="BY757" s="24"/>
      <c r="BZ757" s="24"/>
      <c r="CB757" s="24"/>
      <c r="CC757" s="24"/>
      <c r="CE757" s="24">
        <v>46155.612759363423</v>
      </c>
      <c r="CF757" s="24">
        <v>46155.612759363423</v>
      </c>
      <c r="CG757">
        <v>1</v>
      </c>
      <c r="CH757" s="24"/>
      <c r="CI757" s="24"/>
      <c r="CJ757" s="24"/>
      <c r="CK757" s="24"/>
      <c r="DE757" s="24"/>
      <c r="DF757" s="24"/>
      <c r="DG757" s="24"/>
      <c r="DH757" s="24"/>
      <c r="DJ757" t="s">
        <v>149</v>
      </c>
      <c r="DK757" t="s">
        <v>149</v>
      </c>
      <c r="DM757">
        <v>31</v>
      </c>
      <c r="DN757">
        <v>26</v>
      </c>
      <c r="DQ757" t="s">
        <v>1001</v>
      </c>
      <c r="DR757" t="s">
        <v>149</v>
      </c>
      <c r="DS757" s="24">
        <v>46160.384426226854</v>
      </c>
    </row>
    <row r="758" spans="1:123" x14ac:dyDescent="0.3">
      <c r="A758" t="s">
        <v>1241</v>
      </c>
      <c r="D758" t="s">
        <v>225</v>
      </c>
      <c r="E758" s="24">
        <v>46114.471400462964</v>
      </c>
      <c r="G758" t="s">
        <v>90</v>
      </c>
      <c r="H758" t="s">
        <v>155</v>
      </c>
      <c r="I758" s="24"/>
      <c r="J758" s="24"/>
      <c r="K758" s="24"/>
      <c r="L758" s="24"/>
      <c r="N758" s="24"/>
      <c r="O758" s="24"/>
      <c r="P758" s="24"/>
      <c r="Q758" s="24"/>
      <c r="V758" s="24"/>
      <c r="W758" s="24"/>
      <c r="X758" s="24"/>
      <c r="Y758" s="24"/>
      <c r="AA758" s="24">
        <v>46120.450588101849</v>
      </c>
      <c r="AB758" s="24">
        <v>46120.450588101849</v>
      </c>
      <c r="AC758" s="24">
        <v>46122.337150567131</v>
      </c>
      <c r="AD758" s="24">
        <v>46122.337150567131</v>
      </c>
      <c r="AE758">
        <v>1</v>
      </c>
      <c r="AF758" s="24">
        <v>46122.337150567131</v>
      </c>
      <c r="AG758" s="24">
        <v>46122.337150567131</v>
      </c>
      <c r="AH758" s="24">
        <v>46126.566955706017</v>
      </c>
      <c r="AI758" s="24">
        <v>46126.566955706017</v>
      </c>
      <c r="AJ758">
        <v>1</v>
      </c>
      <c r="AK758" s="24">
        <v>46126.566955706017</v>
      </c>
      <c r="AL758" s="24">
        <v>46126.566955706017</v>
      </c>
      <c r="AM758" s="24">
        <v>46126.56698851852</v>
      </c>
      <c r="AN758" s="24">
        <v>46126.56698851852</v>
      </c>
      <c r="AO758">
        <v>1</v>
      </c>
      <c r="AP758" s="24"/>
      <c r="AQ758" s="24"/>
      <c r="AR758" s="24">
        <v>46114.473661944445</v>
      </c>
      <c r="AS758" s="24">
        <v>46114.473661944445</v>
      </c>
      <c r="AX758" s="24"/>
      <c r="AY758" s="24"/>
      <c r="AZ758" s="24"/>
      <c r="BA758" s="24"/>
      <c r="BC758" s="24">
        <v>46133.511878425925</v>
      </c>
      <c r="BD758" s="24">
        <v>46133.511878425925</v>
      </c>
      <c r="BE758" s="24">
        <v>46141.465455127312</v>
      </c>
      <c r="BF758" s="24">
        <v>46141.465455127312</v>
      </c>
      <c r="BG758">
        <v>1</v>
      </c>
      <c r="BH758" s="24">
        <v>46114.473661944445</v>
      </c>
      <c r="BI758" s="24">
        <v>46114.473661944445</v>
      </c>
      <c r="BJ758" s="24">
        <v>46120.450588101849</v>
      </c>
      <c r="BK758" s="24">
        <v>46120.450588101849</v>
      </c>
      <c r="BL758">
        <v>1</v>
      </c>
      <c r="BM758" s="24"/>
      <c r="BN758" s="24"/>
      <c r="BO758" s="24"/>
      <c r="BP758" s="24"/>
      <c r="BR758" s="24">
        <v>46126.56698851852</v>
      </c>
      <c r="BS758" s="24">
        <v>46126.56698851852</v>
      </c>
      <c r="BT758" s="24">
        <v>46133.511878425925</v>
      </c>
      <c r="BU758" s="24">
        <v>46133.511878425925</v>
      </c>
      <c r="BV758">
        <v>1</v>
      </c>
      <c r="BW758" s="24"/>
      <c r="BX758" s="24"/>
      <c r="BY758" s="24"/>
      <c r="BZ758" s="24"/>
      <c r="CB758" s="24"/>
      <c r="CC758" s="24"/>
      <c r="CE758" s="24">
        <v>46141.465455127312</v>
      </c>
      <c r="CF758" s="24">
        <v>46141.465455127312</v>
      </c>
      <c r="CG758">
        <v>1</v>
      </c>
      <c r="CH758" s="24"/>
      <c r="CI758" s="24"/>
      <c r="CJ758" s="24"/>
      <c r="CK758" s="24"/>
      <c r="DE758" s="24"/>
      <c r="DF758" s="24"/>
      <c r="DG758" s="24"/>
      <c r="DH758" s="24"/>
      <c r="DJ758" t="s">
        <v>149</v>
      </c>
      <c r="DK758" t="s">
        <v>149</v>
      </c>
      <c r="DM758">
        <v>27</v>
      </c>
      <c r="DN758">
        <v>22</v>
      </c>
      <c r="DQ758" t="s">
        <v>1001</v>
      </c>
      <c r="DR758" t="s">
        <v>149</v>
      </c>
      <c r="DS758" s="24">
        <v>46160.384426226854</v>
      </c>
    </row>
    <row r="759" spans="1:123" x14ac:dyDescent="0.3">
      <c r="A759" t="s">
        <v>1242</v>
      </c>
      <c r="D759" t="s">
        <v>223</v>
      </c>
      <c r="E759" s="24">
        <v>46114.425439814811</v>
      </c>
      <c r="G759" t="s">
        <v>90</v>
      </c>
      <c r="H759" t="s">
        <v>155</v>
      </c>
      <c r="I759" s="24"/>
      <c r="J759" s="24"/>
      <c r="K759" s="24"/>
      <c r="L759" s="24"/>
      <c r="N759" s="24"/>
      <c r="O759" s="24"/>
      <c r="P759" s="24"/>
      <c r="Q759" s="24"/>
      <c r="V759" s="24"/>
      <c r="W759" s="24"/>
      <c r="X759" s="24"/>
      <c r="Y759" s="24"/>
      <c r="AA759" s="24">
        <v>46127.409998842595</v>
      </c>
      <c r="AB759" s="24">
        <v>46127.409998842595</v>
      </c>
      <c r="AC759" s="24">
        <v>46127.410116539351</v>
      </c>
      <c r="AD759" s="24">
        <v>46127.410116539351</v>
      </c>
      <c r="AE759">
        <v>1</v>
      </c>
      <c r="AF759" s="24"/>
      <c r="AG759" s="24"/>
      <c r="AH759" s="24"/>
      <c r="AI759" s="24"/>
      <c r="AK759" s="24"/>
      <c r="AL759" s="24"/>
      <c r="AM759" s="24"/>
      <c r="AN759" s="24"/>
      <c r="AP759" s="24"/>
      <c r="AQ759" s="24"/>
      <c r="AR759" s="24">
        <v>46127.409780127316</v>
      </c>
      <c r="AS759" s="24">
        <v>46127.409780127316</v>
      </c>
      <c r="AX759" s="24"/>
      <c r="AY759" s="24"/>
      <c r="AZ759" s="24"/>
      <c r="BA759" s="24"/>
      <c r="BC759" s="24"/>
      <c r="BD759" s="24"/>
      <c r="BE759" s="24"/>
      <c r="BF759" s="24"/>
      <c r="BH759" s="24">
        <v>46127.409832523146</v>
      </c>
      <c r="BI759" s="24">
        <v>46127.409832523146</v>
      </c>
      <c r="BJ759" s="24">
        <v>46127.409998842595</v>
      </c>
      <c r="BK759" s="24">
        <v>46127.409998842595</v>
      </c>
      <c r="BL759">
        <v>1</v>
      </c>
      <c r="BM759" s="24"/>
      <c r="BN759" s="24"/>
      <c r="BO759" s="24"/>
      <c r="BP759" s="24"/>
      <c r="BR759" s="24"/>
      <c r="BS759" s="24"/>
      <c r="BT759" s="24"/>
      <c r="BU759" s="24"/>
      <c r="BW759" s="24">
        <v>46127.409780127316</v>
      </c>
      <c r="BX759" s="24">
        <v>46127.409780127316</v>
      </c>
      <c r="BY759" s="24">
        <v>46127.409832523146</v>
      </c>
      <c r="BZ759" s="24">
        <v>46127.409832523146</v>
      </c>
      <c r="CA759">
        <v>1</v>
      </c>
      <c r="CB759" s="24"/>
      <c r="CC759" s="24"/>
      <c r="CE759" s="24">
        <v>46127.410116539351</v>
      </c>
      <c r="CF759" s="24">
        <v>46127.410116539351</v>
      </c>
      <c r="CG759">
        <v>1</v>
      </c>
      <c r="CH759" s="24"/>
      <c r="CI759" s="24"/>
      <c r="CJ759" s="24"/>
      <c r="CK759" s="24"/>
      <c r="DE759" s="24"/>
      <c r="DF759" s="24"/>
      <c r="DG759" s="24"/>
      <c r="DH759" s="24"/>
      <c r="DJ759" t="s">
        <v>149</v>
      </c>
      <c r="DK759" t="s">
        <v>149</v>
      </c>
      <c r="DM759">
        <v>1</v>
      </c>
      <c r="DN759">
        <v>1</v>
      </c>
      <c r="DQ759" t="s">
        <v>1001</v>
      </c>
      <c r="DR759" t="s">
        <v>149</v>
      </c>
      <c r="DS759" s="24">
        <v>46160.384426226854</v>
      </c>
    </row>
    <row r="760" spans="1:123" x14ac:dyDescent="0.3">
      <c r="A760" t="s">
        <v>1243</v>
      </c>
      <c r="D760" t="s">
        <v>225</v>
      </c>
      <c r="E760" s="24">
        <v>46114.414293981485</v>
      </c>
      <c r="G760" t="s">
        <v>90</v>
      </c>
      <c r="H760" t="s">
        <v>155</v>
      </c>
      <c r="I760" s="24"/>
      <c r="J760" s="24"/>
      <c r="K760" s="24"/>
      <c r="L760" s="24"/>
      <c r="N760" s="24"/>
      <c r="O760" s="24"/>
      <c r="P760" s="24"/>
      <c r="Q760" s="24"/>
      <c r="V760" s="24"/>
      <c r="W760" s="24"/>
      <c r="X760" s="24"/>
      <c r="Y760" s="24"/>
      <c r="AA760" s="24">
        <v>46114.463285497688</v>
      </c>
      <c r="AB760" s="24">
        <v>46114.463285497688</v>
      </c>
      <c r="AC760" s="24">
        <v>46125.972005381947</v>
      </c>
      <c r="AD760" s="24">
        <v>46125.972005381947</v>
      </c>
      <c r="AE760">
        <v>1</v>
      </c>
      <c r="AF760" s="24">
        <v>46125.972005381947</v>
      </c>
      <c r="AG760" s="24">
        <v>46125.972005381947</v>
      </c>
      <c r="AH760" s="24">
        <v>46126.434589976852</v>
      </c>
      <c r="AI760" s="24">
        <v>46126.434589976852</v>
      </c>
      <c r="AJ760">
        <v>1</v>
      </c>
      <c r="AK760" s="24">
        <v>46126.434589976852</v>
      </c>
      <c r="AL760" s="24">
        <v>46126.434589976852</v>
      </c>
      <c r="AM760" s="24">
        <v>46127.432264733798</v>
      </c>
      <c r="AN760" s="24">
        <v>46127.432264733798</v>
      </c>
      <c r="AO760">
        <v>1</v>
      </c>
      <c r="AP760" s="24"/>
      <c r="AQ760" s="24"/>
      <c r="AR760" s="24">
        <v>46114.463145821763</v>
      </c>
      <c r="AS760" s="24">
        <v>46114.463145821763</v>
      </c>
      <c r="AX760" s="24"/>
      <c r="AY760" s="24"/>
      <c r="AZ760" s="24"/>
      <c r="BA760" s="24"/>
      <c r="BC760" s="24">
        <v>46127.533982326386</v>
      </c>
      <c r="BD760" s="24">
        <v>46127.533982326386</v>
      </c>
      <c r="BE760" s="24">
        <v>46141.465454780089</v>
      </c>
      <c r="BF760" s="24">
        <v>46141.465454780089</v>
      </c>
      <c r="BG760">
        <v>1</v>
      </c>
      <c r="BH760" s="24">
        <v>46114.463145821763</v>
      </c>
      <c r="BI760" s="24">
        <v>46114.463145821763</v>
      </c>
      <c r="BJ760" s="24">
        <v>46114.463285497688</v>
      </c>
      <c r="BK760" s="24">
        <v>46114.463285497688</v>
      </c>
      <c r="BL760">
        <v>1</v>
      </c>
      <c r="BM760" s="24"/>
      <c r="BN760" s="24"/>
      <c r="BO760" s="24"/>
      <c r="BP760" s="24"/>
      <c r="BR760" s="24">
        <v>46127.432264733798</v>
      </c>
      <c r="BS760" s="24">
        <v>46127.432264733798</v>
      </c>
      <c r="BT760" s="24">
        <v>46127.533982326386</v>
      </c>
      <c r="BU760" s="24">
        <v>46127.533982326386</v>
      </c>
      <c r="BV760">
        <v>1</v>
      </c>
      <c r="BW760" s="24"/>
      <c r="BX760" s="24"/>
      <c r="BY760" s="24"/>
      <c r="BZ760" s="24"/>
      <c r="CB760" s="24"/>
      <c r="CC760" s="24"/>
      <c r="CE760" s="24">
        <v>46141.465454780089</v>
      </c>
      <c r="CF760" s="24">
        <v>46141.465454780089</v>
      </c>
      <c r="CG760">
        <v>1</v>
      </c>
      <c r="CH760" s="24"/>
      <c r="CI760" s="24"/>
      <c r="CJ760" s="24"/>
      <c r="CK760" s="24"/>
      <c r="DE760" s="24"/>
      <c r="DF760" s="24"/>
      <c r="DG760" s="24"/>
      <c r="DH760" s="24"/>
      <c r="DJ760" t="s">
        <v>149</v>
      </c>
      <c r="DK760" t="s">
        <v>149</v>
      </c>
      <c r="DM760">
        <v>28</v>
      </c>
      <c r="DN760">
        <v>28</v>
      </c>
      <c r="DQ760" t="s">
        <v>1001</v>
      </c>
      <c r="DR760" t="s">
        <v>149</v>
      </c>
      <c r="DS760" s="24">
        <v>46160.384426226854</v>
      </c>
    </row>
    <row r="761" spans="1:123" x14ac:dyDescent="0.3">
      <c r="A761" t="s">
        <v>1244</v>
      </c>
      <c r="D761" t="s">
        <v>223</v>
      </c>
      <c r="E761" s="24">
        <v>46112.926736111112</v>
      </c>
      <c r="G761" t="s">
        <v>90</v>
      </c>
      <c r="H761" t="s">
        <v>155</v>
      </c>
      <c r="I761" s="24"/>
      <c r="J761" s="24"/>
      <c r="K761" s="24"/>
      <c r="L761" s="24"/>
      <c r="N761" s="24"/>
      <c r="O761" s="24"/>
      <c r="P761" s="24"/>
      <c r="Q761" s="24"/>
      <c r="V761" s="24"/>
      <c r="W761" s="24"/>
      <c r="X761" s="24"/>
      <c r="Y761" s="24"/>
      <c r="AA761" s="24">
        <v>46112.926959467593</v>
      </c>
      <c r="AB761" s="24">
        <v>46112.926959467593</v>
      </c>
      <c r="AC761" s="24">
        <v>46112.92700556713</v>
      </c>
      <c r="AD761" s="24">
        <v>46112.92700556713</v>
      </c>
      <c r="AE761">
        <v>1</v>
      </c>
      <c r="AF761" s="24"/>
      <c r="AG761" s="24"/>
      <c r="AH761" s="24"/>
      <c r="AI761" s="24"/>
      <c r="AK761" s="24"/>
      <c r="AL761" s="24"/>
      <c r="AM761" s="24"/>
      <c r="AN761" s="24"/>
      <c r="AP761" s="24"/>
      <c r="AQ761" s="24"/>
      <c r="AR761" s="24">
        <v>46112.926888935188</v>
      </c>
      <c r="AS761" s="24">
        <v>46112.926888935188</v>
      </c>
      <c r="AX761" s="24"/>
      <c r="AY761" s="24"/>
      <c r="AZ761" s="24"/>
      <c r="BA761" s="24"/>
      <c r="BC761" s="24"/>
      <c r="BD761" s="24"/>
      <c r="BE761" s="24"/>
      <c r="BF761" s="24"/>
      <c r="BH761" s="24">
        <v>46112.926888935188</v>
      </c>
      <c r="BI761" s="24">
        <v>46112.926888935188</v>
      </c>
      <c r="BJ761" s="24">
        <v>46112.926959467593</v>
      </c>
      <c r="BK761" s="24">
        <v>46112.926959467593</v>
      </c>
      <c r="BL761">
        <v>1</v>
      </c>
      <c r="BM761" s="24"/>
      <c r="BN761" s="24"/>
      <c r="BO761" s="24"/>
      <c r="BP761" s="24"/>
      <c r="BR761" s="24"/>
      <c r="BS761" s="24"/>
      <c r="BT761" s="24"/>
      <c r="BU761" s="24"/>
      <c r="BW761" s="24"/>
      <c r="BX761" s="24"/>
      <c r="BY761" s="24"/>
      <c r="BZ761" s="24"/>
      <c r="CB761" s="24"/>
      <c r="CC761" s="24"/>
      <c r="CE761" s="24">
        <v>46112.92700556713</v>
      </c>
      <c r="CF761" s="24">
        <v>46112.92700556713</v>
      </c>
      <c r="CG761">
        <v>1</v>
      </c>
      <c r="CH761" s="24"/>
      <c r="CI761" s="24"/>
      <c r="CJ761" s="24"/>
      <c r="CK761" s="24"/>
      <c r="DE761" s="24"/>
      <c r="DF761" s="24"/>
      <c r="DG761" s="24"/>
      <c r="DH761" s="24"/>
      <c r="DJ761" t="s">
        <v>149</v>
      </c>
      <c r="DK761" t="s">
        <v>149</v>
      </c>
      <c r="DM761">
        <v>1</v>
      </c>
      <c r="DN761">
        <v>1</v>
      </c>
      <c r="DQ761" t="s">
        <v>1001</v>
      </c>
      <c r="DR761" t="s">
        <v>149</v>
      </c>
      <c r="DS761" s="24">
        <v>46160.384426226854</v>
      </c>
    </row>
    <row r="762" spans="1:123" x14ac:dyDescent="0.3">
      <c r="A762" t="s">
        <v>1245</v>
      </c>
      <c r="D762" t="s">
        <v>223</v>
      </c>
      <c r="E762" s="24">
        <v>46112.925405092596</v>
      </c>
      <c r="G762" t="s">
        <v>90</v>
      </c>
      <c r="H762" t="s">
        <v>155</v>
      </c>
      <c r="I762" s="24"/>
      <c r="J762" s="24"/>
      <c r="K762" s="24"/>
      <c r="L762" s="24"/>
      <c r="N762" s="24"/>
      <c r="O762" s="24"/>
      <c r="P762" s="24"/>
      <c r="Q762" s="24"/>
      <c r="V762" s="24"/>
      <c r="W762" s="24"/>
      <c r="X762" s="24"/>
      <c r="Y762" s="24"/>
      <c r="AA762" s="24">
        <v>46112.925658356478</v>
      </c>
      <c r="AB762" s="24">
        <v>46112.925658356478</v>
      </c>
      <c r="AC762" s="24">
        <v>46112.92572979167</v>
      </c>
      <c r="AD762" s="24">
        <v>46112.92572979167</v>
      </c>
      <c r="AE762">
        <v>1</v>
      </c>
      <c r="AF762" s="24"/>
      <c r="AG762" s="24"/>
      <c r="AH762" s="24"/>
      <c r="AI762" s="24"/>
      <c r="AK762" s="24"/>
      <c r="AL762" s="24"/>
      <c r="AM762" s="24"/>
      <c r="AN762" s="24"/>
      <c r="AP762" s="24"/>
      <c r="AQ762" s="24"/>
      <c r="AR762" s="24">
        <v>46112.925614259257</v>
      </c>
      <c r="AS762" s="24">
        <v>46112.925614259257</v>
      </c>
      <c r="AX762" s="24"/>
      <c r="AY762" s="24"/>
      <c r="AZ762" s="24"/>
      <c r="BA762" s="24"/>
      <c r="BC762" s="24"/>
      <c r="BD762" s="24"/>
      <c r="BE762" s="24"/>
      <c r="BF762" s="24"/>
      <c r="BH762" s="24">
        <v>46112.925614259257</v>
      </c>
      <c r="BI762" s="24">
        <v>46112.925614259257</v>
      </c>
      <c r="BJ762" s="24">
        <v>46112.925658356478</v>
      </c>
      <c r="BK762" s="24">
        <v>46112.925658356478</v>
      </c>
      <c r="BL762">
        <v>1</v>
      </c>
      <c r="BM762" s="24"/>
      <c r="BN762" s="24"/>
      <c r="BO762" s="24"/>
      <c r="BP762" s="24"/>
      <c r="BR762" s="24"/>
      <c r="BS762" s="24"/>
      <c r="BT762" s="24"/>
      <c r="BU762" s="24"/>
      <c r="BW762" s="24"/>
      <c r="BX762" s="24"/>
      <c r="BY762" s="24"/>
      <c r="BZ762" s="24"/>
      <c r="CB762" s="24"/>
      <c r="CC762" s="24"/>
      <c r="CE762" s="24">
        <v>46112.92572979167</v>
      </c>
      <c r="CF762" s="24">
        <v>46112.92572979167</v>
      </c>
      <c r="CG762">
        <v>1</v>
      </c>
      <c r="CH762" s="24"/>
      <c r="CI762" s="24"/>
      <c r="CJ762" s="24"/>
      <c r="CK762" s="24"/>
      <c r="DE762" s="24"/>
      <c r="DF762" s="24"/>
      <c r="DG762" s="24"/>
      <c r="DH762" s="24"/>
      <c r="DJ762" t="s">
        <v>149</v>
      </c>
      <c r="DK762" t="s">
        <v>149</v>
      </c>
      <c r="DM762">
        <v>1</v>
      </c>
      <c r="DN762">
        <v>1</v>
      </c>
      <c r="DQ762" t="s">
        <v>1001</v>
      </c>
      <c r="DR762" t="s">
        <v>149</v>
      </c>
      <c r="DS762" s="24">
        <v>46160.384426226854</v>
      </c>
    </row>
    <row r="763" spans="1:123" x14ac:dyDescent="0.3">
      <c r="A763" t="s">
        <v>1246</v>
      </c>
      <c r="D763" t="s">
        <v>225</v>
      </c>
      <c r="E763" s="24">
        <v>46110.518483796295</v>
      </c>
      <c r="G763" t="s">
        <v>113</v>
      </c>
      <c r="H763" t="s">
        <v>155</v>
      </c>
      <c r="I763" s="24"/>
      <c r="J763" s="24"/>
      <c r="K763" s="24"/>
      <c r="L763" s="24"/>
      <c r="N763" s="24"/>
      <c r="O763" s="24"/>
      <c r="P763" s="24"/>
      <c r="Q763" s="24"/>
      <c r="V763" s="24"/>
      <c r="W763" s="24"/>
      <c r="X763" s="24"/>
      <c r="Y763" s="24"/>
      <c r="AA763" s="24">
        <v>46132.419887303244</v>
      </c>
      <c r="AB763" s="24">
        <v>46132.419887303244</v>
      </c>
      <c r="AC763" s="24">
        <v>46140.437236365738</v>
      </c>
      <c r="AD763" s="24">
        <v>46140.437236365738</v>
      </c>
      <c r="AE763">
        <v>1</v>
      </c>
      <c r="AF763" s="24">
        <v>46140.437236365738</v>
      </c>
      <c r="AG763" s="24">
        <v>46140.437236365738</v>
      </c>
      <c r="AH763" s="24">
        <v>46141.454341828707</v>
      </c>
      <c r="AI763" s="24">
        <v>46141.454341828707</v>
      </c>
      <c r="AJ763">
        <v>1</v>
      </c>
      <c r="AK763" s="24">
        <v>46141.454341828707</v>
      </c>
      <c r="AL763" s="24">
        <v>46141.454341828707</v>
      </c>
      <c r="AM763" s="24">
        <v>46141.454595416668</v>
      </c>
      <c r="AN763" s="24">
        <v>46141.454595416668</v>
      </c>
      <c r="AO763">
        <v>1</v>
      </c>
      <c r="AP763" s="24"/>
      <c r="AQ763" s="24"/>
      <c r="AR763" s="24">
        <v>46127.552855520837</v>
      </c>
      <c r="AS763" s="24">
        <v>46127.552855520837</v>
      </c>
      <c r="AX763" s="24"/>
      <c r="AY763" s="24"/>
      <c r="AZ763" s="24"/>
      <c r="BA763" s="24"/>
      <c r="BC763" s="24">
        <v>46141.455043599541</v>
      </c>
      <c r="BD763" s="24">
        <v>46141.455043599541</v>
      </c>
      <c r="BE763" s="24"/>
      <c r="BF763" s="24"/>
      <c r="BG763">
        <v>1</v>
      </c>
      <c r="BH763" s="24">
        <v>46127.552855520837</v>
      </c>
      <c r="BI763" s="24">
        <v>46127.552855520837</v>
      </c>
      <c r="BJ763" s="24">
        <v>46132.419887303244</v>
      </c>
      <c r="BK763" s="24">
        <v>46132.419887303244</v>
      </c>
      <c r="BL763">
        <v>1</v>
      </c>
      <c r="BM763" s="24"/>
      <c r="BN763" s="24"/>
      <c r="BO763" s="24"/>
      <c r="BP763" s="24"/>
      <c r="BR763" s="24">
        <v>46141.454595416668</v>
      </c>
      <c r="BS763" s="24">
        <v>46141.454595416668</v>
      </c>
      <c r="BT763" s="24">
        <v>46141.455043599541</v>
      </c>
      <c r="BU763" s="24">
        <v>46141.455043599541</v>
      </c>
      <c r="BV763">
        <v>1</v>
      </c>
      <c r="BW763" s="24"/>
      <c r="BX763" s="24"/>
      <c r="BY763" s="24"/>
      <c r="BZ763" s="24"/>
      <c r="CB763" s="24"/>
      <c r="CC763" s="24"/>
      <c r="CE763" s="24"/>
      <c r="CF763" s="24"/>
      <c r="CH763" s="24"/>
      <c r="CI763" s="24"/>
      <c r="CJ763" s="24"/>
      <c r="CK763" s="24"/>
      <c r="DE763" s="24"/>
      <c r="DF763" s="24"/>
      <c r="DG763" s="24"/>
      <c r="DH763" s="24"/>
      <c r="DJ763" t="s">
        <v>149</v>
      </c>
      <c r="DK763" t="s">
        <v>149</v>
      </c>
      <c r="DO763">
        <v>28</v>
      </c>
      <c r="DP763">
        <v>19</v>
      </c>
      <c r="DQ763" t="s">
        <v>1001</v>
      </c>
      <c r="DR763" t="s">
        <v>149</v>
      </c>
      <c r="DS763" s="24">
        <v>46160.384426226854</v>
      </c>
    </row>
    <row r="764" spans="1:123" x14ac:dyDescent="0.3">
      <c r="A764" t="s">
        <v>1247</v>
      </c>
      <c r="D764" t="s">
        <v>223</v>
      </c>
      <c r="E764" s="24">
        <v>46108.400555555556</v>
      </c>
      <c r="G764" t="s">
        <v>90</v>
      </c>
      <c r="H764" t="s">
        <v>155</v>
      </c>
      <c r="I764" s="24"/>
      <c r="J764" s="24"/>
      <c r="K764" s="24"/>
      <c r="L764" s="24"/>
      <c r="N764" s="24"/>
      <c r="O764" s="24"/>
      <c r="P764" s="24"/>
      <c r="Q764" s="24"/>
      <c r="V764" s="24"/>
      <c r="W764" s="24"/>
      <c r="X764" s="24"/>
      <c r="Y764" s="24"/>
      <c r="AA764" s="24">
        <v>46108.400902407404</v>
      </c>
      <c r="AB764" s="24">
        <v>46108.400902407404</v>
      </c>
      <c r="AC764" s="24">
        <v>46108.400942314816</v>
      </c>
      <c r="AD764" s="24">
        <v>46108.400942314816</v>
      </c>
      <c r="AE764">
        <v>1</v>
      </c>
      <c r="AF764" s="24"/>
      <c r="AG764" s="24"/>
      <c r="AH764" s="24"/>
      <c r="AI764" s="24"/>
      <c r="AK764" s="24"/>
      <c r="AL764" s="24"/>
      <c r="AM764" s="24"/>
      <c r="AN764" s="24"/>
      <c r="AP764" s="24"/>
      <c r="AQ764" s="24"/>
      <c r="AR764" s="24">
        <v>46108.400824375</v>
      </c>
      <c r="AS764" s="24">
        <v>46108.400824375</v>
      </c>
      <c r="AX764" s="24"/>
      <c r="AY764" s="24"/>
      <c r="AZ764" s="24"/>
      <c r="BA764" s="24"/>
      <c r="BC764" s="24"/>
      <c r="BD764" s="24"/>
      <c r="BE764" s="24"/>
      <c r="BF764" s="24"/>
      <c r="BH764" s="24">
        <v>46108.400824375</v>
      </c>
      <c r="BI764" s="24">
        <v>46108.400824375</v>
      </c>
      <c r="BJ764" s="24">
        <v>46108.400902407404</v>
      </c>
      <c r="BK764" s="24">
        <v>46108.400902407404</v>
      </c>
      <c r="BL764">
        <v>1</v>
      </c>
      <c r="BM764" s="24"/>
      <c r="BN764" s="24"/>
      <c r="BO764" s="24"/>
      <c r="BP764" s="24"/>
      <c r="BR764" s="24"/>
      <c r="BS764" s="24"/>
      <c r="BT764" s="24"/>
      <c r="BU764" s="24"/>
      <c r="BW764" s="24"/>
      <c r="BX764" s="24"/>
      <c r="BY764" s="24"/>
      <c r="BZ764" s="24"/>
      <c r="CB764" s="24"/>
      <c r="CC764" s="24"/>
      <c r="CE764" s="24">
        <v>46108.400942314816</v>
      </c>
      <c r="CF764" s="24">
        <v>46108.400942314816</v>
      </c>
      <c r="CG764">
        <v>1</v>
      </c>
      <c r="CH764" s="24"/>
      <c r="CI764" s="24"/>
      <c r="CJ764" s="24"/>
      <c r="CK764" s="24"/>
      <c r="DE764" s="24"/>
      <c r="DF764" s="24"/>
      <c r="DG764" s="24"/>
      <c r="DH764" s="24"/>
      <c r="DJ764" t="s">
        <v>149</v>
      </c>
      <c r="DK764" t="s">
        <v>149</v>
      </c>
      <c r="DM764">
        <v>1</v>
      </c>
      <c r="DN764">
        <v>1</v>
      </c>
      <c r="DQ764" t="s">
        <v>1001</v>
      </c>
      <c r="DR764" t="s">
        <v>149</v>
      </c>
      <c r="DS764" s="24">
        <v>46160.384426226854</v>
      </c>
    </row>
    <row r="765" spans="1:123" x14ac:dyDescent="0.3">
      <c r="A765" t="s">
        <v>1248</v>
      </c>
      <c r="D765" t="s">
        <v>223</v>
      </c>
      <c r="E765" s="24">
        <v>46100.475636574076</v>
      </c>
      <c r="G765" t="s">
        <v>90</v>
      </c>
      <c r="H765" t="s">
        <v>155</v>
      </c>
      <c r="I765" s="24"/>
      <c r="J765" s="24"/>
      <c r="K765" s="24"/>
      <c r="L765" s="24"/>
      <c r="N765" s="24"/>
      <c r="O765" s="24"/>
      <c r="P765" s="24"/>
      <c r="Q765" s="24"/>
      <c r="V765" s="24"/>
      <c r="W765" s="24"/>
      <c r="X765" s="24"/>
      <c r="Y765" s="24"/>
      <c r="AA765" s="24">
        <v>46108.628837222219</v>
      </c>
      <c r="AB765" s="24">
        <v>46108.628837222219</v>
      </c>
      <c r="AC765" s="24">
        <v>46108.628880671298</v>
      </c>
      <c r="AD765" s="24">
        <v>46108.628880671298</v>
      </c>
      <c r="AE765">
        <v>1</v>
      </c>
      <c r="AF765" s="24"/>
      <c r="AG765" s="24"/>
      <c r="AH765" s="24"/>
      <c r="AI765" s="24"/>
      <c r="AK765" s="24"/>
      <c r="AL765" s="24"/>
      <c r="AM765" s="24"/>
      <c r="AN765" s="24"/>
      <c r="AP765" s="24"/>
      <c r="AQ765" s="24"/>
      <c r="AR765" s="24">
        <v>46108.628804189815</v>
      </c>
      <c r="AS765" s="24">
        <v>46108.628804189815</v>
      </c>
      <c r="AX765" s="24"/>
      <c r="AY765" s="24"/>
      <c r="AZ765" s="24"/>
      <c r="BA765" s="24"/>
      <c r="BC765" s="24"/>
      <c r="BD765" s="24"/>
      <c r="BE765" s="24"/>
      <c r="BF765" s="24"/>
      <c r="BH765" s="24">
        <v>46108.628804189815</v>
      </c>
      <c r="BI765" s="24">
        <v>46108.628804189815</v>
      </c>
      <c r="BJ765" s="24">
        <v>46108.628837222219</v>
      </c>
      <c r="BK765" s="24">
        <v>46108.628837222219</v>
      </c>
      <c r="BL765">
        <v>1</v>
      </c>
      <c r="BM765" s="24"/>
      <c r="BN765" s="24"/>
      <c r="BO765" s="24"/>
      <c r="BP765" s="24"/>
      <c r="BR765" s="24"/>
      <c r="BS765" s="24"/>
      <c r="BT765" s="24"/>
      <c r="BU765" s="24"/>
      <c r="BW765" s="24"/>
      <c r="BX765" s="24"/>
      <c r="BY765" s="24"/>
      <c r="BZ765" s="24"/>
      <c r="CB765" s="24"/>
      <c r="CC765" s="24"/>
      <c r="CE765" s="24">
        <v>46108.628880671298</v>
      </c>
      <c r="CF765" s="24">
        <v>46108.628880671298</v>
      </c>
      <c r="CG765">
        <v>1</v>
      </c>
      <c r="CH765" s="24"/>
      <c r="CI765" s="24"/>
      <c r="CJ765" s="24"/>
      <c r="CK765" s="24"/>
      <c r="DE765" s="24"/>
      <c r="DF765" s="24"/>
      <c r="DG765" s="24"/>
      <c r="DH765" s="24"/>
      <c r="DJ765" t="s">
        <v>149</v>
      </c>
      <c r="DK765" t="s">
        <v>149</v>
      </c>
      <c r="DM765">
        <v>1</v>
      </c>
      <c r="DN765">
        <v>1</v>
      </c>
      <c r="DQ765" t="s">
        <v>1001</v>
      </c>
      <c r="DR765" t="s">
        <v>149</v>
      </c>
      <c r="DS765" s="24">
        <v>46160.384426226854</v>
      </c>
    </row>
    <row r="766" spans="1:123" x14ac:dyDescent="0.3">
      <c r="A766" t="s">
        <v>1249</v>
      </c>
      <c r="D766" t="s">
        <v>223</v>
      </c>
      <c r="E766" s="24">
        <v>46100.47550925926</v>
      </c>
      <c r="G766" t="s">
        <v>90</v>
      </c>
      <c r="H766" t="s">
        <v>155</v>
      </c>
      <c r="I766" s="24"/>
      <c r="J766" s="24"/>
      <c r="K766" s="24"/>
      <c r="L766" s="24"/>
      <c r="N766" s="24"/>
      <c r="O766" s="24"/>
      <c r="P766" s="24"/>
      <c r="Q766" s="24"/>
      <c r="V766" s="24"/>
      <c r="W766" s="24"/>
      <c r="X766" s="24"/>
      <c r="Y766" s="24"/>
      <c r="AA766" s="24">
        <v>46108.626062256946</v>
      </c>
      <c r="AB766" s="24">
        <v>46108.626062256946</v>
      </c>
      <c r="AC766" s="24">
        <v>46108.62747699074</v>
      </c>
      <c r="AD766" s="24">
        <v>46108.62747699074</v>
      </c>
      <c r="AE766">
        <v>1</v>
      </c>
      <c r="AF766" s="24"/>
      <c r="AG766" s="24"/>
      <c r="AH766" s="24"/>
      <c r="AI766" s="24"/>
      <c r="AK766" s="24"/>
      <c r="AL766" s="24"/>
      <c r="AM766" s="24"/>
      <c r="AN766" s="24"/>
      <c r="AP766" s="24"/>
      <c r="AQ766" s="24"/>
      <c r="AR766" s="24">
        <v>46108.405345694446</v>
      </c>
      <c r="AS766" s="24">
        <v>46108.405345694446</v>
      </c>
      <c r="AX766" s="24"/>
      <c r="AY766" s="24"/>
      <c r="AZ766" s="24"/>
      <c r="BA766" s="24"/>
      <c r="BC766" s="24"/>
      <c r="BD766" s="24"/>
      <c r="BE766" s="24"/>
      <c r="BF766" s="24"/>
      <c r="BH766" s="24">
        <v>46108.405345694446</v>
      </c>
      <c r="BI766" s="24">
        <v>46108.405345694446</v>
      </c>
      <c r="BJ766" s="24">
        <v>46108.626062256946</v>
      </c>
      <c r="BK766" s="24">
        <v>46108.626062256946</v>
      </c>
      <c r="BL766">
        <v>1</v>
      </c>
      <c r="BM766" s="24"/>
      <c r="BN766" s="24"/>
      <c r="BO766" s="24"/>
      <c r="BP766" s="24"/>
      <c r="BR766" s="24"/>
      <c r="BS766" s="24"/>
      <c r="BT766" s="24"/>
      <c r="BU766" s="24"/>
      <c r="BW766" s="24"/>
      <c r="BX766" s="24"/>
      <c r="BY766" s="24"/>
      <c r="BZ766" s="24"/>
      <c r="CB766" s="24"/>
      <c r="CC766" s="24"/>
      <c r="CE766" s="24">
        <v>46108.62747699074</v>
      </c>
      <c r="CF766" s="24">
        <v>46108.62747699074</v>
      </c>
      <c r="CG766">
        <v>1</v>
      </c>
      <c r="CH766" s="24"/>
      <c r="CI766" s="24"/>
      <c r="CJ766" s="24"/>
      <c r="CK766" s="24"/>
      <c r="DE766" s="24"/>
      <c r="DF766" s="24"/>
      <c r="DG766" s="24"/>
      <c r="DH766" s="24"/>
      <c r="DJ766" t="s">
        <v>149</v>
      </c>
      <c r="DK766" t="s">
        <v>149</v>
      </c>
      <c r="DM766">
        <v>1</v>
      </c>
      <c r="DN766">
        <v>1</v>
      </c>
      <c r="DQ766" t="s">
        <v>1001</v>
      </c>
      <c r="DR766" t="s">
        <v>149</v>
      </c>
      <c r="DS766" s="24">
        <v>46160.384426226854</v>
      </c>
    </row>
    <row r="767" spans="1:123" x14ac:dyDescent="0.3">
      <c r="A767" t="s">
        <v>1250</v>
      </c>
      <c r="D767" t="s">
        <v>223</v>
      </c>
      <c r="E767" s="24">
        <v>46100.469074074077</v>
      </c>
      <c r="G767" t="s">
        <v>90</v>
      </c>
      <c r="H767" t="s">
        <v>155</v>
      </c>
      <c r="I767" s="24"/>
      <c r="J767" s="24"/>
      <c r="K767" s="24"/>
      <c r="L767" s="24"/>
      <c r="N767" s="24"/>
      <c r="O767" s="24"/>
      <c r="P767" s="24"/>
      <c r="Q767" s="24"/>
      <c r="V767" s="24"/>
      <c r="W767" s="24"/>
      <c r="X767" s="24"/>
      <c r="Y767" s="24"/>
      <c r="AA767" s="24">
        <v>46100.47051900463</v>
      </c>
      <c r="AB767" s="24">
        <v>46100.47051900463</v>
      </c>
      <c r="AC767" s="24">
        <v>46100.470575879626</v>
      </c>
      <c r="AD767" s="24">
        <v>46100.470575879626</v>
      </c>
      <c r="AE767">
        <v>1</v>
      </c>
      <c r="AF767" s="24"/>
      <c r="AG767" s="24"/>
      <c r="AH767" s="24"/>
      <c r="AI767" s="24"/>
      <c r="AK767" s="24"/>
      <c r="AL767" s="24"/>
      <c r="AM767" s="24"/>
      <c r="AN767" s="24"/>
      <c r="AP767" s="24"/>
      <c r="AQ767" s="24"/>
      <c r="AR767" s="24">
        <v>46100.469261874998</v>
      </c>
      <c r="AS767" s="24">
        <v>46100.469261874998</v>
      </c>
      <c r="AX767" s="24"/>
      <c r="AY767" s="24"/>
      <c r="AZ767" s="24"/>
      <c r="BA767" s="24"/>
      <c r="BC767" s="24"/>
      <c r="BD767" s="24"/>
      <c r="BE767" s="24"/>
      <c r="BF767" s="24"/>
      <c r="BH767" s="24">
        <v>46100.469261874998</v>
      </c>
      <c r="BI767" s="24">
        <v>46100.469261874998</v>
      </c>
      <c r="BJ767" s="24">
        <v>46100.47051900463</v>
      </c>
      <c r="BK767" s="24">
        <v>46100.47051900463</v>
      </c>
      <c r="BL767">
        <v>1</v>
      </c>
      <c r="BM767" s="24"/>
      <c r="BN767" s="24"/>
      <c r="BO767" s="24"/>
      <c r="BP767" s="24"/>
      <c r="BR767" s="24"/>
      <c r="BS767" s="24"/>
      <c r="BT767" s="24"/>
      <c r="BU767" s="24"/>
      <c r="BW767" s="24"/>
      <c r="BX767" s="24"/>
      <c r="BY767" s="24"/>
      <c r="BZ767" s="24"/>
      <c r="CB767" s="24"/>
      <c r="CC767" s="24"/>
      <c r="CE767" s="24">
        <v>46100.470575879626</v>
      </c>
      <c r="CF767" s="24">
        <v>46100.470575879626</v>
      </c>
      <c r="CG767">
        <v>1</v>
      </c>
      <c r="CH767" s="24"/>
      <c r="CI767" s="24"/>
      <c r="CJ767" s="24"/>
      <c r="CK767" s="24"/>
      <c r="DE767" s="24"/>
      <c r="DF767" s="24"/>
      <c r="DG767" s="24"/>
      <c r="DH767" s="24"/>
      <c r="DJ767" t="s">
        <v>149</v>
      </c>
      <c r="DK767" t="s">
        <v>149</v>
      </c>
      <c r="DM767">
        <v>1</v>
      </c>
      <c r="DN767">
        <v>1</v>
      </c>
      <c r="DQ767" t="s">
        <v>1001</v>
      </c>
      <c r="DR767" t="s">
        <v>149</v>
      </c>
      <c r="DS767" s="24">
        <v>46160.384426226854</v>
      </c>
    </row>
    <row r="768" spans="1:123" x14ac:dyDescent="0.3">
      <c r="A768" t="s">
        <v>1251</v>
      </c>
      <c r="D768" t="s">
        <v>225</v>
      </c>
      <c r="E768" s="24">
        <v>46099.550787037035</v>
      </c>
      <c r="G768" t="s">
        <v>113</v>
      </c>
      <c r="H768" t="s">
        <v>155</v>
      </c>
      <c r="I768" s="24"/>
      <c r="J768" s="24"/>
      <c r="K768" s="24"/>
      <c r="L768" s="24"/>
      <c r="N768" s="24"/>
      <c r="O768" s="24"/>
      <c r="P768" s="24"/>
      <c r="Q768" s="24"/>
      <c r="V768" s="24"/>
      <c r="W768" s="24"/>
      <c r="X768" s="24"/>
      <c r="Y768" s="24"/>
      <c r="AA768" s="24">
        <v>46107.634276261575</v>
      </c>
      <c r="AB768" s="24">
        <v>46107.634276261575</v>
      </c>
      <c r="AC768" s="24">
        <v>46114.428205555552</v>
      </c>
      <c r="AD768" s="24">
        <v>46114.428205555552</v>
      </c>
      <c r="AE768">
        <v>1</v>
      </c>
      <c r="AF768" s="24">
        <v>46114.428205555552</v>
      </c>
      <c r="AG768" s="24">
        <v>46114.428205555552</v>
      </c>
      <c r="AH768" s="24">
        <v>46127.632384675926</v>
      </c>
      <c r="AI768" s="24">
        <v>46127.632384675926</v>
      </c>
      <c r="AJ768">
        <v>1</v>
      </c>
      <c r="AK768" s="24">
        <v>46127.632384675926</v>
      </c>
      <c r="AL768" s="24">
        <v>46127.632384675926</v>
      </c>
      <c r="AM768" s="24">
        <v>46127.63252728009</v>
      </c>
      <c r="AN768" s="24">
        <v>46127.63252728009</v>
      </c>
      <c r="AO768">
        <v>1</v>
      </c>
      <c r="AP768" s="24"/>
      <c r="AQ768" s="24"/>
      <c r="AR768" s="24">
        <v>46099.557145497682</v>
      </c>
      <c r="AS768" s="24">
        <v>46099.557145497682</v>
      </c>
      <c r="AX768" s="24"/>
      <c r="AY768" s="24"/>
      <c r="AZ768" s="24"/>
      <c r="BA768" s="24"/>
      <c r="BC768" s="24">
        <v>46127.634367650462</v>
      </c>
      <c r="BD768" s="24">
        <v>46127.634367650462</v>
      </c>
      <c r="BE768" s="24"/>
      <c r="BF768" s="24"/>
      <c r="BG768">
        <v>1</v>
      </c>
      <c r="BH768" s="24">
        <v>46099.557145497682</v>
      </c>
      <c r="BI768" s="24">
        <v>46099.557145497682</v>
      </c>
      <c r="BJ768" s="24">
        <v>46107.634276261575</v>
      </c>
      <c r="BK768" s="24">
        <v>46107.634276261575</v>
      </c>
      <c r="BL768">
        <v>1</v>
      </c>
      <c r="BM768" s="24"/>
      <c r="BN768" s="24"/>
      <c r="BO768" s="24"/>
      <c r="BP768" s="24"/>
      <c r="BR768" s="24">
        <v>46127.63252728009</v>
      </c>
      <c r="BS768" s="24">
        <v>46127.63252728009</v>
      </c>
      <c r="BT768" s="24">
        <v>46127.634367650462</v>
      </c>
      <c r="BU768" s="24">
        <v>46127.634367650462</v>
      </c>
      <c r="BV768">
        <v>1</v>
      </c>
      <c r="BW768" s="24"/>
      <c r="BX768" s="24"/>
      <c r="BY768" s="24"/>
      <c r="BZ768" s="24"/>
      <c r="CB768" s="24"/>
      <c r="CC768" s="24"/>
      <c r="CE768" s="24"/>
      <c r="CF768" s="24"/>
      <c r="CH768" s="24"/>
      <c r="CI768" s="24"/>
      <c r="CJ768" s="24"/>
      <c r="CK768" s="24"/>
      <c r="DE768" s="24"/>
      <c r="DF768" s="24"/>
      <c r="DG768" s="24"/>
      <c r="DH768" s="24"/>
      <c r="DJ768" t="s">
        <v>149</v>
      </c>
      <c r="DK768" t="s">
        <v>149</v>
      </c>
      <c r="DO768">
        <v>53</v>
      </c>
      <c r="DP768">
        <v>33</v>
      </c>
      <c r="DQ768" t="s">
        <v>1001</v>
      </c>
      <c r="DR768" t="s">
        <v>149</v>
      </c>
      <c r="DS768" s="24">
        <v>46160.384426226854</v>
      </c>
    </row>
    <row r="769" spans="1:123" x14ac:dyDescent="0.3">
      <c r="A769" t="s">
        <v>1252</v>
      </c>
      <c r="D769" t="s">
        <v>223</v>
      </c>
      <c r="E769" s="24">
        <v>46097.494537037041</v>
      </c>
      <c r="G769" t="s">
        <v>90</v>
      </c>
      <c r="H769" t="s">
        <v>155</v>
      </c>
      <c r="I769" s="24">
        <v>46121.387129270835</v>
      </c>
      <c r="J769" s="24">
        <v>46121.387129270835</v>
      </c>
      <c r="K769" s="24">
        <v>46121.387175115742</v>
      </c>
      <c r="L769" s="24">
        <v>46121.387175115742</v>
      </c>
      <c r="M769">
        <v>1</v>
      </c>
      <c r="N769" s="24"/>
      <c r="O769" s="24"/>
      <c r="P769" s="24"/>
      <c r="Q769" s="24"/>
      <c r="V769" s="24"/>
      <c r="W769" s="24"/>
      <c r="X769" s="24"/>
      <c r="Y769" s="24"/>
      <c r="AA769" s="24">
        <v>46121.594074537039</v>
      </c>
      <c r="AB769" s="24">
        <v>46121.304469328701</v>
      </c>
      <c r="AC769" s="24">
        <v>46121.387129270835</v>
      </c>
      <c r="AD769" s="24">
        <v>46121.622437604165</v>
      </c>
      <c r="AE769">
        <v>2</v>
      </c>
      <c r="AF769" s="24">
        <v>46121.622437604165</v>
      </c>
      <c r="AG769" s="24">
        <v>46121.622437604165</v>
      </c>
      <c r="AH769" s="24">
        <v>46122.501167696762</v>
      </c>
      <c r="AI769" s="24">
        <v>46122.501167696762</v>
      </c>
      <c r="AJ769">
        <v>1</v>
      </c>
      <c r="AK769" s="24"/>
      <c r="AL769" s="24"/>
      <c r="AM769" s="24"/>
      <c r="AN769" s="24"/>
      <c r="AP769" s="24"/>
      <c r="AQ769" s="24"/>
      <c r="AR769" s="24">
        <v>46099.559755810187</v>
      </c>
      <c r="AS769" s="24">
        <v>46099.559755810187</v>
      </c>
      <c r="AX769" s="24"/>
      <c r="AY769" s="24"/>
      <c r="AZ769" s="24"/>
      <c r="BA769" s="24"/>
      <c r="BC769" s="24"/>
      <c r="BD769" s="24"/>
      <c r="BE769" s="24"/>
      <c r="BF769" s="24"/>
      <c r="BH769" s="24">
        <v>46121.387175115742</v>
      </c>
      <c r="BI769" s="24">
        <v>46099.559755810187</v>
      </c>
      <c r="BJ769" s="24">
        <v>46121.304469328701</v>
      </c>
      <c r="BK769" s="24">
        <v>46121.594074537039</v>
      </c>
      <c r="BL769">
        <v>2</v>
      </c>
      <c r="BM769" s="24"/>
      <c r="BN769" s="24"/>
      <c r="BO769" s="24"/>
      <c r="BP769" s="24"/>
      <c r="BR769" s="24">
        <v>46122.501167696762</v>
      </c>
      <c r="BS769" s="24">
        <v>46122.501167696762</v>
      </c>
      <c r="BT769" s="24">
        <v>46127.43565496528</v>
      </c>
      <c r="BU769" s="24">
        <v>46127.43565496528</v>
      </c>
      <c r="BV769">
        <v>1</v>
      </c>
      <c r="BW769" s="24"/>
      <c r="BX769" s="24"/>
      <c r="BY769" s="24"/>
      <c r="BZ769" s="24"/>
      <c r="CB769" s="24"/>
      <c r="CC769" s="24"/>
      <c r="CE769" s="24">
        <v>46127.43565496528</v>
      </c>
      <c r="CF769" s="24">
        <v>46127.43565496528</v>
      </c>
      <c r="CG769">
        <v>1</v>
      </c>
      <c r="CH769" s="24"/>
      <c r="CI769" s="24"/>
      <c r="CJ769" s="24"/>
      <c r="CK769" s="24"/>
      <c r="DE769" s="24"/>
      <c r="DF769" s="24"/>
      <c r="DG769" s="24"/>
      <c r="DH769" s="24"/>
      <c r="DJ769" t="s">
        <v>149</v>
      </c>
      <c r="DK769" t="s">
        <v>149</v>
      </c>
      <c r="DM769">
        <v>28</v>
      </c>
      <c r="DN769">
        <v>7</v>
      </c>
      <c r="DQ769" t="s">
        <v>1001</v>
      </c>
      <c r="DR769" t="s">
        <v>149</v>
      </c>
      <c r="DS769" s="24">
        <v>46160.384426226854</v>
      </c>
    </row>
    <row r="770" spans="1:123" x14ac:dyDescent="0.3">
      <c r="A770" t="s">
        <v>1253</v>
      </c>
      <c r="D770" t="s">
        <v>225</v>
      </c>
      <c r="E770" s="24">
        <v>46097.482534722221</v>
      </c>
      <c r="G770" t="s">
        <v>90</v>
      </c>
      <c r="H770" t="s">
        <v>155</v>
      </c>
      <c r="I770" s="24"/>
      <c r="J770" s="24"/>
      <c r="K770" s="24"/>
      <c r="L770" s="24"/>
      <c r="N770" s="24"/>
      <c r="O770" s="24"/>
      <c r="P770" s="24"/>
      <c r="Q770" s="24"/>
      <c r="V770" s="24"/>
      <c r="W770" s="24"/>
      <c r="X770" s="24"/>
      <c r="Y770" s="24"/>
      <c r="AA770" s="24">
        <v>46101.593925324072</v>
      </c>
      <c r="AB770" s="24">
        <v>46101.593925324072</v>
      </c>
      <c r="AC770" s="24">
        <v>46105.596143888892</v>
      </c>
      <c r="AD770" s="24">
        <v>46105.596143888892</v>
      </c>
      <c r="AE770">
        <v>1</v>
      </c>
      <c r="AF770" s="24">
        <v>46105.596143888892</v>
      </c>
      <c r="AG770" s="24">
        <v>46105.596143888892</v>
      </c>
      <c r="AH770" s="24">
        <v>46105.612531354163</v>
      </c>
      <c r="AI770" s="24">
        <v>46105.612531354163</v>
      </c>
      <c r="AJ770">
        <v>1</v>
      </c>
      <c r="AK770" s="24">
        <v>46105.612531354163</v>
      </c>
      <c r="AL770" s="24">
        <v>46105.612531354163</v>
      </c>
      <c r="AM770" s="24">
        <v>46106.311464282408</v>
      </c>
      <c r="AN770" s="24">
        <v>46106.311464282408</v>
      </c>
      <c r="AO770">
        <v>1</v>
      </c>
      <c r="AP770" s="24"/>
      <c r="AQ770" s="24"/>
      <c r="AR770" s="24">
        <v>46099.543369548614</v>
      </c>
      <c r="AS770" s="24">
        <v>46099.543369548614</v>
      </c>
      <c r="AX770" s="24"/>
      <c r="AY770" s="24"/>
      <c r="AZ770" s="24"/>
      <c r="BA770" s="24"/>
      <c r="BC770" s="24">
        <v>46114.415797951391</v>
      </c>
      <c r="BD770" s="24">
        <v>46114.415797951391</v>
      </c>
      <c r="BE770" s="24">
        <v>46141.465455393518</v>
      </c>
      <c r="BF770" s="24">
        <v>46141.465455393518</v>
      </c>
      <c r="BG770">
        <v>1</v>
      </c>
      <c r="BH770" s="24">
        <v>46099.543369548614</v>
      </c>
      <c r="BI770" s="24">
        <v>46099.543369548614</v>
      </c>
      <c r="BJ770" s="24">
        <v>46101.593925324072</v>
      </c>
      <c r="BK770" s="24">
        <v>46101.593925324072</v>
      </c>
      <c r="BL770">
        <v>1</v>
      </c>
      <c r="BM770" s="24"/>
      <c r="BN770" s="24"/>
      <c r="BO770" s="24"/>
      <c r="BP770" s="24"/>
      <c r="BR770" s="24">
        <v>46106.311464282408</v>
      </c>
      <c r="BS770" s="24">
        <v>46106.311464282408</v>
      </c>
      <c r="BT770" s="24">
        <v>46114.415797951391</v>
      </c>
      <c r="BU770" s="24">
        <v>46114.415797951391</v>
      </c>
      <c r="BV770">
        <v>1</v>
      </c>
      <c r="BW770" s="24"/>
      <c r="BX770" s="24"/>
      <c r="BY770" s="24"/>
      <c r="BZ770" s="24"/>
      <c r="CB770" s="24"/>
      <c r="CC770" s="24"/>
      <c r="CE770" s="24">
        <v>46141.465455393518</v>
      </c>
      <c r="CF770" s="24">
        <v>46141.465455393518</v>
      </c>
      <c r="CG770">
        <v>1</v>
      </c>
      <c r="CH770" s="24"/>
      <c r="CI770" s="24"/>
      <c r="CJ770" s="24"/>
      <c r="CK770" s="24"/>
      <c r="DE770" s="24"/>
      <c r="DF770" s="24"/>
      <c r="DG770" s="24"/>
      <c r="DH770" s="24"/>
      <c r="DJ770" t="s">
        <v>149</v>
      </c>
      <c r="DK770" t="s">
        <v>149</v>
      </c>
      <c r="DM770">
        <v>42</v>
      </c>
      <c r="DN770">
        <v>40</v>
      </c>
      <c r="DQ770" t="s">
        <v>1001</v>
      </c>
      <c r="DR770" t="s">
        <v>149</v>
      </c>
      <c r="DS770" s="24">
        <v>46160.384426226854</v>
      </c>
    </row>
    <row r="771" spans="1:123" x14ac:dyDescent="0.3">
      <c r="A771" t="s">
        <v>1254</v>
      </c>
      <c r="D771" t="s">
        <v>223</v>
      </c>
      <c r="E771" s="24">
        <v>46097.467488425929</v>
      </c>
      <c r="G771" t="s">
        <v>90</v>
      </c>
      <c r="H771" t="s">
        <v>155</v>
      </c>
      <c r="I771" s="24"/>
      <c r="J771" s="24"/>
      <c r="K771" s="24"/>
      <c r="L771" s="24"/>
      <c r="N771" s="24"/>
      <c r="O771" s="24"/>
      <c r="P771" s="24"/>
      <c r="Q771" s="24"/>
      <c r="V771" s="24"/>
      <c r="W771" s="24"/>
      <c r="X771" s="24"/>
      <c r="Y771" s="24"/>
      <c r="AA771" s="24">
        <v>46100.487514143519</v>
      </c>
      <c r="AB771" s="24">
        <v>46100.487514143519</v>
      </c>
      <c r="AC771" s="24">
        <v>46104.544847858793</v>
      </c>
      <c r="AD771" s="24">
        <v>46104.544847858793</v>
      </c>
      <c r="AE771">
        <v>1</v>
      </c>
      <c r="AF771" s="24">
        <v>46104.544847858793</v>
      </c>
      <c r="AG771" s="24">
        <v>46104.544847858793</v>
      </c>
      <c r="AH771" s="24">
        <v>46106.451543831019</v>
      </c>
      <c r="AI771" s="24">
        <v>46106.451543831019</v>
      </c>
      <c r="AJ771">
        <v>1</v>
      </c>
      <c r="AK771" s="24"/>
      <c r="AL771" s="24"/>
      <c r="AM771" s="24"/>
      <c r="AN771" s="24"/>
      <c r="AP771" s="24"/>
      <c r="AQ771" s="24"/>
      <c r="AR771" s="24">
        <v>46099.543042662037</v>
      </c>
      <c r="AS771" s="24">
        <v>46099.543042662037</v>
      </c>
      <c r="AX771" s="24"/>
      <c r="AY771" s="24"/>
      <c r="AZ771" s="24"/>
      <c r="BA771" s="24"/>
      <c r="BC771" s="24"/>
      <c r="BD771" s="24"/>
      <c r="BE771" s="24"/>
      <c r="BF771" s="24"/>
      <c r="BH771" s="24">
        <v>46099.543042662037</v>
      </c>
      <c r="BI771" s="24">
        <v>46099.543042662037</v>
      </c>
      <c r="BJ771" s="24">
        <v>46100.487514143519</v>
      </c>
      <c r="BK771" s="24">
        <v>46100.487514143519</v>
      </c>
      <c r="BL771">
        <v>1</v>
      </c>
      <c r="BM771" s="24"/>
      <c r="BN771" s="24"/>
      <c r="BO771" s="24"/>
      <c r="BP771" s="24"/>
      <c r="BR771" s="24">
        <v>46106.451543831019</v>
      </c>
      <c r="BS771" s="24">
        <v>46106.451543831019</v>
      </c>
      <c r="BT771" s="24">
        <v>46106.451597303239</v>
      </c>
      <c r="BU771" s="24">
        <v>46106.451597303239</v>
      </c>
      <c r="BV771">
        <v>1</v>
      </c>
      <c r="BW771" s="24"/>
      <c r="BX771" s="24"/>
      <c r="BY771" s="24"/>
      <c r="BZ771" s="24"/>
      <c r="CB771" s="24"/>
      <c r="CC771" s="24"/>
      <c r="CE771" s="24">
        <v>46106.451597303239</v>
      </c>
      <c r="CF771" s="24">
        <v>46106.451597303239</v>
      </c>
      <c r="CG771">
        <v>1</v>
      </c>
      <c r="CH771" s="24"/>
      <c r="CI771" s="24"/>
      <c r="CJ771" s="24"/>
      <c r="CK771" s="24"/>
      <c r="DE771" s="24"/>
      <c r="DF771" s="24"/>
      <c r="DG771" s="24"/>
      <c r="DH771" s="24"/>
      <c r="DJ771" t="s">
        <v>149</v>
      </c>
      <c r="DK771" t="s">
        <v>149</v>
      </c>
      <c r="DM771">
        <v>7</v>
      </c>
      <c r="DN771">
        <v>6</v>
      </c>
      <c r="DQ771" t="s">
        <v>1001</v>
      </c>
      <c r="DR771" t="s">
        <v>149</v>
      </c>
      <c r="DS771" s="24">
        <v>46160.384426226854</v>
      </c>
    </row>
    <row r="772" spans="1:123" x14ac:dyDescent="0.3">
      <c r="A772" t="s">
        <v>1255</v>
      </c>
      <c r="D772" t="s">
        <v>225</v>
      </c>
      <c r="E772" s="24">
        <v>46097.244629629633</v>
      </c>
      <c r="G772" t="s">
        <v>90</v>
      </c>
      <c r="H772" t="s">
        <v>155</v>
      </c>
      <c r="I772" s="24"/>
      <c r="J772" s="24"/>
      <c r="K772" s="24"/>
      <c r="L772" s="24"/>
      <c r="N772" s="24"/>
      <c r="O772" s="24"/>
      <c r="P772" s="24"/>
      <c r="Q772" s="24"/>
      <c r="V772" s="24"/>
      <c r="W772" s="24"/>
      <c r="X772" s="24"/>
      <c r="Y772" s="24"/>
      <c r="AA772" s="24">
        <v>46120.487462256948</v>
      </c>
      <c r="AB772" s="24">
        <v>46120.487462256948</v>
      </c>
      <c r="AC772" s="24">
        <v>46120.487533009262</v>
      </c>
      <c r="AD772" s="24">
        <v>46120.487533009262</v>
      </c>
      <c r="AE772">
        <v>1</v>
      </c>
      <c r="AF772" s="24">
        <v>46120.487533009262</v>
      </c>
      <c r="AG772" s="24">
        <v>46120.487533009262</v>
      </c>
      <c r="AH772" s="24">
        <v>46122.300300636576</v>
      </c>
      <c r="AI772" s="24">
        <v>46122.300300636576</v>
      </c>
      <c r="AJ772">
        <v>1</v>
      </c>
      <c r="AK772" s="24">
        <v>46122.300300636576</v>
      </c>
      <c r="AL772" s="24">
        <v>46122.300300636576</v>
      </c>
      <c r="AM772" s="24">
        <v>46122.348246701389</v>
      </c>
      <c r="AN772" s="24">
        <v>46122.348246701389</v>
      </c>
      <c r="AO772">
        <v>1</v>
      </c>
      <c r="AP772" s="24"/>
      <c r="AQ772" s="24"/>
      <c r="AR772" s="24">
        <v>46114.448076261571</v>
      </c>
      <c r="AS772" s="24">
        <v>46114.448076261571</v>
      </c>
      <c r="AX772" s="24"/>
      <c r="AY772" s="24"/>
      <c r="AZ772" s="24"/>
      <c r="BA772" s="24"/>
      <c r="BC772" s="24">
        <v>46122.348422569441</v>
      </c>
      <c r="BD772" s="24">
        <v>46122.348422569441</v>
      </c>
      <c r="BE772" s="24">
        <v>46141.465453807868</v>
      </c>
      <c r="BF772" s="24">
        <v>46141.465453807868</v>
      </c>
      <c r="BG772">
        <v>1</v>
      </c>
      <c r="BH772" s="24">
        <v>46114.46870179398</v>
      </c>
      <c r="BI772" s="24">
        <v>46114.46870179398</v>
      </c>
      <c r="BJ772" s="24">
        <v>46120.487462256948</v>
      </c>
      <c r="BK772" s="24">
        <v>46120.487462256948</v>
      </c>
      <c r="BL772">
        <v>1</v>
      </c>
      <c r="BM772" s="24"/>
      <c r="BN772" s="24"/>
      <c r="BO772" s="24"/>
      <c r="BP772" s="24"/>
      <c r="BR772" s="24">
        <v>46122.348246701389</v>
      </c>
      <c r="BS772" s="24">
        <v>46122.348246701389</v>
      </c>
      <c r="BT772" s="24">
        <v>46122.348422569441</v>
      </c>
      <c r="BU772" s="24">
        <v>46122.348422569441</v>
      </c>
      <c r="BV772">
        <v>1</v>
      </c>
      <c r="BW772" s="24">
        <v>46114.448076261571</v>
      </c>
      <c r="BX772" s="24">
        <v>46114.448076261571</v>
      </c>
      <c r="BY772" s="24">
        <v>46114.46870179398</v>
      </c>
      <c r="BZ772" s="24">
        <v>46114.46870179398</v>
      </c>
      <c r="CA772">
        <v>1</v>
      </c>
      <c r="CB772" s="24"/>
      <c r="CC772" s="24"/>
      <c r="CE772" s="24">
        <v>46141.465453807868</v>
      </c>
      <c r="CF772" s="24">
        <v>46141.465453807868</v>
      </c>
      <c r="CG772">
        <v>1</v>
      </c>
      <c r="CH772" s="24"/>
      <c r="CI772" s="24"/>
      <c r="CJ772" s="24"/>
      <c r="CK772" s="24"/>
      <c r="DE772" s="24"/>
      <c r="DF772" s="24"/>
      <c r="DG772" s="24"/>
      <c r="DH772" s="24"/>
      <c r="DJ772" t="s">
        <v>149</v>
      </c>
      <c r="DK772" t="s">
        <v>149</v>
      </c>
      <c r="DM772">
        <v>27</v>
      </c>
      <c r="DN772">
        <v>21</v>
      </c>
      <c r="DQ772" t="s">
        <v>1001</v>
      </c>
      <c r="DR772" t="s">
        <v>149</v>
      </c>
      <c r="DS772" s="24">
        <v>46160.384426226854</v>
      </c>
    </row>
    <row r="773" spans="1:123" x14ac:dyDescent="0.3">
      <c r="A773" t="s">
        <v>1256</v>
      </c>
      <c r="D773" t="s">
        <v>223</v>
      </c>
      <c r="E773" s="24">
        <v>46092.478912037041</v>
      </c>
      <c r="G773" t="s">
        <v>106</v>
      </c>
      <c r="H773" t="s">
        <v>154</v>
      </c>
      <c r="I773" s="24"/>
      <c r="J773" s="24"/>
      <c r="K773" s="24"/>
      <c r="L773" s="24"/>
      <c r="N773" s="24"/>
      <c r="O773" s="24"/>
      <c r="P773" s="24"/>
      <c r="Q773" s="24"/>
      <c r="V773" s="24"/>
      <c r="W773" s="24"/>
      <c r="X773" s="24"/>
      <c r="Y773" s="24"/>
      <c r="AA773" s="24"/>
      <c r="AB773" s="24"/>
      <c r="AC773" s="24"/>
      <c r="AD773" s="24"/>
      <c r="AF773" s="24"/>
      <c r="AG773" s="24"/>
      <c r="AH773" s="24"/>
      <c r="AI773" s="24"/>
      <c r="AK773" s="24"/>
      <c r="AL773" s="24"/>
      <c r="AM773" s="24"/>
      <c r="AN773" s="24"/>
      <c r="AP773" s="24"/>
      <c r="AQ773" s="24"/>
      <c r="AR773" s="24">
        <v>46114.445667245367</v>
      </c>
      <c r="AS773" s="24">
        <v>46114.445667245367</v>
      </c>
      <c r="AX773" s="24"/>
      <c r="AY773" s="24"/>
      <c r="AZ773" s="24"/>
      <c r="BA773" s="24"/>
      <c r="BC773" s="24"/>
      <c r="BD773" s="24"/>
      <c r="BE773" s="24"/>
      <c r="BF773" s="24"/>
      <c r="BH773" s="24"/>
      <c r="BI773" s="24"/>
      <c r="BJ773" s="24"/>
      <c r="BK773" s="24"/>
      <c r="BM773" s="24"/>
      <c r="BN773" s="24"/>
      <c r="BO773" s="24"/>
      <c r="BP773" s="24"/>
      <c r="BR773" s="24"/>
      <c r="BS773" s="24"/>
      <c r="BT773" s="24"/>
      <c r="BU773" s="24"/>
      <c r="BW773" s="24">
        <v>46114.445667245367</v>
      </c>
      <c r="BX773" s="24">
        <v>46114.445667245367</v>
      </c>
      <c r="BY773" s="24"/>
      <c r="BZ773" s="24"/>
      <c r="CA773">
        <v>1</v>
      </c>
      <c r="CB773" s="24"/>
      <c r="CC773" s="24"/>
      <c r="CE773" s="24"/>
      <c r="CF773" s="24"/>
      <c r="CH773" s="24"/>
      <c r="CI773" s="24"/>
      <c r="CJ773" s="24"/>
      <c r="CK773" s="24"/>
      <c r="DE773" s="24"/>
      <c r="DF773" s="24"/>
      <c r="DG773" s="24"/>
      <c r="DH773" s="24"/>
      <c r="DJ773" t="s">
        <v>149</v>
      </c>
      <c r="DK773" t="s">
        <v>149</v>
      </c>
      <c r="DP773">
        <v>46</v>
      </c>
      <c r="DQ773" t="s">
        <v>1001</v>
      </c>
      <c r="DR773" t="s">
        <v>149</v>
      </c>
      <c r="DS773" s="24">
        <v>46160.384426226854</v>
      </c>
    </row>
    <row r="774" spans="1:123" x14ac:dyDescent="0.3">
      <c r="A774" t="s">
        <v>1257</v>
      </c>
      <c r="D774" t="s">
        <v>225</v>
      </c>
      <c r="E774" s="24">
        <v>46085.745509259257</v>
      </c>
      <c r="G774" t="s">
        <v>107</v>
      </c>
      <c r="H774" t="s">
        <v>154</v>
      </c>
      <c r="I774" s="24"/>
      <c r="J774" s="24"/>
      <c r="K774" s="24"/>
      <c r="L774" s="24"/>
      <c r="N774" s="24"/>
      <c r="O774" s="24"/>
      <c r="P774" s="24"/>
      <c r="Q774" s="24"/>
      <c r="V774" s="24"/>
      <c r="W774" s="24"/>
      <c r="X774" s="24"/>
      <c r="Y774" s="24"/>
      <c r="AA774" s="24"/>
      <c r="AB774" s="24"/>
      <c r="AC774" s="24"/>
      <c r="AD774" s="24"/>
      <c r="AF774" s="24"/>
      <c r="AG774" s="24"/>
      <c r="AH774" s="24"/>
      <c r="AI774" s="24"/>
      <c r="AK774" s="24"/>
      <c r="AL774" s="24"/>
      <c r="AM774" s="24"/>
      <c r="AN774" s="24"/>
      <c r="AP774" s="24"/>
      <c r="AQ774" s="24"/>
      <c r="AR774" s="24">
        <v>46099.546727881941</v>
      </c>
      <c r="AS774" s="24">
        <v>46099.546727881941</v>
      </c>
      <c r="AX774" s="24"/>
      <c r="AY774" s="24"/>
      <c r="AZ774" s="24"/>
      <c r="BA774" s="24"/>
      <c r="BC774" s="24"/>
      <c r="BD774" s="24"/>
      <c r="BE774" s="24"/>
      <c r="BF774" s="24"/>
      <c r="BH774" s="24">
        <v>46099.546727881941</v>
      </c>
      <c r="BI774" s="24">
        <v>46099.546727881941</v>
      </c>
      <c r="BJ774" s="24"/>
      <c r="BK774" s="24"/>
      <c r="BL774">
        <v>1</v>
      </c>
      <c r="BM774" s="24"/>
      <c r="BN774" s="24"/>
      <c r="BO774" s="24"/>
      <c r="BP774" s="24"/>
      <c r="BR774" s="24"/>
      <c r="BS774" s="24"/>
      <c r="BT774" s="24"/>
      <c r="BU774" s="24"/>
      <c r="BW774" s="24"/>
      <c r="BX774" s="24"/>
      <c r="BY774" s="24"/>
      <c r="BZ774" s="24"/>
      <c r="CB774" s="24"/>
      <c r="CC774" s="24"/>
      <c r="CE774" s="24"/>
      <c r="CF774" s="24"/>
      <c r="CH774" s="24"/>
      <c r="CI774" s="24"/>
      <c r="CJ774" s="24"/>
      <c r="CK774" s="24"/>
      <c r="DE774" s="24"/>
      <c r="DF774" s="24"/>
      <c r="DG774" s="24"/>
      <c r="DH774" s="24"/>
      <c r="DJ774" t="s">
        <v>149</v>
      </c>
      <c r="DK774" t="s">
        <v>149</v>
      </c>
      <c r="DP774">
        <v>61</v>
      </c>
      <c r="DQ774" t="s">
        <v>1001</v>
      </c>
      <c r="DR774" t="s">
        <v>149</v>
      </c>
      <c r="DS774" s="24">
        <v>46160.384426226854</v>
      </c>
    </row>
    <row r="775" spans="1:123" x14ac:dyDescent="0.3">
      <c r="A775" t="s">
        <v>1258</v>
      </c>
      <c r="D775" t="s">
        <v>225</v>
      </c>
      <c r="E775" s="24">
        <v>46085.564722222225</v>
      </c>
      <c r="G775" t="s">
        <v>90</v>
      </c>
      <c r="H775" t="s">
        <v>155</v>
      </c>
      <c r="I775" s="24"/>
      <c r="J775" s="24"/>
      <c r="K775" s="24"/>
      <c r="L775" s="24"/>
      <c r="N775" s="24"/>
      <c r="O775" s="24"/>
      <c r="P775" s="24"/>
      <c r="Q775" s="24"/>
      <c r="V775" s="24"/>
      <c r="W775" s="24"/>
      <c r="X775" s="24"/>
      <c r="Y775" s="24"/>
      <c r="AA775" s="24">
        <v>46101.454589317131</v>
      </c>
      <c r="AB775" s="24">
        <v>46099.432084259257</v>
      </c>
      <c r="AC775" s="24">
        <v>46101.427524062499</v>
      </c>
      <c r="AD775" s="24">
        <v>46105.375207349534</v>
      </c>
      <c r="AE775">
        <v>2</v>
      </c>
      <c r="AF775" s="24">
        <v>46105.375207349534</v>
      </c>
      <c r="AG775" s="24">
        <v>46101.427524062499</v>
      </c>
      <c r="AH775" s="24">
        <v>46101.454589317131</v>
      </c>
      <c r="AI775" s="24">
        <v>46105.417183333331</v>
      </c>
      <c r="AJ775">
        <v>2</v>
      </c>
      <c r="AK775" s="24">
        <v>46105.417183333331</v>
      </c>
      <c r="AL775" s="24">
        <v>46105.417183333331</v>
      </c>
      <c r="AM775" s="24">
        <v>46113.446115104169</v>
      </c>
      <c r="AN775" s="24">
        <v>46113.446115104169</v>
      </c>
      <c r="AO775">
        <v>1</v>
      </c>
      <c r="AP775" s="24"/>
      <c r="AQ775" s="24"/>
      <c r="AR775" s="24">
        <v>46098.432668923611</v>
      </c>
      <c r="AS775" s="24">
        <v>46098.432668923611</v>
      </c>
      <c r="AX775" s="24"/>
      <c r="AY775" s="24"/>
      <c r="AZ775" s="24"/>
      <c r="BA775" s="24"/>
      <c r="BC775" s="24">
        <v>46113.446488055553</v>
      </c>
      <c r="BD775" s="24">
        <v>46113.446488055553</v>
      </c>
      <c r="BE775" s="24">
        <v>46141.465454988429</v>
      </c>
      <c r="BF775" s="24">
        <v>46141.465454988429</v>
      </c>
      <c r="BG775">
        <v>1</v>
      </c>
      <c r="BH775" s="24">
        <v>46098.432668923611</v>
      </c>
      <c r="BI775" s="24">
        <v>46098.432668923611</v>
      </c>
      <c r="BJ775" s="24">
        <v>46099.432084259257</v>
      </c>
      <c r="BK775" s="24">
        <v>46099.432084259257</v>
      </c>
      <c r="BL775">
        <v>1</v>
      </c>
      <c r="BM775" s="24"/>
      <c r="BN775" s="24"/>
      <c r="BO775" s="24"/>
      <c r="BP775" s="24"/>
      <c r="BR775" s="24">
        <v>46113.446115104169</v>
      </c>
      <c r="BS775" s="24">
        <v>46113.446115104169</v>
      </c>
      <c r="BT775" s="24">
        <v>46113.446488055553</v>
      </c>
      <c r="BU775" s="24">
        <v>46113.446488055553</v>
      </c>
      <c r="BV775">
        <v>1</v>
      </c>
      <c r="BW775" s="24"/>
      <c r="BX775" s="24"/>
      <c r="BY775" s="24"/>
      <c r="BZ775" s="24"/>
      <c r="CB775" s="24"/>
      <c r="CC775" s="24"/>
      <c r="CE775" s="24">
        <v>46141.465454988429</v>
      </c>
      <c r="CF775" s="24">
        <v>46141.465454988429</v>
      </c>
      <c r="CG775">
        <v>1</v>
      </c>
      <c r="CH775" s="24"/>
      <c r="CI775" s="24"/>
      <c r="CJ775" s="24"/>
      <c r="CK775" s="24"/>
      <c r="DE775" s="24"/>
      <c r="DF775" s="24"/>
      <c r="DG775" s="24"/>
      <c r="DH775" s="24"/>
      <c r="DJ775" t="s">
        <v>149</v>
      </c>
      <c r="DK775" t="s">
        <v>149</v>
      </c>
      <c r="DM775">
        <v>44</v>
      </c>
      <c r="DN775">
        <v>43</v>
      </c>
      <c r="DQ775" t="s">
        <v>1001</v>
      </c>
      <c r="DR775" t="s">
        <v>149</v>
      </c>
      <c r="DS775" s="24">
        <v>46160.384426226854</v>
      </c>
    </row>
    <row r="776" spans="1:123" x14ac:dyDescent="0.3">
      <c r="A776" t="s">
        <v>1259</v>
      </c>
      <c r="D776" t="s">
        <v>225</v>
      </c>
      <c r="E776" s="24">
        <v>46085.541655092595</v>
      </c>
      <c r="G776" t="s">
        <v>90</v>
      </c>
      <c r="H776" t="s">
        <v>155</v>
      </c>
      <c r="I776" s="24"/>
      <c r="J776" s="24"/>
      <c r="K776" s="24"/>
      <c r="L776" s="24"/>
      <c r="N776" s="24"/>
      <c r="O776" s="24"/>
      <c r="P776" s="24"/>
      <c r="Q776" s="24"/>
      <c r="V776" s="24"/>
      <c r="W776" s="24"/>
      <c r="X776" s="24"/>
      <c r="Y776" s="24"/>
      <c r="AA776" s="24">
        <v>46087.419361145832</v>
      </c>
      <c r="AB776" s="24">
        <v>46087.419361145832</v>
      </c>
      <c r="AC776" s="24">
        <v>46090.032688738429</v>
      </c>
      <c r="AD776" s="24">
        <v>46090.032688738429</v>
      </c>
      <c r="AE776">
        <v>1</v>
      </c>
      <c r="AF776" s="24">
        <v>46090.032688738429</v>
      </c>
      <c r="AG776" s="24">
        <v>46090.032688738429</v>
      </c>
      <c r="AH776" s="24">
        <v>46094.417434374998</v>
      </c>
      <c r="AI776" s="24">
        <v>46094.417434374998</v>
      </c>
      <c r="AJ776">
        <v>1</v>
      </c>
      <c r="AK776" s="24">
        <v>46094.417434374998</v>
      </c>
      <c r="AL776" s="24">
        <v>46094.417434374998</v>
      </c>
      <c r="AM776" s="24">
        <v>46094.435448009259</v>
      </c>
      <c r="AN776" s="24">
        <v>46094.435448009259</v>
      </c>
      <c r="AO776">
        <v>1</v>
      </c>
      <c r="AP776" s="24"/>
      <c r="AQ776" s="24"/>
      <c r="AR776" s="24">
        <v>46087.419179571756</v>
      </c>
      <c r="AS776" s="24">
        <v>46087.419179571756</v>
      </c>
      <c r="AX776" s="24"/>
      <c r="AY776" s="24"/>
      <c r="AZ776" s="24"/>
      <c r="BA776" s="24"/>
      <c r="BC776" s="24">
        <v>46114.410168657407</v>
      </c>
      <c r="BD776" s="24">
        <v>46114.410168657407</v>
      </c>
      <c r="BE776" s="24">
        <v>46141.465458391205</v>
      </c>
      <c r="BF776" s="24">
        <v>46141.465458391205</v>
      </c>
      <c r="BG776">
        <v>1</v>
      </c>
      <c r="BH776" s="24">
        <v>46087.419179571756</v>
      </c>
      <c r="BI776" s="24">
        <v>46087.419179571756</v>
      </c>
      <c r="BJ776" s="24">
        <v>46087.419361145832</v>
      </c>
      <c r="BK776" s="24">
        <v>46087.419361145832</v>
      </c>
      <c r="BL776">
        <v>1</v>
      </c>
      <c r="BM776" s="24"/>
      <c r="BN776" s="24"/>
      <c r="BO776" s="24"/>
      <c r="BP776" s="24"/>
      <c r="BR776" s="24">
        <v>46094.435448009259</v>
      </c>
      <c r="BS776" s="24">
        <v>46094.435448009259</v>
      </c>
      <c r="BT776" s="24">
        <v>46114.410168657407</v>
      </c>
      <c r="BU776" s="24">
        <v>46114.410168657407</v>
      </c>
      <c r="BV776">
        <v>1</v>
      </c>
      <c r="BW776" s="24"/>
      <c r="BX776" s="24"/>
      <c r="BY776" s="24"/>
      <c r="BZ776" s="24"/>
      <c r="CB776" s="24"/>
      <c r="CC776" s="24"/>
      <c r="CE776" s="24">
        <v>46141.465458391205</v>
      </c>
      <c r="CF776" s="24">
        <v>46141.465458391205</v>
      </c>
      <c r="CG776">
        <v>1</v>
      </c>
      <c r="CH776" s="24"/>
      <c r="CI776" s="24"/>
      <c r="CJ776" s="24"/>
      <c r="CK776" s="24"/>
      <c r="DE776" s="24"/>
      <c r="DF776" s="24"/>
      <c r="DG776" s="24"/>
      <c r="DH776" s="24"/>
      <c r="DJ776" t="s">
        <v>149</v>
      </c>
      <c r="DK776" t="s">
        <v>149</v>
      </c>
      <c r="DM776">
        <v>55</v>
      </c>
      <c r="DN776">
        <v>55</v>
      </c>
      <c r="DQ776" t="s">
        <v>1001</v>
      </c>
      <c r="DR776" t="s">
        <v>149</v>
      </c>
      <c r="DS776" s="24">
        <v>46160.384426226854</v>
      </c>
    </row>
    <row r="777" spans="1:123" x14ac:dyDescent="0.3">
      <c r="A777" t="s">
        <v>1260</v>
      </c>
      <c r="D777" t="s">
        <v>223</v>
      </c>
      <c r="E777" s="24">
        <v>46085.539166666669</v>
      </c>
      <c r="G777" t="s">
        <v>90</v>
      </c>
      <c r="H777" t="s">
        <v>155</v>
      </c>
      <c r="I777" s="24"/>
      <c r="J777" s="24"/>
      <c r="K777" s="24"/>
      <c r="L777" s="24"/>
      <c r="N777" s="24"/>
      <c r="O777" s="24"/>
      <c r="P777" s="24"/>
      <c r="Q777" s="24"/>
      <c r="V777" s="24"/>
      <c r="W777" s="24"/>
      <c r="X777" s="24"/>
      <c r="Y777" s="24"/>
      <c r="AA777" s="24">
        <v>46112.895493252312</v>
      </c>
      <c r="AB777" s="24">
        <v>46112.895493252312</v>
      </c>
      <c r="AC777" s="24">
        <v>46113.728212210648</v>
      </c>
      <c r="AD777" s="24">
        <v>46113.728212210648</v>
      </c>
      <c r="AE777">
        <v>1</v>
      </c>
      <c r="AF777" s="24">
        <v>46113.728212210648</v>
      </c>
      <c r="AG777" s="24">
        <v>46113.728212210648</v>
      </c>
      <c r="AH777" s="24">
        <v>46114.429031377316</v>
      </c>
      <c r="AI777" s="24">
        <v>46114.429031377316</v>
      </c>
      <c r="AJ777">
        <v>1</v>
      </c>
      <c r="AK777" s="24"/>
      <c r="AL777" s="24"/>
      <c r="AM777" s="24"/>
      <c r="AN777" s="24"/>
      <c r="AP777" s="24"/>
      <c r="AQ777" s="24"/>
      <c r="AR777" s="24">
        <v>46099.541430092591</v>
      </c>
      <c r="AS777" s="24">
        <v>46099.541430092591</v>
      </c>
      <c r="AX777" s="24"/>
      <c r="AY777" s="24"/>
      <c r="AZ777" s="24"/>
      <c r="BA777" s="24"/>
      <c r="BC777" s="24"/>
      <c r="BD777" s="24"/>
      <c r="BE777" s="24"/>
      <c r="BF777" s="24"/>
      <c r="BH777" s="24">
        <v>46099.541430092591</v>
      </c>
      <c r="BI777" s="24">
        <v>46099.541430092591</v>
      </c>
      <c r="BJ777" s="24">
        <v>46112.895493252312</v>
      </c>
      <c r="BK777" s="24">
        <v>46112.895493252312</v>
      </c>
      <c r="BL777">
        <v>1</v>
      </c>
      <c r="BM777" s="24"/>
      <c r="BN777" s="24"/>
      <c r="BO777" s="24"/>
      <c r="BP777" s="24"/>
      <c r="BR777" s="24"/>
      <c r="BS777" s="24"/>
      <c r="BT777" s="24"/>
      <c r="BU777" s="24"/>
      <c r="BW777" s="24"/>
      <c r="BX777" s="24"/>
      <c r="BY777" s="24"/>
      <c r="BZ777" s="24"/>
      <c r="CB777" s="24"/>
      <c r="CC777" s="24"/>
      <c r="CE777" s="24">
        <v>46114.429031377316</v>
      </c>
      <c r="CF777" s="24">
        <v>46114.429031377316</v>
      </c>
      <c r="CG777">
        <v>1</v>
      </c>
      <c r="CH777" s="24"/>
      <c r="CI777" s="24"/>
      <c r="CJ777" s="24"/>
      <c r="CK777" s="24"/>
      <c r="DE777" s="24"/>
      <c r="DF777" s="24"/>
      <c r="DG777" s="24"/>
      <c r="DH777" s="24"/>
      <c r="DJ777" t="s">
        <v>149</v>
      </c>
      <c r="DK777" t="s">
        <v>149</v>
      </c>
      <c r="DM777">
        <v>15</v>
      </c>
      <c r="DN777">
        <v>2</v>
      </c>
      <c r="DQ777" t="s">
        <v>1001</v>
      </c>
      <c r="DR777" t="s">
        <v>149</v>
      </c>
      <c r="DS777" s="24">
        <v>46160.384426226854</v>
      </c>
    </row>
    <row r="778" spans="1:123" x14ac:dyDescent="0.3">
      <c r="A778" t="s">
        <v>1261</v>
      </c>
      <c r="D778" t="s">
        <v>223</v>
      </c>
      <c r="E778" s="24">
        <v>46085.446875000001</v>
      </c>
      <c r="G778" t="s">
        <v>90</v>
      </c>
      <c r="H778" t="s">
        <v>155</v>
      </c>
      <c r="I778" s="24"/>
      <c r="J778" s="24"/>
      <c r="K778" s="24"/>
      <c r="L778" s="24"/>
      <c r="N778" s="24"/>
      <c r="O778" s="24"/>
      <c r="P778" s="24"/>
      <c r="Q778" s="24"/>
      <c r="V778" s="24"/>
      <c r="W778" s="24"/>
      <c r="X778" s="24"/>
      <c r="Y778" s="24"/>
      <c r="AA778" s="24">
        <v>46099.42494300926</v>
      </c>
      <c r="AB778" s="24">
        <v>46099.42494300926</v>
      </c>
      <c r="AC778" s="24">
        <v>46099.424998645831</v>
      </c>
      <c r="AD778" s="24">
        <v>46099.424998645831</v>
      </c>
      <c r="AE778">
        <v>1</v>
      </c>
      <c r="AF778" s="24"/>
      <c r="AG778" s="24"/>
      <c r="AH778" s="24"/>
      <c r="AI778" s="24"/>
      <c r="AK778" s="24"/>
      <c r="AL778" s="24"/>
      <c r="AM778" s="24"/>
      <c r="AN778" s="24"/>
      <c r="AP778" s="24"/>
      <c r="AQ778" s="24"/>
      <c r="AR778" s="24">
        <v>46085.529917719905</v>
      </c>
      <c r="AS778" s="24">
        <v>46085.529917719905</v>
      </c>
      <c r="AX778" s="24"/>
      <c r="AY778" s="24"/>
      <c r="AZ778" s="24"/>
      <c r="BA778" s="24"/>
      <c r="BC778" s="24"/>
      <c r="BD778" s="24"/>
      <c r="BE778" s="24"/>
      <c r="BF778" s="24"/>
      <c r="BH778" s="24">
        <v>46085.529917719905</v>
      </c>
      <c r="BI778" s="24">
        <v>46085.529917719905</v>
      </c>
      <c r="BJ778" s="24">
        <v>46099.42494300926</v>
      </c>
      <c r="BK778" s="24">
        <v>46099.42494300926</v>
      </c>
      <c r="BL778">
        <v>1</v>
      </c>
      <c r="BM778" s="24"/>
      <c r="BN778" s="24"/>
      <c r="BO778" s="24"/>
      <c r="BP778" s="24"/>
      <c r="BR778" s="24"/>
      <c r="BS778" s="24"/>
      <c r="BT778" s="24"/>
      <c r="BU778" s="24"/>
      <c r="BW778" s="24"/>
      <c r="BX778" s="24"/>
      <c r="BY778" s="24"/>
      <c r="BZ778" s="24"/>
      <c r="CB778" s="24"/>
      <c r="CC778" s="24"/>
      <c r="CE778" s="24">
        <v>46099.424998645831</v>
      </c>
      <c r="CF778" s="24">
        <v>46099.424998645831</v>
      </c>
      <c r="CG778">
        <v>1</v>
      </c>
      <c r="CH778" s="24"/>
      <c r="CI778" s="24"/>
      <c r="CJ778" s="24"/>
      <c r="CK778" s="24"/>
      <c r="DE778" s="24"/>
      <c r="DF778" s="24"/>
      <c r="DG778" s="24"/>
      <c r="DH778" s="24"/>
      <c r="DJ778" t="s">
        <v>149</v>
      </c>
      <c r="DK778" t="s">
        <v>149</v>
      </c>
      <c r="DM778">
        <v>14</v>
      </c>
      <c r="DN778">
        <v>1</v>
      </c>
      <c r="DQ778" t="s">
        <v>1001</v>
      </c>
      <c r="DR778" t="s">
        <v>149</v>
      </c>
      <c r="DS778" s="24">
        <v>46160.384426226854</v>
      </c>
    </row>
    <row r="779" spans="1:123" x14ac:dyDescent="0.3">
      <c r="A779" t="s">
        <v>1262</v>
      </c>
      <c r="D779" t="s">
        <v>225</v>
      </c>
      <c r="E779" s="24">
        <v>46085.299664351849</v>
      </c>
      <c r="G779" t="s">
        <v>90</v>
      </c>
      <c r="H779" t="s">
        <v>155</v>
      </c>
      <c r="I779" s="24"/>
      <c r="J779" s="24"/>
      <c r="K779" s="24"/>
      <c r="L779" s="24"/>
      <c r="N779" s="24"/>
      <c r="O779" s="24"/>
      <c r="P779" s="24"/>
      <c r="Q779" s="24"/>
      <c r="V779" s="24"/>
      <c r="W779" s="24"/>
      <c r="X779" s="24"/>
      <c r="Y779" s="24"/>
      <c r="AA779" s="24">
        <v>46086.356431493055</v>
      </c>
      <c r="AB779" s="24">
        <v>46086.356431493055</v>
      </c>
      <c r="AC779" s="24">
        <v>46091.281467476852</v>
      </c>
      <c r="AD779" s="24">
        <v>46091.281467476852</v>
      </c>
      <c r="AE779">
        <v>1</v>
      </c>
      <c r="AF779" s="24">
        <v>46091.281467476852</v>
      </c>
      <c r="AG779" s="24">
        <v>46091.281467476852</v>
      </c>
      <c r="AH779" s="24">
        <v>46091.45975858796</v>
      </c>
      <c r="AI779" s="24">
        <v>46091.45975858796</v>
      </c>
      <c r="AJ779">
        <v>1</v>
      </c>
      <c r="AK779" s="24">
        <v>46091.45975858796</v>
      </c>
      <c r="AL779" s="24">
        <v>46091.45975858796</v>
      </c>
      <c r="AM779" s="24">
        <v>46091.459787245367</v>
      </c>
      <c r="AN779" s="24">
        <v>46091.459787245367</v>
      </c>
      <c r="AO779">
        <v>1</v>
      </c>
      <c r="AP779" s="24"/>
      <c r="AQ779" s="24"/>
      <c r="AR779" s="24">
        <v>46085.529407083333</v>
      </c>
      <c r="AS779" s="24">
        <v>46085.529407083333</v>
      </c>
      <c r="AX779" s="24"/>
      <c r="AY779" s="24"/>
      <c r="AZ779" s="24"/>
      <c r="BA779" s="24"/>
      <c r="BC779" s="24">
        <v>46091.459866736113</v>
      </c>
      <c r="BD779" s="24">
        <v>46091.459866736113</v>
      </c>
      <c r="BE779" s="24">
        <v>46114.436680671293</v>
      </c>
      <c r="BF779" s="24">
        <v>46114.436680671293</v>
      </c>
      <c r="BG779">
        <v>1</v>
      </c>
      <c r="BH779" s="24">
        <v>46085.529407083333</v>
      </c>
      <c r="BI779" s="24">
        <v>46085.529407083333</v>
      </c>
      <c r="BJ779" s="24">
        <v>46086.356431493055</v>
      </c>
      <c r="BK779" s="24">
        <v>46086.356431493055</v>
      </c>
      <c r="BL779">
        <v>1</v>
      </c>
      <c r="BM779" s="24"/>
      <c r="BN779" s="24"/>
      <c r="BO779" s="24"/>
      <c r="BP779" s="24"/>
      <c r="BR779" s="24">
        <v>46091.459787245367</v>
      </c>
      <c r="BS779" s="24">
        <v>46091.459787245367</v>
      </c>
      <c r="BT779" s="24">
        <v>46091.459866736113</v>
      </c>
      <c r="BU779" s="24">
        <v>46091.459866736113</v>
      </c>
      <c r="BV779">
        <v>1</v>
      </c>
      <c r="BW779" s="24"/>
      <c r="BX779" s="24"/>
      <c r="BY779" s="24"/>
      <c r="BZ779" s="24"/>
      <c r="CB779" s="24"/>
      <c r="CC779" s="24"/>
      <c r="CE779" s="24">
        <v>46114.436680671293</v>
      </c>
      <c r="CF779" s="24">
        <v>46114.436680671293</v>
      </c>
      <c r="CG779">
        <v>1</v>
      </c>
      <c r="CH779" s="24"/>
      <c r="CI779" s="24"/>
      <c r="CJ779" s="24"/>
      <c r="CK779" s="24"/>
      <c r="DE779" s="24"/>
      <c r="DF779" s="24"/>
      <c r="DG779" s="24"/>
      <c r="DH779" s="24"/>
      <c r="DJ779" t="s">
        <v>149</v>
      </c>
      <c r="DK779" t="s">
        <v>149</v>
      </c>
      <c r="DM779">
        <v>29</v>
      </c>
      <c r="DN779">
        <v>29</v>
      </c>
      <c r="DQ779" t="s">
        <v>1001</v>
      </c>
      <c r="DR779" t="s">
        <v>149</v>
      </c>
      <c r="DS779" s="24">
        <v>46160.384426226854</v>
      </c>
    </row>
    <row r="780" spans="1:123" x14ac:dyDescent="0.3">
      <c r="A780" t="s">
        <v>1263</v>
      </c>
      <c r="D780" t="s">
        <v>225</v>
      </c>
      <c r="E780" s="24">
        <v>46083.485347222224</v>
      </c>
      <c r="G780" t="s">
        <v>107</v>
      </c>
      <c r="H780" t="s">
        <v>154</v>
      </c>
      <c r="I780" s="24"/>
      <c r="J780" s="24"/>
      <c r="K780" s="24"/>
      <c r="L780" s="24"/>
      <c r="N780" s="24"/>
      <c r="O780" s="24"/>
      <c r="P780" s="24"/>
      <c r="Q780" s="24"/>
      <c r="V780" s="24"/>
      <c r="W780" s="24"/>
      <c r="X780" s="24"/>
      <c r="Y780" s="24"/>
      <c r="AA780" s="24"/>
      <c r="AB780" s="24"/>
      <c r="AC780" s="24"/>
      <c r="AD780" s="24"/>
      <c r="AF780" s="24"/>
      <c r="AG780" s="24"/>
      <c r="AH780" s="24"/>
      <c r="AI780" s="24"/>
      <c r="AK780" s="24"/>
      <c r="AL780" s="24"/>
      <c r="AM780" s="24"/>
      <c r="AN780" s="24"/>
      <c r="AP780" s="24"/>
      <c r="AQ780" s="24"/>
      <c r="AR780" s="24">
        <v>46085.531004826385</v>
      </c>
      <c r="AS780" s="24">
        <v>46085.531004826385</v>
      </c>
      <c r="AX780" s="24"/>
      <c r="AY780" s="24"/>
      <c r="AZ780" s="24"/>
      <c r="BA780" s="24"/>
      <c r="BC780" s="24"/>
      <c r="BD780" s="24"/>
      <c r="BE780" s="24"/>
      <c r="BF780" s="24"/>
      <c r="BH780" s="24">
        <v>46085.531004826385</v>
      </c>
      <c r="BI780" s="24">
        <v>46085.531004826385</v>
      </c>
      <c r="BJ780" s="24"/>
      <c r="BK780" s="24"/>
      <c r="BL780">
        <v>1</v>
      </c>
      <c r="BM780" s="24"/>
      <c r="BN780" s="24"/>
      <c r="BO780" s="24"/>
      <c r="BP780" s="24"/>
      <c r="BR780" s="24"/>
      <c r="BS780" s="24"/>
      <c r="BT780" s="24"/>
      <c r="BU780" s="24"/>
      <c r="BW780" s="24"/>
      <c r="BX780" s="24"/>
      <c r="BY780" s="24"/>
      <c r="BZ780" s="24"/>
      <c r="CB780" s="24"/>
      <c r="CC780" s="24"/>
      <c r="CE780" s="24"/>
      <c r="CF780" s="24"/>
      <c r="CH780" s="24"/>
      <c r="CI780" s="24"/>
      <c r="CJ780" s="24"/>
      <c r="CK780" s="24"/>
      <c r="DE780" s="24"/>
      <c r="DF780" s="24"/>
      <c r="DG780" s="24"/>
      <c r="DH780" s="24"/>
      <c r="DJ780" t="s">
        <v>149</v>
      </c>
      <c r="DK780" t="s">
        <v>149</v>
      </c>
      <c r="DP780">
        <v>75</v>
      </c>
      <c r="DQ780" t="s">
        <v>1001</v>
      </c>
      <c r="DR780" t="s">
        <v>149</v>
      </c>
      <c r="DS780" s="24">
        <v>46160.384426226854</v>
      </c>
    </row>
    <row r="781" spans="1:123" x14ac:dyDescent="0.3">
      <c r="A781" t="s">
        <v>1264</v>
      </c>
      <c r="D781" t="s">
        <v>225</v>
      </c>
      <c r="E781" s="24">
        <v>46083.482708333337</v>
      </c>
      <c r="G781" t="s">
        <v>90</v>
      </c>
      <c r="H781" t="s">
        <v>155</v>
      </c>
      <c r="I781" s="24"/>
      <c r="J781" s="24"/>
      <c r="K781" s="24"/>
      <c r="L781" s="24"/>
      <c r="N781" s="24"/>
      <c r="O781" s="24"/>
      <c r="P781" s="24"/>
      <c r="Q781" s="24"/>
      <c r="V781" s="24"/>
      <c r="W781" s="24"/>
      <c r="X781" s="24"/>
      <c r="Y781" s="24"/>
      <c r="AA781" s="24">
        <v>46086.410078020832</v>
      </c>
      <c r="AB781" s="24">
        <v>46086.410078020832</v>
      </c>
      <c r="AC781" s="24">
        <v>46087.348743680559</v>
      </c>
      <c r="AD781" s="24">
        <v>46087.348743680559</v>
      </c>
      <c r="AE781">
        <v>1</v>
      </c>
      <c r="AF781" s="24">
        <v>46087.348743680559</v>
      </c>
      <c r="AG781" s="24">
        <v>46087.348743680559</v>
      </c>
      <c r="AH781" s="24">
        <v>46087.399387395832</v>
      </c>
      <c r="AI781" s="24">
        <v>46087.399387395832</v>
      </c>
      <c r="AJ781">
        <v>1</v>
      </c>
      <c r="AK781" s="24">
        <v>46087.399387395832</v>
      </c>
      <c r="AL781" s="24">
        <v>46087.399387395832</v>
      </c>
      <c r="AM781" s="24">
        <v>46090.384558078702</v>
      </c>
      <c r="AN781" s="24">
        <v>46090.384558078702</v>
      </c>
      <c r="AO781">
        <v>1</v>
      </c>
      <c r="AP781" s="24"/>
      <c r="AQ781" s="24"/>
      <c r="AR781" s="24">
        <v>46085.530508784723</v>
      </c>
      <c r="AS781" s="24">
        <v>46085.530508784723</v>
      </c>
      <c r="AX781" s="24"/>
      <c r="AY781" s="24"/>
      <c r="AZ781" s="24"/>
      <c r="BA781" s="24"/>
      <c r="BC781" s="24">
        <v>46090.384645902777</v>
      </c>
      <c r="BD781" s="24">
        <v>46090.384645902777</v>
      </c>
      <c r="BE781" s="24">
        <v>46141.465461388892</v>
      </c>
      <c r="BF781" s="24">
        <v>46141.465461388892</v>
      </c>
      <c r="BG781">
        <v>1</v>
      </c>
      <c r="BH781" s="24">
        <v>46085.530570509261</v>
      </c>
      <c r="BI781" s="24">
        <v>46085.530570509261</v>
      </c>
      <c r="BJ781" s="24">
        <v>46086.410078020832</v>
      </c>
      <c r="BK781" s="24">
        <v>46086.410078020832</v>
      </c>
      <c r="BL781">
        <v>1</v>
      </c>
      <c r="BM781" s="24"/>
      <c r="BN781" s="24"/>
      <c r="BO781" s="24"/>
      <c r="BP781" s="24"/>
      <c r="BR781" s="24">
        <v>46090.384558078702</v>
      </c>
      <c r="BS781" s="24">
        <v>46090.384558078702</v>
      </c>
      <c r="BT781" s="24">
        <v>46090.384645902777</v>
      </c>
      <c r="BU781" s="24">
        <v>46090.384645902777</v>
      </c>
      <c r="BV781">
        <v>1</v>
      </c>
      <c r="BW781" s="24">
        <v>46085.530508784723</v>
      </c>
      <c r="BX781" s="24">
        <v>46085.530508784723</v>
      </c>
      <c r="BY781" s="24">
        <v>46085.530570509261</v>
      </c>
      <c r="BZ781" s="24">
        <v>46085.530570509261</v>
      </c>
      <c r="CA781">
        <v>1</v>
      </c>
      <c r="CB781" s="24"/>
      <c r="CC781" s="24"/>
      <c r="CE781" s="24">
        <v>46141.465461388892</v>
      </c>
      <c r="CF781" s="24">
        <v>46141.465461388892</v>
      </c>
      <c r="CG781">
        <v>1</v>
      </c>
      <c r="CH781" s="24"/>
      <c r="CI781" s="24"/>
      <c r="CJ781" s="24"/>
      <c r="CK781" s="24"/>
      <c r="DE781" s="24"/>
      <c r="DF781" s="24"/>
      <c r="DG781" s="24"/>
      <c r="DH781" s="24"/>
      <c r="DJ781" t="s">
        <v>149</v>
      </c>
      <c r="DK781" t="s">
        <v>149</v>
      </c>
      <c r="DM781">
        <v>56</v>
      </c>
      <c r="DN781">
        <v>56</v>
      </c>
      <c r="DQ781" t="s">
        <v>1001</v>
      </c>
      <c r="DR781" t="s">
        <v>149</v>
      </c>
      <c r="DS781" s="24">
        <v>46160.384426226854</v>
      </c>
    </row>
    <row r="782" spans="1:123" x14ac:dyDescent="0.3">
      <c r="A782" t="s">
        <v>1265</v>
      </c>
      <c r="D782" t="s">
        <v>223</v>
      </c>
      <c r="E782" s="24">
        <v>46083.470277777778</v>
      </c>
      <c r="G782" t="s">
        <v>107</v>
      </c>
      <c r="H782" t="s">
        <v>154</v>
      </c>
      <c r="I782" s="24"/>
      <c r="J782" s="24"/>
      <c r="K782" s="24"/>
      <c r="L782" s="24"/>
      <c r="N782" s="24"/>
      <c r="O782" s="24"/>
      <c r="P782" s="24"/>
      <c r="Q782" s="24"/>
      <c r="V782" s="24"/>
      <c r="W782" s="24"/>
      <c r="X782" s="24"/>
      <c r="Y782" s="24"/>
      <c r="AA782" s="24"/>
      <c r="AB782" s="24"/>
      <c r="AC782" s="24"/>
      <c r="AD782" s="24"/>
      <c r="AF782" s="24"/>
      <c r="AG782" s="24"/>
      <c r="AH782" s="24"/>
      <c r="AI782" s="24"/>
      <c r="AK782" s="24"/>
      <c r="AL782" s="24"/>
      <c r="AM782" s="24"/>
      <c r="AN782" s="24"/>
      <c r="AP782" s="24"/>
      <c r="AQ782" s="24"/>
      <c r="AR782" s="24">
        <v>46114.446000104166</v>
      </c>
      <c r="AS782" s="24">
        <v>46114.446000104166</v>
      </c>
      <c r="AX782" s="24"/>
      <c r="AY782" s="24"/>
      <c r="AZ782" s="24"/>
      <c r="BA782" s="24"/>
      <c r="BC782" s="24"/>
      <c r="BD782" s="24"/>
      <c r="BE782" s="24"/>
      <c r="BF782" s="24"/>
      <c r="BH782" s="24">
        <v>46127.565538622686</v>
      </c>
      <c r="BI782" s="24">
        <v>46127.565538622686</v>
      </c>
      <c r="BJ782" s="24"/>
      <c r="BK782" s="24"/>
      <c r="BL782">
        <v>1</v>
      </c>
      <c r="BM782" s="24"/>
      <c r="BN782" s="24"/>
      <c r="BO782" s="24"/>
      <c r="BP782" s="24"/>
      <c r="BR782" s="24"/>
      <c r="BS782" s="24"/>
      <c r="BT782" s="24"/>
      <c r="BU782" s="24"/>
      <c r="BW782" s="24">
        <v>46114.446000104166</v>
      </c>
      <c r="BX782" s="24">
        <v>46114.446000104166</v>
      </c>
      <c r="BY782" s="24">
        <v>46127.565538622686</v>
      </c>
      <c r="BZ782" s="24">
        <v>46127.565538622686</v>
      </c>
      <c r="CA782">
        <v>1</v>
      </c>
      <c r="CB782" s="24"/>
      <c r="CC782" s="24"/>
      <c r="CE782" s="24"/>
      <c r="CF782" s="24"/>
      <c r="CH782" s="24"/>
      <c r="CI782" s="24"/>
      <c r="CJ782" s="24"/>
      <c r="CK782" s="24"/>
      <c r="DE782" s="24"/>
      <c r="DF782" s="24"/>
      <c r="DG782" s="24"/>
      <c r="DH782" s="24"/>
      <c r="DJ782" t="s">
        <v>149</v>
      </c>
      <c r="DK782" t="s">
        <v>149</v>
      </c>
      <c r="DP782">
        <v>33</v>
      </c>
      <c r="DQ782" t="s">
        <v>1001</v>
      </c>
      <c r="DR782" t="s">
        <v>149</v>
      </c>
      <c r="DS782" s="24">
        <v>46160.384426226854</v>
      </c>
    </row>
    <row r="783" spans="1:123" x14ac:dyDescent="0.3">
      <c r="A783" t="s">
        <v>1266</v>
      </c>
      <c r="D783" t="s">
        <v>225</v>
      </c>
      <c r="E783" s="24">
        <v>46083.463333333333</v>
      </c>
      <c r="G783" t="s">
        <v>90</v>
      </c>
      <c r="H783" t="s">
        <v>155</v>
      </c>
      <c r="I783" s="24"/>
      <c r="J783" s="24"/>
      <c r="K783" s="24"/>
      <c r="L783" s="24"/>
      <c r="N783" s="24"/>
      <c r="O783" s="24"/>
      <c r="P783" s="24"/>
      <c r="Q783" s="24"/>
      <c r="V783" s="24"/>
      <c r="W783" s="24"/>
      <c r="X783" s="24"/>
      <c r="Y783" s="24"/>
      <c r="AA783" s="24">
        <v>46101.427837060182</v>
      </c>
      <c r="AB783" s="24">
        <v>46101.427837060182</v>
      </c>
      <c r="AC783" s="24">
        <v>46107.610822048613</v>
      </c>
      <c r="AD783" s="24">
        <v>46107.610822048613</v>
      </c>
      <c r="AE783">
        <v>1</v>
      </c>
      <c r="AF783" s="24">
        <v>46107.610822048613</v>
      </c>
      <c r="AG783" s="24">
        <v>46107.610822048613</v>
      </c>
      <c r="AH783" s="24">
        <v>46111.913012870369</v>
      </c>
      <c r="AI783" s="24">
        <v>46111.913012870369</v>
      </c>
      <c r="AJ783">
        <v>1</v>
      </c>
      <c r="AK783" s="24">
        <v>46111.913012870369</v>
      </c>
      <c r="AL783" s="24">
        <v>46111.913012870369</v>
      </c>
      <c r="AM783" s="24">
        <v>46112.442527384257</v>
      </c>
      <c r="AN783" s="24">
        <v>46112.442527384257</v>
      </c>
      <c r="AO783">
        <v>1</v>
      </c>
      <c r="AP783" s="24"/>
      <c r="AQ783" s="24"/>
      <c r="AR783" s="24">
        <v>46085.53027599537</v>
      </c>
      <c r="AS783" s="24">
        <v>46085.53027599537</v>
      </c>
      <c r="AX783" s="24"/>
      <c r="AY783" s="24"/>
      <c r="AZ783" s="24"/>
      <c r="BA783" s="24"/>
      <c r="BC783" s="24">
        <v>46112.443415300928</v>
      </c>
      <c r="BD783" s="24">
        <v>46112.443415300928</v>
      </c>
      <c r="BE783" s="24">
        <v>46141.465462395834</v>
      </c>
      <c r="BF783" s="24">
        <v>46141.465462395834</v>
      </c>
      <c r="BG783">
        <v>1</v>
      </c>
      <c r="BH783" s="24">
        <v>46085.53027599537</v>
      </c>
      <c r="BI783" s="24">
        <v>46085.53027599537</v>
      </c>
      <c r="BJ783" s="24">
        <v>46101.427837060182</v>
      </c>
      <c r="BK783" s="24">
        <v>46101.427837060182</v>
      </c>
      <c r="BL783">
        <v>1</v>
      </c>
      <c r="BM783" s="24"/>
      <c r="BN783" s="24"/>
      <c r="BO783" s="24"/>
      <c r="BP783" s="24"/>
      <c r="BR783" s="24">
        <v>46112.442527384257</v>
      </c>
      <c r="BS783" s="24">
        <v>46112.442527384257</v>
      </c>
      <c r="BT783" s="24">
        <v>46112.443415300928</v>
      </c>
      <c r="BU783" s="24">
        <v>46112.443415300928</v>
      </c>
      <c r="BV783">
        <v>1</v>
      </c>
      <c r="BW783" s="24"/>
      <c r="BX783" s="24"/>
      <c r="BY783" s="24"/>
      <c r="BZ783" s="24"/>
      <c r="CB783" s="24"/>
      <c r="CC783" s="24"/>
      <c r="CE783" s="24">
        <v>46141.465462395834</v>
      </c>
      <c r="CF783" s="24">
        <v>46141.465462395834</v>
      </c>
      <c r="CG783">
        <v>1</v>
      </c>
      <c r="CH783" s="24"/>
      <c r="CI783" s="24"/>
      <c r="CJ783" s="24"/>
      <c r="CK783" s="24"/>
      <c r="DE783" s="24"/>
      <c r="DF783" s="24"/>
      <c r="DG783" s="24"/>
      <c r="DH783" s="24"/>
      <c r="DJ783" t="s">
        <v>149</v>
      </c>
      <c r="DK783" t="s">
        <v>149</v>
      </c>
      <c r="DM783">
        <v>56</v>
      </c>
      <c r="DN783">
        <v>41</v>
      </c>
      <c r="DQ783" t="s">
        <v>1001</v>
      </c>
      <c r="DR783" t="s">
        <v>149</v>
      </c>
      <c r="DS783" s="24">
        <v>46160.384426226854</v>
      </c>
    </row>
    <row r="784" spans="1:123" x14ac:dyDescent="0.3">
      <c r="A784" t="s">
        <v>1267</v>
      </c>
      <c r="D784" t="s">
        <v>225</v>
      </c>
      <c r="E784" s="24">
        <v>46083.460810185185</v>
      </c>
      <c r="G784" t="s">
        <v>90</v>
      </c>
      <c r="H784" t="s">
        <v>155</v>
      </c>
      <c r="I784" s="24"/>
      <c r="J784" s="24"/>
      <c r="K784" s="24"/>
      <c r="L784" s="24"/>
      <c r="N784" s="24"/>
      <c r="O784" s="24"/>
      <c r="P784" s="24"/>
      <c r="Q784" s="24"/>
      <c r="V784" s="24"/>
      <c r="W784" s="24"/>
      <c r="X784" s="24"/>
      <c r="Y784" s="24"/>
      <c r="AA784" s="24">
        <v>46091.276806851849</v>
      </c>
      <c r="AB784" s="24">
        <v>46091.276806851849</v>
      </c>
      <c r="AC784" s="24">
        <v>46091.341833344908</v>
      </c>
      <c r="AD784" s="24">
        <v>46091.341833344908</v>
      </c>
      <c r="AE784">
        <v>1</v>
      </c>
      <c r="AF784" s="24">
        <v>46091.341833344908</v>
      </c>
      <c r="AG784" s="24">
        <v>46091.341833344908</v>
      </c>
      <c r="AH784" s="24">
        <v>46091.643930520833</v>
      </c>
      <c r="AI784" s="24">
        <v>46091.643930520833</v>
      </c>
      <c r="AJ784">
        <v>1</v>
      </c>
      <c r="AK784" s="24">
        <v>46091.643930520833</v>
      </c>
      <c r="AL784" s="24">
        <v>46091.643930520833</v>
      </c>
      <c r="AM784" s="24">
        <v>46091.6448662037</v>
      </c>
      <c r="AN784" s="24">
        <v>46091.6448662037</v>
      </c>
      <c r="AO784">
        <v>1</v>
      </c>
      <c r="AP784" s="24"/>
      <c r="AQ784" s="24"/>
      <c r="AR784" s="24">
        <v>46085.529696481484</v>
      </c>
      <c r="AS784" s="24">
        <v>46085.529696481484</v>
      </c>
      <c r="AX784" s="24"/>
      <c r="AY784" s="24"/>
      <c r="AZ784" s="24"/>
      <c r="BA784" s="24"/>
      <c r="BC784" s="24">
        <v>46094.625078263889</v>
      </c>
      <c r="BD784" s="24">
        <v>46094.625078263889</v>
      </c>
      <c r="BE784" s="24">
        <v>46114.436680937499</v>
      </c>
      <c r="BF784" s="24">
        <v>46114.436680937499</v>
      </c>
      <c r="BG784">
        <v>1</v>
      </c>
      <c r="BH784" s="24">
        <v>46085.529696481484</v>
      </c>
      <c r="BI784" s="24">
        <v>46085.529696481484</v>
      </c>
      <c r="BJ784" s="24">
        <v>46091.276806851849</v>
      </c>
      <c r="BK784" s="24">
        <v>46091.276806851849</v>
      </c>
      <c r="BL784">
        <v>1</v>
      </c>
      <c r="BM784" s="24"/>
      <c r="BN784" s="24"/>
      <c r="BO784" s="24"/>
      <c r="BP784" s="24"/>
      <c r="BR784" s="24">
        <v>46091.6448662037</v>
      </c>
      <c r="BS784" s="24">
        <v>46091.6448662037</v>
      </c>
      <c r="BT784" s="24">
        <v>46094.625078263889</v>
      </c>
      <c r="BU784" s="24">
        <v>46094.625078263889</v>
      </c>
      <c r="BV784">
        <v>1</v>
      </c>
      <c r="BW784" s="24"/>
      <c r="BX784" s="24"/>
      <c r="BY784" s="24"/>
      <c r="BZ784" s="24"/>
      <c r="CB784" s="24"/>
      <c r="CC784" s="24"/>
      <c r="CE784" s="24">
        <v>46114.436680937499</v>
      </c>
      <c r="CF784" s="24">
        <v>46114.436680937499</v>
      </c>
      <c r="CG784">
        <v>1</v>
      </c>
      <c r="CH784" s="24"/>
      <c r="CI784" s="24"/>
      <c r="CJ784" s="24"/>
      <c r="CK784" s="24"/>
      <c r="DE784" s="24"/>
      <c r="DF784" s="24"/>
      <c r="DG784" s="24"/>
      <c r="DH784" s="24"/>
      <c r="DJ784" t="s">
        <v>149</v>
      </c>
      <c r="DK784" t="s">
        <v>149</v>
      </c>
      <c r="DM784">
        <v>29</v>
      </c>
      <c r="DN784">
        <v>24</v>
      </c>
      <c r="DQ784" t="s">
        <v>1001</v>
      </c>
      <c r="DR784" t="s">
        <v>149</v>
      </c>
      <c r="DS784" s="24">
        <v>46160.384426226854</v>
      </c>
    </row>
    <row r="785" spans="1:123" x14ac:dyDescent="0.3">
      <c r="A785" t="s">
        <v>1268</v>
      </c>
      <c r="D785" t="s">
        <v>225</v>
      </c>
      <c r="E785" s="24">
        <v>46083.392083333332</v>
      </c>
      <c r="G785" t="s">
        <v>107</v>
      </c>
      <c r="H785" t="s">
        <v>154</v>
      </c>
      <c r="I785" s="24"/>
      <c r="J785" s="24"/>
      <c r="K785" s="24"/>
      <c r="L785" s="24"/>
      <c r="N785" s="24"/>
      <c r="O785" s="24"/>
      <c r="P785" s="24"/>
      <c r="Q785" s="24"/>
      <c r="V785" s="24"/>
      <c r="W785" s="24"/>
      <c r="X785" s="24"/>
      <c r="Y785" s="24"/>
      <c r="AA785" s="24"/>
      <c r="AB785" s="24"/>
      <c r="AC785" s="24"/>
      <c r="AD785" s="24"/>
      <c r="AF785" s="24"/>
      <c r="AG785" s="24"/>
      <c r="AH785" s="24"/>
      <c r="AI785" s="24"/>
      <c r="AK785" s="24"/>
      <c r="AL785" s="24"/>
      <c r="AM785" s="24"/>
      <c r="AN785" s="24"/>
      <c r="AP785" s="24"/>
      <c r="AQ785" s="24"/>
      <c r="AR785" s="24">
        <v>46085.530412037035</v>
      </c>
      <c r="AS785" s="24">
        <v>46085.530412037035</v>
      </c>
      <c r="AX785" s="24"/>
      <c r="AY785" s="24"/>
      <c r="AZ785" s="24"/>
      <c r="BA785" s="24"/>
      <c r="BC785" s="24"/>
      <c r="BD785" s="24"/>
      <c r="BE785" s="24"/>
      <c r="BF785" s="24"/>
      <c r="BH785" s="24">
        <v>46085.530412037035</v>
      </c>
      <c r="BI785" s="24">
        <v>46085.530412037035</v>
      </c>
      <c r="BJ785" s="24"/>
      <c r="BK785" s="24"/>
      <c r="BL785">
        <v>1</v>
      </c>
      <c r="BM785" s="24"/>
      <c r="BN785" s="24"/>
      <c r="BO785" s="24"/>
      <c r="BP785" s="24"/>
      <c r="BR785" s="24"/>
      <c r="BS785" s="24"/>
      <c r="BT785" s="24"/>
      <c r="BU785" s="24"/>
      <c r="BW785" s="24"/>
      <c r="BX785" s="24"/>
      <c r="BY785" s="24"/>
      <c r="BZ785" s="24"/>
      <c r="CB785" s="24"/>
      <c r="CC785" s="24"/>
      <c r="CE785" s="24"/>
      <c r="CF785" s="24"/>
      <c r="CH785" s="24"/>
      <c r="CI785" s="24"/>
      <c r="CJ785" s="24"/>
      <c r="CK785" s="24"/>
      <c r="DE785" s="24"/>
      <c r="DF785" s="24"/>
      <c r="DG785" s="24"/>
      <c r="DH785" s="24"/>
      <c r="DJ785" t="s">
        <v>149</v>
      </c>
      <c r="DK785" t="s">
        <v>149</v>
      </c>
      <c r="DP785">
        <v>75</v>
      </c>
      <c r="DQ785" t="s">
        <v>1001</v>
      </c>
      <c r="DR785" t="s">
        <v>149</v>
      </c>
      <c r="DS785" s="24">
        <v>46160.384426226854</v>
      </c>
    </row>
    <row r="786" spans="1:123" x14ac:dyDescent="0.3">
      <c r="A786" t="s">
        <v>1269</v>
      </c>
      <c r="D786" t="s">
        <v>225</v>
      </c>
      <c r="E786" s="24">
        <v>46079.419675925928</v>
      </c>
      <c r="G786" t="s">
        <v>102</v>
      </c>
      <c r="H786" t="s">
        <v>154</v>
      </c>
      <c r="I786" s="24"/>
      <c r="J786" s="24"/>
      <c r="K786" s="24"/>
      <c r="L786" s="24"/>
      <c r="N786" s="24"/>
      <c r="O786" s="24"/>
      <c r="P786" s="24"/>
      <c r="Q786" s="24"/>
      <c r="V786" s="24"/>
      <c r="W786" s="24"/>
      <c r="X786" s="24"/>
      <c r="Y786" s="24"/>
      <c r="AA786" s="24"/>
      <c r="AB786" s="24"/>
      <c r="AC786" s="24"/>
      <c r="AD786" s="24"/>
      <c r="AF786" s="24"/>
      <c r="AG786" s="24"/>
      <c r="AH786" s="24"/>
      <c r="AI786" s="24"/>
      <c r="AK786" s="24"/>
      <c r="AL786" s="24"/>
      <c r="AM786" s="24"/>
      <c r="AN786" s="24"/>
      <c r="AP786" s="24"/>
      <c r="AQ786" s="24"/>
      <c r="AR786" s="24"/>
      <c r="AS786" s="24"/>
      <c r="AX786" s="24"/>
      <c r="AY786" s="24"/>
      <c r="AZ786" s="24"/>
      <c r="BA786" s="24"/>
      <c r="BC786" s="24"/>
      <c r="BD786" s="24"/>
      <c r="BE786" s="24"/>
      <c r="BF786" s="24"/>
      <c r="BH786" s="24"/>
      <c r="BI786" s="24"/>
      <c r="BJ786" s="24"/>
      <c r="BK786" s="24"/>
      <c r="BM786" s="24"/>
      <c r="BN786" s="24"/>
      <c r="BO786" s="24"/>
      <c r="BP786" s="24"/>
      <c r="BR786" s="24"/>
      <c r="BS786" s="24"/>
      <c r="BT786" s="24"/>
      <c r="BU786" s="24"/>
      <c r="BW786" s="24"/>
      <c r="BX786" s="24"/>
      <c r="BY786" s="24"/>
      <c r="BZ786" s="24"/>
      <c r="CB786" s="24"/>
      <c r="CC786" s="24"/>
      <c r="CE786" s="24"/>
      <c r="CF786" s="24"/>
      <c r="CH786" s="24"/>
      <c r="CI786" s="24"/>
      <c r="CJ786" s="24"/>
      <c r="CK786" s="24"/>
      <c r="DE786" s="24"/>
      <c r="DF786" s="24"/>
      <c r="DG786" s="24"/>
      <c r="DH786" s="24"/>
      <c r="DJ786" t="s">
        <v>149</v>
      </c>
      <c r="DK786" t="s">
        <v>149</v>
      </c>
      <c r="DQ786" t="s">
        <v>1001</v>
      </c>
      <c r="DR786" t="s">
        <v>149</v>
      </c>
      <c r="DS786" s="24">
        <v>46160.384426226854</v>
      </c>
    </row>
    <row r="787" spans="1:123" x14ac:dyDescent="0.3">
      <c r="A787" t="s">
        <v>1270</v>
      </c>
      <c r="D787" t="s">
        <v>223</v>
      </c>
      <c r="E787" s="24">
        <v>46077.559131944443</v>
      </c>
      <c r="G787" t="s">
        <v>107</v>
      </c>
      <c r="H787" t="s">
        <v>154</v>
      </c>
      <c r="I787" s="24"/>
      <c r="J787" s="24"/>
      <c r="K787" s="24"/>
      <c r="L787" s="24"/>
      <c r="N787" s="24"/>
      <c r="O787" s="24"/>
      <c r="P787" s="24"/>
      <c r="Q787" s="24"/>
      <c r="V787" s="24"/>
      <c r="W787" s="24"/>
      <c r="X787" s="24"/>
      <c r="Y787" s="24"/>
      <c r="AA787" s="24"/>
      <c r="AB787" s="24"/>
      <c r="AC787" s="24"/>
      <c r="AD787" s="24"/>
      <c r="AF787" s="24"/>
      <c r="AG787" s="24"/>
      <c r="AH787" s="24"/>
      <c r="AI787" s="24"/>
      <c r="AK787" s="24"/>
      <c r="AL787" s="24"/>
      <c r="AM787" s="24"/>
      <c r="AN787" s="24"/>
      <c r="AP787" s="24"/>
      <c r="AQ787" s="24"/>
      <c r="AR787" s="24">
        <v>46085.548417372687</v>
      </c>
      <c r="AS787" s="24">
        <v>46085.548417372687</v>
      </c>
      <c r="AX787" s="24"/>
      <c r="AY787" s="24"/>
      <c r="AZ787" s="24"/>
      <c r="BA787" s="24"/>
      <c r="BC787" s="24"/>
      <c r="BD787" s="24"/>
      <c r="BE787" s="24"/>
      <c r="BF787" s="24"/>
      <c r="BH787" s="24">
        <v>46085.548417372687</v>
      </c>
      <c r="BI787" s="24">
        <v>46085.548417372687</v>
      </c>
      <c r="BJ787" s="24"/>
      <c r="BK787" s="24"/>
      <c r="BL787">
        <v>1</v>
      </c>
      <c r="BM787" s="24"/>
      <c r="BN787" s="24"/>
      <c r="BO787" s="24"/>
      <c r="BP787" s="24"/>
      <c r="BR787" s="24"/>
      <c r="BS787" s="24"/>
      <c r="BT787" s="24"/>
      <c r="BU787" s="24"/>
      <c r="BW787" s="24"/>
      <c r="BX787" s="24"/>
      <c r="BY787" s="24"/>
      <c r="BZ787" s="24"/>
      <c r="CB787" s="24"/>
      <c r="CC787" s="24"/>
      <c r="CE787" s="24"/>
      <c r="CF787" s="24"/>
      <c r="CH787" s="24"/>
      <c r="CI787" s="24"/>
      <c r="CJ787" s="24"/>
      <c r="CK787" s="24"/>
      <c r="DE787" s="24"/>
      <c r="DF787" s="24"/>
      <c r="DG787" s="24"/>
      <c r="DH787" s="24"/>
      <c r="DJ787" t="s">
        <v>149</v>
      </c>
      <c r="DK787" t="s">
        <v>149</v>
      </c>
      <c r="DP787">
        <v>75</v>
      </c>
      <c r="DQ787" t="s">
        <v>1001</v>
      </c>
      <c r="DR787" t="s">
        <v>149</v>
      </c>
      <c r="DS787" s="24">
        <v>46160.384426226854</v>
      </c>
    </row>
    <row r="788" spans="1:123" x14ac:dyDescent="0.3">
      <c r="A788" t="s">
        <v>1271</v>
      </c>
      <c r="D788" t="s">
        <v>225</v>
      </c>
      <c r="E788" s="24">
        <v>46071.489085648151</v>
      </c>
      <c r="G788" t="s">
        <v>102</v>
      </c>
      <c r="H788" t="s">
        <v>154</v>
      </c>
      <c r="I788" s="24"/>
      <c r="J788" s="24"/>
      <c r="K788" s="24"/>
      <c r="L788" s="24"/>
      <c r="N788" s="24"/>
      <c r="O788" s="24"/>
      <c r="P788" s="24"/>
      <c r="Q788" s="24"/>
      <c r="V788" s="24"/>
      <c r="W788" s="24"/>
      <c r="X788" s="24"/>
      <c r="Y788" s="24"/>
      <c r="AA788" s="24"/>
      <c r="AB788" s="24"/>
      <c r="AC788" s="24"/>
      <c r="AD788" s="24"/>
      <c r="AF788" s="24"/>
      <c r="AG788" s="24"/>
      <c r="AH788" s="24"/>
      <c r="AI788" s="24"/>
      <c r="AK788" s="24"/>
      <c r="AL788" s="24"/>
      <c r="AM788" s="24"/>
      <c r="AN788" s="24"/>
      <c r="AP788" s="24"/>
      <c r="AQ788" s="24"/>
      <c r="AR788" s="24"/>
      <c r="AS788" s="24"/>
      <c r="AX788" s="24"/>
      <c r="AY788" s="24"/>
      <c r="AZ788" s="24"/>
      <c r="BA788" s="24"/>
      <c r="BC788" s="24"/>
      <c r="BD788" s="24"/>
      <c r="BE788" s="24"/>
      <c r="BF788" s="24"/>
      <c r="BH788" s="24"/>
      <c r="BI788" s="24"/>
      <c r="BJ788" s="24"/>
      <c r="BK788" s="24"/>
      <c r="BM788" s="24"/>
      <c r="BN788" s="24"/>
      <c r="BO788" s="24"/>
      <c r="BP788" s="24"/>
      <c r="BR788" s="24"/>
      <c r="BS788" s="24"/>
      <c r="BT788" s="24"/>
      <c r="BU788" s="24"/>
      <c r="BW788" s="24"/>
      <c r="BX788" s="24"/>
      <c r="BY788" s="24"/>
      <c r="BZ788" s="24"/>
      <c r="CB788" s="24"/>
      <c r="CC788" s="24"/>
      <c r="CE788" s="24"/>
      <c r="CF788" s="24"/>
      <c r="CH788" s="24"/>
      <c r="CI788" s="24"/>
      <c r="CJ788" s="24"/>
      <c r="CK788" s="24"/>
      <c r="DE788" s="24"/>
      <c r="DF788" s="24"/>
      <c r="DG788" s="24"/>
      <c r="DH788" s="24"/>
      <c r="DJ788" t="s">
        <v>149</v>
      </c>
      <c r="DK788" t="s">
        <v>149</v>
      </c>
      <c r="DQ788" t="s">
        <v>1001</v>
      </c>
      <c r="DR788" t="s">
        <v>149</v>
      </c>
      <c r="DS788" s="24">
        <v>46160.384426226854</v>
      </c>
    </row>
    <row r="789" spans="1:123" x14ac:dyDescent="0.3">
      <c r="A789" t="s">
        <v>1272</v>
      </c>
      <c r="D789" t="s">
        <v>223</v>
      </c>
      <c r="E789" s="24">
        <v>46071.483796296299</v>
      </c>
      <c r="G789" t="s">
        <v>90</v>
      </c>
      <c r="H789" t="s">
        <v>155</v>
      </c>
      <c r="I789" s="24"/>
      <c r="J789" s="24"/>
      <c r="K789" s="24"/>
      <c r="L789" s="24"/>
      <c r="N789" s="24"/>
      <c r="O789" s="24"/>
      <c r="P789" s="24"/>
      <c r="Q789" s="24"/>
      <c r="V789" s="24"/>
      <c r="W789" s="24"/>
      <c r="X789" s="24"/>
      <c r="Y789" s="24"/>
      <c r="AA789" s="24">
        <v>46076.626758981482</v>
      </c>
      <c r="AB789" s="24">
        <v>46076.626758981482</v>
      </c>
      <c r="AC789" s="24">
        <v>46076.626964699077</v>
      </c>
      <c r="AD789" s="24">
        <v>46076.626964699077</v>
      </c>
      <c r="AE789">
        <v>1</v>
      </c>
      <c r="AF789" s="24">
        <v>46076.626964699077</v>
      </c>
      <c r="AG789" s="24">
        <v>46076.626964699077</v>
      </c>
      <c r="AH789" s="24">
        <v>46076.627007071758</v>
      </c>
      <c r="AI789" s="24">
        <v>46076.627007071758</v>
      </c>
      <c r="AJ789">
        <v>1</v>
      </c>
      <c r="AK789" s="24"/>
      <c r="AL789" s="24"/>
      <c r="AM789" s="24"/>
      <c r="AN789" s="24"/>
      <c r="AP789" s="24"/>
      <c r="AQ789" s="24"/>
      <c r="AR789" s="24">
        <v>46071.48828391204</v>
      </c>
      <c r="AS789" s="24">
        <v>46071.48828391204</v>
      </c>
      <c r="AX789" s="24"/>
      <c r="AY789" s="24"/>
      <c r="AZ789" s="24"/>
      <c r="BA789" s="24"/>
      <c r="BC789" s="24"/>
      <c r="BD789" s="24"/>
      <c r="BE789" s="24"/>
      <c r="BF789" s="24"/>
      <c r="BH789" s="24">
        <v>46071.48828391204</v>
      </c>
      <c r="BI789" s="24">
        <v>46071.48828391204</v>
      </c>
      <c r="BJ789" s="24">
        <v>46076.626758981482</v>
      </c>
      <c r="BK789" s="24">
        <v>46076.626758981482</v>
      </c>
      <c r="BL789">
        <v>1</v>
      </c>
      <c r="BM789" s="24"/>
      <c r="BN789" s="24"/>
      <c r="BO789" s="24"/>
      <c r="BP789" s="24"/>
      <c r="BR789" s="24">
        <v>46076.627007071758</v>
      </c>
      <c r="BS789" s="24">
        <v>46076.627007071758</v>
      </c>
      <c r="BT789" s="24">
        <v>46076.627036296297</v>
      </c>
      <c r="BU789" s="24">
        <v>46076.627036296297</v>
      </c>
      <c r="BV789">
        <v>1</v>
      </c>
      <c r="BW789" s="24"/>
      <c r="BX789" s="24"/>
      <c r="BY789" s="24"/>
      <c r="BZ789" s="24"/>
      <c r="CB789" s="24"/>
      <c r="CC789" s="24"/>
      <c r="CE789" s="24">
        <v>46076.627036296297</v>
      </c>
      <c r="CF789" s="24">
        <v>46076.627036296297</v>
      </c>
      <c r="CG789">
        <v>1</v>
      </c>
      <c r="CH789" s="24"/>
      <c r="CI789" s="24"/>
      <c r="CJ789" s="24"/>
      <c r="CK789" s="24"/>
      <c r="DE789" s="24"/>
      <c r="DF789" s="24"/>
      <c r="DG789" s="24"/>
      <c r="DH789" s="24"/>
      <c r="DJ789" t="s">
        <v>149</v>
      </c>
      <c r="DK789" t="s">
        <v>149</v>
      </c>
      <c r="DM789">
        <v>6</v>
      </c>
      <c r="DN789">
        <v>1</v>
      </c>
      <c r="DQ789" t="s">
        <v>1001</v>
      </c>
      <c r="DR789" t="s">
        <v>149</v>
      </c>
      <c r="DS789" s="24">
        <v>46160.384426226854</v>
      </c>
    </row>
    <row r="790" spans="1:123" x14ac:dyDescent="0.3">
      <c r="A790" t="s">
        <v>1273</v>
      </c>
      <c r="D790" t="s">
        <v>225</v>
      </c>
      <c r="E790" s="24">
        <v>46071.480775462966</v>
      </c>
      <c r="G790" t="s">
        <v>90</v>
      </c>
      <c r="H790" t="s">
        <v>155</v>
      </c>
      <c r="I790" s="24"/>
      <c r="J790" s="24"/>
      <c r="K790" s="24"/>
      <c r="L790" s="24"/>
      <c r="N790" s="24"/>
      <c r="O790" s="24"/>
      <c r="P790" s="24"/>
      <c r="Q790" s="24"/>
      <c r="V790" s="24"/>
      <c r="W790" s="24"/>
      <c r="X790" s="24"/>
      <c r="Y790" s="24"/>
      <c r="AA790" s="24">
        <v>46077.417899629632</v>
      </c>
      <c r="AB790" s="24">
        <v>46077.417899629632</v>
      </c>
      <c r="AC790" s="24">
        <v>46078.273425844905</v>
      </c>
      <c r="AD790" s="24">
        <v>46078.273425844905</v>
      </c>
      <c r="AE790">
        <v>1</v>
      </c>
      <c r="AF790" s="24">
        <v>46078.273425844905</v>
      </c>
      <c r="AG790" s="24">
        <v>46078.273425844905</v>
      </c>
      <c r="AH790" s="24">
        <v>46080.580940671294</v>
      </c>
      <c r="AI790" s="24">
        <v>46080.580940671294</v>
      </c>
      <c r="AJ790">
        <v>1</v>
      </c>
      <c r="AK790" s="24">
        <v>46080.580940671294</v>
      </c>
      <c r="AL790" s="24">
        <v>46080.580940671294</v>
      </c>
      <c r="AM790" s="24">
        <v>46080.589208819445</v>
      </c>
      <c r="AN790" s="24">
        <v>46080.589208819445</v>
      </c>
      <c r="AO790">
        <v>1</v>
      </c>
      <c r="AP790" s="24"/>
      <c r="AQ790" s="24"/>
      <c r="AR790" s="24"/>
      <c r="AS790" s="24"/>
      <c r="AX790" s="24"/>
      <c r="AY790" s="24"/>
      <c r="AZ790" s="24"/>
      <c r="BA790" s="24"/>
      <c r="BC790" s="24">
        <v>46080.589339930557</v>
      </c>
      <c r="BD790" s="24">
        <v>46080.589339930557</v>
      </c>
      <c r="BE790" s="24">
        <v>46094.618379837964</v>
      </c>
      <c r="BF790" s="24">
        <v>46094.618379837964</v>
      </c>
      <c r="BG790">
        <v>1</v>
      </c>
      <c r="BH790" s="24"/>
      <c r="BI790" s="24"/>
      <c r="BJ790" s="24"/>
      <c r="BK790" s="24"/>
      <c r="BM790" s="24"/>
      <c r="BN790" s="24"/>
      <c r="BO790" s="24"/>
      <c r="BP790" s="24"/>
      <c r="BR790" s="24">
        <v>46080.589208819445</v>
      </c>
      <c r="BS790" s="24">
        <v>46080.589208819445</v>
      </c>
      <c r="BT790" s="24">
        <v>46080.589339930557</v>
      </c>
      <c r="BU790" s="24">
        <v>46080.589339930557</v>
      </c>
      <c r="BV790">
        <v>1</v>
      </c>
      <c r="BW790" s="24"/>
      <c r="BX790" s="24"/>
      <c r="BY790" s="24"/>
      <c r="BZ790" s="24"/>
      <c r="CB790" s="24"/>
      <c r="CC790" s="24"/>
      <c r="CE790" s="24">
        <v>46094.618379837964</v>
      </c>
      <c r="CF790" s="24">
        <v>46094.618379837964</v>
      </c>
      <c r="CG790">
        <v>1</v>
      </c>
      <c r="CH790" s="24"/>
      <c r="CI790" s="24"/>
      <c r="CJ790" s="24"/>
      <c r="CK790" s="24"/>
      <c r="DE790" s="24"/>
      <c r="DF790" s="24"/>
      <c r="DG790" s="24"/>
      <c r="DH790" s="24"/>
      <c r="DJ790" t="s">
        <v>149</v>
      </c>
      <c r="DK790" t="s">
        <v>149</v>
      </c>
      <c r="DN790">
        <v>18</v>
      </c>
      <c r="DQ790" t="s">
        <v>1001</v>
      </c>
      <c r="DR790" t="s">
        <v>149</v>
      </c>
      <c r="DS790" s="24">
        <v>46160.384426226854</v>
      </c>
    </row>
    <row r="791" spans="1:123" x14ac:dyDescent="0.3">
      <c r="A791" t="s">
        <v>1274</v>
      </c>
      <c r="D791" t="s">
        <v>223</v>
      </c>
      <c r="E791" s="24">
        <v>46071.48033564815</v>
      </c>
      <c r="G791" t="s">
        <v>90</v>
      </c>
      <c r="H791" t="s">
        <v>155</v>
      </c>
      <c r="I791" s="24"/>
      <c r="J791" s="24"/>
      <c r="K791" s="24"/>
      <c r="L791" s="24"/>
      <c r="N791" s="24"/>
      <c r="O791" s="24"/>
      <c r="P791" s="24"/>
      <c r="Q791" s="24"/>
      <c r="V791" s="24"/>
      <c r="W791" s="24"/>
      <c r="X791" s="24"/>
      <c r="Y791" s="24"/>
      <c r="AA791" s="24">
        <v>46080.606743009259</v>
      </c>
      <c r="AB791" s="24">
        <v>46080.606743009259</v>
      </c>
      <c r="AC791" s="24">
        <v>46086.38426003472</v>
      </c>
      <c r="AD791" s="24">
        <v>46086.38426003472</v>
      </c>
      <c r="AE791">
        <v>1</v>
      </c>
      <c r="AF791" s="24">
        <v>46086.38426003472</v>
      </c>
      <c r="AG791" s="24">
        <v>46086.38426003472</v>
      </c>
      <c r="AH791" s="24">
        <v>46094.446633460648</v>
      </c>
      <c r="AI791" s="24">
        <v>46094.446633460648</v>
      </c>
      <c r="AJ791">
        <v>1</v>
      </c>
      <c r="AK791" s="24"/>
      <c r="AL791" s="24"/>
      <c r="AM791" s="24"/>
      <c r="AN791" s="24"/>
      <c r="AP791" s="24"/>
      <c r="AQ791" s="24"/>
      <c r="AR791" s="24">
        <v>46071.488122974537</v>
      </c>
      <c r="AS791" s="24">
        <v>46071.488122974537</v>
      </c>
      <c r="AX791" s="24"/>
      <c r="AY791" s="24"/>
      <c r="AZ791" s="24"/>
      <c r="BA791" s="24"/>
      <c r="BC791" s="24"/>
      <c r="BD791" s="24"/>
      <c r="BE791" s="24"/>
      <c r="BF791" s="24"/>
      <c r="BH791" s="24">
        <v>46071.488122974537</v>
      </c>
      <c r="BI791" s="24">
        <v>46071.488122974537</v>
      </c>
      <c r="BJ791" s="24">
        <v>46080.606743009259</v>
      </c>
      <c r="BK791" s="24">
        <v>46080.606743009259</v>
      </c>
      <c r="BL791">
        <v>1</v>
      </c>
      <c r="BM791" s="24"/>
      <c r="BN791" s="24"/>
      <c r="BO791" s="24"/>
      <c r="BP791" s="24"/>
      <c r="BR791" s="24">
        <v>46094.446633460648</v>
      </c>
      <c r="BS791" s="24">
        <v>46094.446633460648</v>
      </c>
      <c r="BT791" s="24">
        <v>46094.44666076389</v>
      </c>
      <c r="BU791" s="24">
        <v>46094.44666076389</v>
      </c>
      <c r="BV791">
        <v>1</v>
      </c>
      <c r="BW791" s="24"/>
      <c r="BX791" s="24"/>
      <c r="BY791" s="24"/>
      <c r="BZ791" s="24"/>
      <c r="CB791" s="24"/>
      <c r="CC791" s="24"/>
      <c r="CE791" s="24">
        <v>46094.44666076389</v>
      </c>
      <c r="CF791" s="24">
        <v>46094.44666076389</v>
      </c>
      <c r="CG791">
        <v>1</v>
      </c>
      <c r="CH791" s="24"/>
      <c r="CI791" s="24"/>
      <c r="CJ791" s="24"/>
      <c r="CK791" s="24"/>
      <c r="DE791" s="24"/>
      <c r="DF791" s="24"/>
      <c r="DG791" s="24"/>
      <c r="DH791" s="24"/>
      <c r="DJ791" t="s">
        <v>149</v>
      </c>
      <c r="DK791" t="s">
        <v>149</v>
      </c>
      <c r="DM791">
        <v>23</v>
      </c>
      <c r="DN791">
        <v>14</v>
      </c>
      <c r="DQ791" t="s">
        <v>1001</v>
      </c>
      <c r="DR791" t="s">
        <v>149</v>
      </c>
      <c r="DS791" s="24">
        <v>46160.384426226854</v>
      </c>
    </row>
    <row r="792" spans="1:123" x14ac:dyDescent="0.3">
      <c r="A792" t="s">
        <v>1275</v>
      </c>
      <c r="D792" t="s">
        <v>223</v>
      </c>
      <c r="E792" s="24">
        <v>46071.477314814816</v>
      </c>
      <c r="G792" t="s">
        <v>90</v>
      </c>
      <c r="H792" t="s">
        <v>155</v>
      </c>
      <c r="I792" s="24"/>
      <c r="J792" s="24"/>
      <c r="K792" s="24"/>
      <c r="L792" s="24"/>
      <c r="N792" s="24"/>
      <c r="O792" s="24"/>
      <c r="P792" s="24"/>
      <c r="Q792" s="24"/>
      <c r="V792" s="24"/>
      <c r="W792" s="24"/>
      <c r="X792" s="24"/>
      <c r="Y792" s="24"/>
      <c r="AA792" s="24">
        <v>46076.364273506944</v>
      </c>
      <c r="AB792" s="24">
        <v>46076.364273506944</v>
      </c>
      <c r="AC792" s="24">
        <v>46077.285209444446</v>
      </c>
      <c r="AD792" s="24">
        <v>46077.285209444446</v>
      </c>
      <c r="AE792">
        <v>1</v>
      </c>
      <c r="AF792" s="24">
        <v>46077.285209444446</v>
      </c>
      <c r="AG792" s="24">
        <v>46077.285209444446</v>
      </c>
      <c r="AH792" s="24">
        <v>46085.449040277781</v>
      </c>
      <c r="AI792" s="24">
        <v>46085.449040277781</v>
      </c>
      <c r="AJ792">
        <v>1</v>
      </c>
      <c r="AK792" s="24"/>
      <c r="AL792" s="24"/>
      <c r="AM792" s="24"/>
      <c r="AN792" s="24"/>
      <c r="AP792" s="24"/>
      <c r="AQ792" s="24"/>
      <c r="AR792" s="24">
        <v>46071.487064664354</v>
      </c>
      <c r="AS792" s="24">
        <v>46071.487064664354</v>
      </c>
      <c r="AX792" s="24"/>
      <c r="AY792" s="24"/>
      <c r="AZ792" s="24"/>
      <c r="BA792" s="24"/>
      <c r="BC792" s="24"/>
      <c r="BD792" s="24"/>
      <c r="BE792" s="24"/>
      <c r="BF792" s="24"/>
      <c r="BH792" s="24">
        <v>46071.487064664354</v>
      </c>
      <c r="BI792" s="24">
        <v>46071.487064664354</v>
      </c>
      <c r="BJ792" s="24">
        <v>46076.364273506944</v>
      </c>
      <c r="BK792" s="24">
        <v>46076.364273506944</v>
      </c>
      <c r="BL792">
        <v>1</v>
      </c>
      <c r="BM792" s="24"/>
      <c r="BN792" s="24"/>
      <c r="BO792" s="24"/>
      <c r="BP792" s="24"/>
      <c r="BR792" s="24"/>
      <c r="BS792" s="24"/>
      <c r="BT792" s="24"/>
      <c r="BU792" s="24"/>
      <c r="BW792" s="24"/>
      <c r="BX792" s="24"/>
      <c r="BY792" s="24"/>
      <c r="BZ792" s="24"/>
      <c r="CB792" s="24"/>
      <c r="CC792" s="24"/>
      <c r="CE792" s="24">
        <v>46085.449040277781</v>
      </c>
      <c r="CF792" s="24">
        <v>46085.449040277781</v>
      </c>
      <c r="CG792">
        <v>1</v>
      </c>
      <c r="CH792" s="24"/>
      <c r="CI792" s="24"/>
      <c r="CJ792" s="24"/>
      <c r="CK792" s="24"/>
      <c r="DE792" s="24"/>
      <c r="DF792" s="24"/>
      <c r="DG792" s="24"/>
      <c r="DH792" s="24"/>
      <c r="DJ792" t="s">
        <v>149</v>
      </c>
      <c r="DK792" t="s">
        <v>149</v>
      </c>
      <c r="DM792">
        <v>14</v>
      </c>
      <c r="DN792">
        <v>10</v>
      </c>
      <c r="DQ792" t="s">
        <v>1001</v>
      </c>
      <c r="DR792" t="s">
        <v>149</v>
      </c>
      <c r="DS792" s="24">
        <v>46160.384426226854</v>
      </c>
    </row>
    <row r="793" spans="1:123" x14ac:dyDescent="0.3">
      <c r="A793" t="s">
        <v>1276</v>
      </c>
      <c r="D793" t="s">
        <v>224</v>
      </c>
      <c r="E793" s="24">
        <v>46071.459675925929</v>
      </c>
      <c r="G793" t="s">
        <v>90</v>
      </c>
      <c r="H793" t="s">
        <v>155</v>
      </c>
      <c r="I793" s="24"/>
      <c r="J793" s="24"/>
      <c r="K793" s="24"/>
      <c r="L793" s="24"/>
      <c r="N793" s="24"/>
      <c r="O793" s="24"/>
      <c r="P793" s="24"/>
      <c r="Q793" s="24"/>
      <c r="V793" s="24"/>
      <c r="W793" s="24"/>
      <c r="X793" s="24"/>
      <c r="Y793" s="24"/>
      <c r="AA793" s="24">
        <v>46071.598549525464</v>
      </c>
      <c r="AB793" s="24">
        <v>46071.598549525464</v>
      </c>
      <c r="AC793" s="24">
        <v>46071.623783587966</v>
      </c>
      <c r="AD793" s="24">
        <v>46071.623783587966</v>
      </c>
      <c r="AE793">
        <v>1</v>
      </c>
      <c r="AF793" s="24">
        <v>46071.623783587966</v>
      </c>
      <c r="AG793" s="24">
        <v>46071.623783587966</v>
      </c>
      <c r="AH793" s="24">
        <v>46071.647565833337</v>
      </c>
      <c r="AI793" s="24">
        <v>46071.647565833337</v>
      </c>
      <c r="AJ793">
        <v>1</v>
      </c>
      <c r="AK793" s="24">
        <v>46071.647565833337</v>
      </c>
      <c r="AL793" s="24">
        <v>46071.647565833337</v>
      </c>
      <c r="AM793" s="24">
        <v>46071.647605416663</v>
      </c>
      <c r="AN793" s="24">
        <v>46071.647605416663</v>
      </c>
      <c r="AO793">
        <v>1</v>
      </c>
      <c r="AP793" s="24"/>
      <c r="AQ793" s="24"/>
      <c r="AR793" s="24">
        <v>46071.460980625001</v>
      </c>
      <c r="AS793" s="24">
        <v>46071.460980625001</v>
      </c>
      <c r="AX793" s="24"/>
      <c r="AY793" s="24"/>
      <c r="AZ793" s="24"/>
      <c r="BA793" s="24"/>
      <c r="BC793" s="24">
        <v>46071.647677685185</v>
      </c>
      <c r="BD793" s="24">
        <v>46071.647677685185</v>
      </c>
      <c r="BE793" s="24">
        <v>46122.334407939816</v>
      </c>
      <c r="BF793" s="24">
        <v>46122.334407939816</v>
      </c>
      <c r="BG793">
        <v>1</v>
      </c>
      <c r="BH793" s="24">
        <v>46071.460980625001</v>
      </c>
      <c r="BI793" s="24">
        <v>46071.460980625001</v>
      </c>
      <c r="BJ793" s="24">
        <v>46071.598549525464</v>
      </c>
      <c r="BK793" s="24">
        <v>46071.598549525464</v>
      </c>
      <c r="BL793">
        <v>1</v>
      </c>
      <c r="BM793" s="24"/>
      <c r="BN793" s="24"/>
      <c r="BO793" s="24"/>
      <c r="BP793" s="24"/>
      <c r="BR793" s="24">
        <v>46071.647605416663</v>
      </c>
      <c r="BS793" s="24">
        <v>46071.647605416663</v>
      </c>
      <c r="BT793" s="24">
        <v>46071.647677685185</v>
      </c>
      <c r="BU793" s="24">
        <v>46071.647677685185</v>
      </c>
      <c r="BV793">
        <v>1</v>
      </c>
      <c r="BW793" s="24"/>
      <c r="BX793" s="24"/>
      <c r="BY793" s="24"/>
      <c r="BZ793" s="24"/>
      <c r="CB793" s="24"/>
      <c r="CC793" s="24"/>
      <c r="CE793" s="24">
        <v>46122.334407939816</v>
      </c>
      <c r="CF793" s="24">
        <v>46122.334407939816</v>
      </c>
      <c r="CG793">
        <v>1</v>
      </c>
      <c r="CH793" s="24"/>
      <c r="CI793" s="24"/>
      <c r="CJ793" s="24"/>
      <c r="CK793" s="24"/>
      <c r="DE793" s="24"/>
      <c r="DF793" s="24"/>
      <c r="DG793" s="24"/>
      <c r="DH793" s="24"/>
      <c r="DJ793" t="s">
        <v>149</v>
      </c>
      <c r="DK793" t="s">
        <v>149</v>
      </c>
      <c r="DM793">
        <v>51</v>
      </c>
      <c r="DN793">
        <v>51</v>
      </c>
      <c r="DQ793" t="s">
        <v>1001</v>
      </c>
      <c r="DR793" t="s">
        <v>149</v>
      </c>
      <c r="DS793" s="24">
        <v>46160.384426226854</v>
      </c>
    </row>
    <row r="794" spans="1:123" x14ac:dyDescent="0.3">
      <c r="A794" t="s">
        <v>1277</v>
      </c>
      <c r="D794" t="s">
        <v>225</v>
      </c>
      <c r="E794" s="24">
        <v>46070.508379629631</v>
      </c>
      <c r="G794" t="s">
        <v>90</v>
      </c>
      <c r="H794" t="s">
        <v>155</v>
      </c>
      <c r="I794" s="24"/>
      <c r="J794" s="24"/>
      <c r="K794" s="24"/>
      <c r="L794" s="24"/>
      <c r="N794" s="24"/>
      <c r="O794" s="24"/>
      <c r="P794" s="24"/>
      <c r="Q794" s="24"/>
      <c r="V794" s="24"/>
      <c r="W794" s="24"/>
      <c r="X794" s="24"/>
      <c r="Y794" s="24"/>
      <c r="AA794" s="24">
        <v>46104.544703564818</v>
      </c>
      <c r="AB794" s="24">
        <v>46087.458855543984</v>
      </c>
      <c r="AC794" s="24">
        <v>46104.54401795139</v>
      </c>
      <c r="AD794" s="24">
        <v>46110.520127175929</v>
      </c>
      <c r="AE794">
        <v>2</v>
      </c>
      <c r="AF794" s="24">
        <v>46110.520127175929</v>
      </c>
      <c r="AG794" s="24">
        <v>46104.54401795139</v>
      </c>
      <c r="AH794" s="24">
        <v>46104.544703564818</v>
      </c>
      <c r="AI794" s="24">
        <v>46114.421153564814</v>
      </c>
      <c r="AJ794">
        <v>2</v>
      </c>
      <c r="AK794" s="24">
        <v>46114.421153564814</v>
      </c>
      <c r="AL794" s="24">
        <v>46114.421153564814</v>
      </c>
      <c r="AM794" s="24">
        <v>46114.421437696757</v>
      </c>
      <c r="AN794" s="24">
        <v>46114.421437696757</v>
      </c>
      <c r="AO794">
        <v>1</v>
      </c>
      <c r="AP794" s="24"/>
      <c r="AQ794" s="24"/>
      <c r="AR794" s="24">
        <v>46085.530781122688</v>
      </c>
      <c r="AS794" s="24">
        <v>46085.530781122688</v>
      </c>
      <c r="AX794" s="24"/>
      <c r="AY794" s="24"/>
      <c r="AZ794" s="24"/>
      <c r="BA794" s="24"/>
      <c r="BC794" s="24">
        <v>46114.42155875</v>
      </c>
      <c r="BD794" s="24">
        <v>46114.42155875</v>
      </c>
      <c r="BE794" s="24">
        <v>46141.465463368055</v>
      </c>
      <c r="BF794" s="24">
        <v>46141.465463368055</v>
      </c>
      <c r="BG794">
        <v>1</v>
      </c>
      <c r="BH794" s="24">
        <v>46085.530781122688</v>
      </c>
      <c r="BI794" s="24">
        <v>46085.530781122688</v>
      </c>
      <c r="BJ794" s="24">
        <v>46087.458855543984</v>
      </c>
      <c r="BK794" s="24">
        <v>46087.458855543984</v>
      </c>
      <c r="BL794">
        <v>1</v>
      </c>
      <c r="BM794" s="24"/>
      <c r="BN794" s="24"/>
      <c r="BO794" s="24"/>
      <c r="BP794" s="24"/>
      <c r="BR794" s="24">
        <v>46114.421437696757</v>
      </c>
      <c r="BS794" s="24">
        <v>46114.421437696757</v>
      </c>
      <c r="BT794" s="24">
        <v>46114.42155875</v>
      </c>
      <c r="BU794" s="24">
        <v>46114.42155875</v>
      </c>
      <c r="BV794">
        <v>1</v>
      </c>
      <c r="BW794" s="24"/>
      <c r="BX794" s="24"/>
      <c r="BY794" s="24"/>
      <c r="BZ794" s="24"/>
      <c r="CB794" s="24"/>
      <c r="CC794" s="24"/>
      <c r="CE794" s="24">
        <v>46141.465463368055</v>
      </c>
      <c r="CF794" s="24">
        <v>46141.465463368055</v>
      </c>
      <c r="CG794">
        <v>1</v>
      </c>
      <c r="CH794" s="24"/>
      <c r="CI794" s="24"/>
      <c r="CJ794" s="24"/>
      <c r="CK794" s="24"/>
      <c r="DE794" s="24"/>
      <c r="DF794" s="24"/>
      <c r="DG794" s="24"/>
      <c r="DH794" s="24"/>
      <c r="DJ794" t="s">
        <v>149</v>
      </c>
      <c r="DK794" t="s">
        <v>149</v>
      </c>
      <c r="DM794">
        <v>56</v>
      </c>
      <c r="DN794">
        <v>55</v>
      </c>
      <c r="DQ794" t="s">
        <v>1001</v>
      </c>
      <c r="DR794" t="s">
        <v>149</v>
      </c>
      <c r="DS794" s="24">
        <v>46160.384426226854</v>
      </c>
    </row>
    <row r="795" spans="1:123" x14ac:dyDescent="0.3">
      <c r="A795" t="s">
        <v>1278</v>
      </c>
      <c r="D795" t="s">
        <v>225</v>
      </c>
      <c r="E795" s="24">
        <v>46070.484178240738</v>
      </c>
      <c r="G795" t="s">
        <v>90</v>
      </c>
      <c r="H795" t="s">
        <v>155</v>
      </c>
      <c r="I795" s="24"/>
      <c r="J795" s="24"/>
      <c r="K795" s="24"/>
      <c r="L795" s="24"/>
      <c r="N795" s="24"/>
      <c r="O795" s="24"/>
      <c r="P795" s="24"/>
      <c r="Q795" s="24"/>
      <c r="V795" s="24"/>
      <c r="W795" s="24"/>
      <c r="X795" s="24"/>
      <c r="Y795" s="24"/>
      <c r="AA795" s="24">
        <v>46080.522942303243</v>
      </c>
      <c r="AB795" s="24">
        <v>46072.577736840278</v>
      </c>
      <c r="AC795" s="24">
        <v>46073.511508437499</v>
      </c>
      <c r="AD795" s="24">
        <v>46080.522972361112</v>
      </c>
      <c r="AE795">
        <v>3</v>
      </c>
      <c r="AF795" s="24">
        <v>46080.522972361112</v>
      </c>
      <c r="AG795" s="24">
        <v>46073.511508437499</v>
      </c>
      <c r="AH795" s="24">
        <v>46077.44552105324</v>
      </c>
      <c r="AI795" s="24">
        <v>46080.534384861108</v>
      </c>
      <c r="AJ795">
        <v>3</v>
      </c>
      <c r="AK795" s="24">
        <v>46080.534384861108</v>
      </c>
      <c r="AL795" s="24">
        <v>46078.307986307867</v>
      </c>
      <c r="AM795" s="24">
        <v>46080.522942303243</v>
      </c>
      <c r="AN795" s="24">
        <v>46083.390726319441</v>
      </c>
      <c r="AO795">
        <v>2</v>
      </c>
      <c r="AP795" s="24"/>
      <c r="AQ795" s="24"/>
      <c r="AR795" s="24">
        <v>46071.485525335651</v>
      </c>
      <c r="AS795" s="24">
        <v>46071.485525335651</v>
      </c>
      <c r="AX795" s="24"/>
      <c r="AY795" s="24"/>
      <c r="AZ795" s="24"/>
      <c r="BA795" s="24"/>
      <c r="BC795" s="24">
        <v>46083.390790011574</v>
      </c>
      <c r="BD795" s="24">
        <v>46083.390790011574</v>
      </c>
      <c r="BE795" s="24">
        <v>46114.436680555555</v>
      </c>
      <c r="BF795" s="24">
        <v>46114.436680555555</v>
      </c>
      <c r="BG795">
        <v>1</v>
      </c>
      <c r="BH795" s="24">
        <v>46071.485525335651</v>
      </c>
      <c r="BI795" s="24">
        <v>46071.485525335651</v>
      </c>
      <c r="BJ795" s="24">
        <v>46072.577736840278</v>
      </c>
      <c r="BK795" s="24">
        <v>46072.577736840278</v>
      </c>
      <c r="BL795">
        <v>1</v>
      </c>
      <c r="BM795" s="24"/>
      <c r="BN795" s="24"/>
      <c r="BO795" s="24"/>
      <c r="BP795" s="24"/>
      <c r="BR795" s="24">
        <v>46083.390726319441</v>
      </c>
      <c r="BS795" s="24">
        <v>46083.390726319441</v>
      </c>
      <c r="BT795" s="24">
        <v>46083.390790011574</v>
      </c>
      <c r="BU795" s="24">
        <v>46083.390790011574</v>
      </c>
      <c r="BV795">
        <v>1</v>
      </c>
      <c r="BW795" s="24"/>
      <c r="BX795" s="24"/>
      <c r="BY795" s="24"/>
      <c r="BZ795" s="24"/>
      <c r="CB795" s="24"/>
      <c r="CC795" s="24"/>
      <c r="CE795" s="24">
        <v>46114.436680555555</v>
      </c>
      <c r="CF795" s="24">
        <v>46114.436680555555</v>
      </c>
      <c r="CG795">
        <v>1</v>
      </c>
      <c r="CH795" s="24"/>
      <c r="CI795" s="24"/>
      <c r="CJ795" s="24"/>
      <c r="CK795" s="24"/>
      <c r="DE795" s="24"/>
      <c r="DF795" s="24"/>
      <c r="DG795" s="24"/>
      <c r="DH795" s="24"/>
      <c r="DJ795" t="s">
        <v>149</v>
      </c>
      <c r="DK795" t="s">
        <v>149</v>
      </c>
      <c r="DM795">
        <v>43</v>
      </c>
      <c r="DN795">
        <v>42</v>
      </c>
      <c r="DQ795" t="s">
        <v>1001</v>
      </c>
      <c r="DR795" t="s">
        <v>149</v>
      </c>
      <c r="DS795" s="24">
        <v>46160.384426226854</v>
      </c>
    </row>
    <row r="796" spans="1:123" x14ac:dyDescent="0.3">
      <c r="A796" t="s">
        <v>1279</v>
      </c>
      <c r="D796" t="s">
        <v>225</v>
      </c>
      <c r="E796" s="24">
        <v>46070.480694444443</v>
      </c>
      <c r="G796" t="s">
        <v>90</v>
      </c>
      <c r="H796" t="s">
        <v>155</v>
      </c>
      <c r="I796" s="24"/>
      <c r="J796" s="24"/>
      <c r="K796" s="24"/>
      <c r="L796" s="24"/>
      <c r="N796" s="24"/>
      <c r="O796" s="24"/>
      <c r="P796" s="24"/>
      <c r="Q796" s="24"/>
      <c r="V796" s="24"/>
      <c r="W796" s="24"/>
      <c r="X796" s="24"/>
      <c r="Y796" s="24"/>
      <c r="AA796" s="24">
        <v>46090.00697771991</v>
      </c>
      <c r="AB796" s="24">
        <v>46072.039103877316</v>
      </c>
      <c r="AC796" s="24">
        <v>46087.366512395834</v>
      </c>
      <c r="AD796" s="24">
        <v>46090.007043668978</v>
      </c>
      <c r="AE796">
        <v>2</v>
      </c>
      <c r="AF796" s="24">
        <v>46090.007043668978</v>
      </c>
      <c r="AG796" s="24">
        <v>46087.366512395834</v>
      </c>
      <c r="AH796" s="24">
        <v>46087.444649178244</v>
      </c>
      <c r="AI796" s="24">
        <v>46090.538914641205</v>
      </c>
      <c r="AJ796">
        <v>2</v>
      </c>
      <c r="AK796" s="24">
        <v>46090.538914641205</v>
      </c>
      <c r="AL796" s="24">
        <v>46087.444649178244</v>
      </c>
      <c r="AM796" s="24">
        <v>46090.00697771991</v>
      </c>
      <c r="AN796" s="24">
        <v>46090.652187974534</v>
      </c>
      <c r="AO796">
        <v>2</v>
      </c>
      <c r="AP796" s="24"/>
      <c r="AQ796" s="24"/>
      <c r="AR796" s="24">
        <v>46071.486083229167</v>
      </c>
      <c r="AS796" s="24">
        <v>46071.486083229167</v>
      </c>
      <c r="AX796" s="24"/>
      <c r="AY796" s="24"/>
      <c r="AZ796" s="24"/>
      <c r="BA796" s="24"/>
      <c r="BC796" s="24">
        <v>46114.031502546299</v>
      </c>
      <c r="BD796" s="24">
        <v>46114.031502546299</v>
      </c>
      <c r="BE796" s="24">
        <v>46141.465463622684</v>
      </c>
      <c r="BF796" s="24">
        <v>46141.465463622684</v>
      </c>
      <c r="BG796">
        <v>1</v>
      </c>
      <c r="BH796" s="24">
        <v>46071.486083229167</v>
      </c>
      <c r="BI796" s="24">
        <v>46071.486083229167</v>
      </c>
      <c r="BJ796" s="24">
        <v>46072.039103877316</v>
      </c>
      <c r="BK796" s="24">
        <v>46072.039103877316</v>
      </c>
      <c r="BL796">
        <v>1</v>
      </c>
      <c r="BM796" s="24"/>
      <c r="BN796" s="24"/>
      <c r="BO796" s="24"/>
      <c r="BP796" s="24"/>
      <c r="BR796" s="24">
        <v>46090.652187974534</v>
      </c>
      <c r="BS796" s="24">
        <v>46090.652187974534</v>
      </c>
      <c r="BT796" s="24">
        <v>46114.031502546299</v>
      </c>
      <c r="BU796" s="24">
        <v>46114.031502546299</v>
      </c>
      <c r="BV796">
        <v>1</v>
      </c>
      <c r="BW796" s="24"/>
      <c r="BX796" s="24"/>
      <c r="BY796" s="24"/>
      <c r="BZ796" s="24"/>
      <c r="CB796" s="24"/>
      <c r="CC796" s="24"/>
      <c r="CE796" s="24">
        <v>46141.465463622684</v>
      </c>
      <c r="CF796" s="24">
        <v>46141.465463622684</v>
      </c>
      <c r="CG796">
        <v>1</v>
      </c>
      <c r="CH796" s="24"/>
      <c r="CI796" s="24"/>
      <c r="CJ796" s="24"/>
      <c r="CK796" s="24"/>
      <c r="DE796" s="24"/>
      <c r="DF796" s="24"/>
      <c r="DG796" s="24"/>
      <c r="DH796" s="24"/>
      <c r="DJ796" t="s">
        <v>149</v>
      </c>
      <c r="DK796" t="s">
        <v>149</v>
      </c>
      <c r="DM796">
        <v>70</v>
      </c>
      <c r="DN796">
        <v>70</v>
      </c>
      <c r="DQ796" t="s">
        <v>1001</v>
      </c>
      <c r="DR796" t="s">
        <v>149</v>
      </c>
      <c r="DS796" s="24">
        <v>46160.384426226854</v>
      </c>
    </row>
    <row r="797" spans="1:123" x14ac:dyDescent="0.3">
      <c r="A797" t="s">
        <v>1280</v>
      </c>
      <c r="D797" t="s">
        <v>225</v>
      </c>
      <c r="E797" s="24">
        <v>46070.472349537034</v>
      </c>
      <c r="G797" t="s">
        <v>90</v>
      </c>
      <c r="H797" t="s">
        <v>155</v>
      </c>
      <c r="I797" s="24"/>
      <c r="J797" s="24"/>
      <c r="K797" s="24"/>
      <c r="L797" s="24"/>
      <c r="N797" s="24"/>
      <c r="O797" s="24"/>
      <c r="P797" s="24"/>
      <c r="Q797" s="24"/>
      <c r="V797" s="24"/>
      <c r="W797" s="24"/>
      <c r="X797" s="24"/>
      <c r="Y797" s="24"/>
      <c r="AA797" s="24">
        <v>46072.408774120369</v>
      </c>
      <c r="AB797" s="24">
        <v>46072.408774120369</v>
      </c>
      <c r="AC797" s="24">
        <v>46073.628981354166</v>
      </c>
      <c r="AD797" s="24">
        <v>46073.628981354166</v>
      </c>
      <c r="AE797">
        <v>1</v>
      </c>
      <c r="AF797" s="24">
        <v>46073.628981354166</v>
      </c>
      <c r="AG797" s="24">
        <v>46073.628981354166</v>
      </c>
      <c r="AH797" s="24">
        <v>46078.67378005787</v>
      </c>
      <c r="AI797" s="24">
        <v>46078.67378005787</v>
      </c>
      <c r="AJ797">
        <v>1</v>
      </c>
      <c r="AK797" s="24">
        <v>46078.67378005787</v>
      </c>
      <c r="AL797" s="24">
        <v>46078.67378005787</v>
      </c>
      <c r="AM797" s="24">
        <v>46085.443964849539</v>
      </c>
      <c r="AN797" s="24">
        <v>46085.443964849539</v>
      </c>
      <c r="AO797">
        <v>1</v>
      </c>
      <c r="AP797" s="24"/>
      <c r="AQ797" s="24"/>
      <c r="AR797" s="24">
        <v>46071.486249108799</v>
      </c>
      <c r="AS797" s="24">
        <v>46071.486249108799</v>
      </c>
      <c r="AX797" s="24"/>
      <c r="AY797" s="24"/>
      <c r="AZ797" s="24"/>
      <c r="BA797" s="24"/>
      <c r="BC797" s="24">
        <v>46085.444369814817</v>
      </c>
      <c r="BD797" s="24">
        <v>46085.444369814817</v>
      </c>
      <c r="BE797" s="24">
        <v>46141.465463402776</v>
      </c>
      <c r="BF797" s="24">
        <v>46141.465463402776</v>
      </c>
      <c r="BG797">
        <v>1</v>
      </c>
      <c r="BH797" s="24">
        <v>46071.486249108799</v>
      </c>
      <c r="BI797" s="24">
        <v>46071.486249108799</v>
      </c>
      <c r="BJ797" s="24">
        <v>46072.408774120369</v>
      </c>
      <c r="BK797" s="24">
        <v>46072.408774120369</v>
      </c>
      <c r="BL797">
        <v>1</v>
      </c>
      <c r="BM797" s="24"/>
      <c r="BN797" s="24"/>
      <c r="BO797" s="24"/>
      <c r="BP797" s="24"/>
      <c r="BR797" s="24">
        <v>46085.443964849539</v>
      </c>
      <c r="BS797" s="24">
        <v>46085.443964849539</v>
      </c>
      <c r="BT797" s="24">
        <v>46085.444369814817</v>
      </c>
      <c r="BU797" s="24">
        <v>46085.444369814817</v>
      </c>
      <c r="BV797">
        <v>1</v>
      </c>
      <c r="BW797" s="24"/>
      <c r="BX797" s="24"/>
      <c r="BY797" s="24"/>
      <c r="BZ797" s="24"/>
      <c r="CB797" s="24"/>
      <c r="CC797" s="24"/>
      <c r="CE797" s="24">
        <v>46141.465463402776</v>
      </c>
      <c r="CF797" s="24">
        <v>46141.465463402776</v>
      </c>
      <c r="CG797">
        <v>1</v>
      </c>
      <c r="CH797" s="24"/>
      <c r="CI797" s="24"/>
      <c r="CJ797" s="24"/>
      <c r="CK797" s="24"/>
      <c r="DE797" s="24"/>
      <c r="DF797" s="24"/>
      <c r="DG797" s="24"/>
      <c r="DH797" s="24"/>
      <c r="DJ797" t="s">
        <v>149</v>
      </c>
      <c r="DK797" t="s">
        <v>149</v>
      </c>
      <c r="DM797">
        <v>70</v>
      </c>
      <c r="DN797">
        <v>70</v>
      </c>
      <c r="DQ797" t="s">
        <v>1001</v>
      </c>
      <c r="DR797" t="s">
        <v>149</v>
      </c>
      <c r="DS797" s="24">
        <v>46160.384426226854</v>
      </c>
    </row>
    <row r="798" spans="1:123" x14ac:dyDescent="0.3">
      <c r="A798" t="s">
        <v>1281</v>
      </c>
      <c r="D798" t="s">
        <v>223</v>
      </c>
      <c r="E798" s="24">
        <v>46070.367152777777</v>
      </c>
      <c r="G798" t="s">
        <v>102</v>
      </c>
      <c r="H798" t="s">
        <v>154</v>
      </c>
      <c r="I798" s="24"/>
      <c r="J798" s="24"/>
      <c r="K798" s="24"/>
      <c r="L798" s="24"/>
      <c r="N798" s="24"/>
      <c r="O798" s="24"/>
      <c r="P798" s="24"/>
      <c r="Q798" s="24"/>
      <c r="V798" s="24"/>
      <c r="W798" s="24"/>
      <c r="X798" s="24"/>
      <c r="Y798" s="24"/>
      <c r="AA798" s="24"/>
      <c r="AB798" s="24"/>
      <c r="AC798" s="24"/>
      <c r="AD798" s="24"/>
      <c r="AF798" s="24"/>
      <c r="AG798" s="24"/>
      <c r="AH798" s="24"/>
      <c r="AI798" s="24"/>
      <c r="AK798" s="24"/>
      <c r="AL798" s="24"/>
      <c r="AM798" s="24"/>
      <c r="AN798" s="24"/>
      <c r="AP798" s="24"/>
      <c r="AQ798" s="24"/>
      <c r="AR798" s="24"/>
      <c r="AS798" s="24"/>
      <c r="AX798" s="24"/>
      <c r="AY798" s="24"/>
      <c r="AZ798" s="24"/>
      <c r="BA798" s="24"/>
      <c r="BC798" s="24"/>
      <c r="BD798" s="24"/>
      <c r="BE798" s="24"/>
      <c r="BF798" s="24"/>
      <c r="BH798" s="24"/>
      <c r="BI798" s="24"/>
      <c r="BJ798" s="24"/>
      <c r="BK798" s="24"/>
      <c r="BM798" s="24"/>
      <c r="BN798" s="24"/>
      <c r="BO798" s="24"/>
      <c r="BP798" s="24"/>
      <c r="BR798" s="24"/>
      <c r="BS798" s="24"/>
      <c r="BT798" s="24"/>
      <c r="BU798" s="24"/>
      <c r="BW798" s="24"/>
      <c r="BX798" s="24"/>
      <c r="BY798" s="24"/>
      <c r="BZ798" s="24"/>
      <c r="CB798" s="24"/>
      <c r="CC798" s="24"/>
      <c r="CE798" s="24"/>
      <c r="CF798" s="24"/>
      <c r="CH798" s="24"/>
      <c r="CI798" s="24"/>
      <c r="CJ798" s="24"/>
      <c r="CK798" s="24"/>
      <c r="DE798" s="24"/>
      <c r="DF798" s="24"/>
      <c r="DG798" s="24"/>
      <c r="DH798" s="24"/>
      <c r="DJ798" t="s">
        <v>149</v>
      </c>
      <c r="DK798" t="s">
        <v>149</v>
      </c>
      <c r="DQ798" t="s">
        <v>1001</v>
      </c>
      <c r="DR798" t="s">
        <v>149</v>
      </c>
      <c r="DS798" s="24">
        <v>46160.384426226854</v>
      </c>
    </row>
    <row r="799" spans="1:123" x14ac:dyDescent="0.3">
      <c r="A799" t="s">
        <v>1282</v>
      </c>
      <c r="D799" t="s">
        <v>223</v>
      </c>
      <c r="E799" s="24">
        <v>46062.352476851855</v>
      </c>
      <c r="G799" t="s">
        <v>150</v>
      </c>
      <c r="H799" t="s">
        <v>155</v>
      </c>
      <c r="I799" s="24"/>
      <c r="J799" s="24"/>
      <c r="K799" s="24"/>
      <c r="L799" s="24"/>
      <c r="N799" s="24"/>
      <c r="O799" s="24"/>
      <c r="P799" s="24"/>
      <c r="Q799" s="24"/>
      <c r="V799" s="24"/>
      <c r="W799" s="24"/>
      <c r="X799" s="24"/>
      <c r="Y799" s="24"/>
      <c r="AA799" s="24"/>
      <c r="AB799" s="24"/>
      <c r="AC799" s="24"/>
      <c r="AD799" s="24"/>
      <c r="AF799" s="24"/>
      <c r="AG799" s="24"/>
      <c r="AH799" s="24"/>
      <c r="AI799" s="24"/>
      <c r="AK799" s="24"/>
      <c r="AL799" s="24"/>
      <c r="AM799" s="24"/>
      <c r="AN799" s="24"/>
      <c r="AP799" s="24"/>
      <c r="AQ799" s="24"/>
      <c r="AR799" s="24">
        <v>46083.48225015046</v>
      </c>
      <c r="AS799" s="24">
        <v>46083.48225015046</v>
      </c>
      <c r="AX799" s="24"/>
      <c r="AY799" s="24"/>
      <c r="AZ799" s="24"/>
      <c r="BA799" s="24"/>
      <c r="BC799" s="24"/>
      <c r="BD799" s="24"/>
      <c r="BE799" s="24"/>
      <c r="BF799" s="24"/>
      <c r="BH799" s="24">
        <v>46083.48225015046</v>
      </c>
      <c r="BI799" s="24">
        <v>46083.48225015046</v>
      </c>
      <c r="BJ799" s="24">
        <v>46125.490265601853</v>
      </c>
      <c r="BK799" s="24">
        <v>46125.490265601853</v>
      </c>
      <c r="BL799">
        <v>1</v>
      </c>
      <c r="BM799" s="24"/>
      <c r="BN799" s="24"/>
      <c r="BO799" s="24"/>
      <c r="BP799" s="24"/>
      <c r="BR799" s="24"/>
      <c r="BS799" s="24"/>
      <c r="BT799" s="24"/>
      <c r="BU799" s="24"/>
      <c r="BW799" s="24"/>
      <c r="BX799" s="24"/>
      <c r="BY799" s="24"/>
      <c r="BZ799" s="24"/>
      <c r="CB799" s="24">
        <v>46125.490265601853</v>
      </c>
      <c r="CC799" s="24">
        <v>46125.490265601853</v>
      </c>
      <c r="CD799">
        <v>1</v>
      </c>
      <c r="CE799" s="24"/>
      <c r="CF799" s="24"/>
      <c r="CH799" s="24"/>
      <c r="CI799" s="24"/>
      <c r="CJ799" s="24"/>
      <c r="CK799" s="24"/>
      <c r="DE799" s="24"/>
      <c r="DF799" s="24"/>
      <c r="DG799" s="24"/>
      <c r="DH799" s="24"/>
      <c r="DJ799" t="s">
        <v>149</v>
      </c>
      <c r="DK799" t="s">
        <v>149</v>
      </c>
      <c r="DQ799" t="s">
        <v>1001</v>
      </c>
      <c r="DR799" t="s">
        <v>149</v>
      </c>
      <c r="DS799" s="24">
        <v>46160.384426226854</v>
      </c>
    </row>
    <row r="800" spans="1:123" x14ac:dyDescent="0.3">
      <c r="A800" t="s">
        <v>1283</v>
      </c>
      <c r="D800" t="s">
        <v>225</v>
      </c>
      <c r="E800" s="24">
        <v>46058.626296296294</v>
      </c>
      <c r="G800" t="s">
        <v>106</v>
      </c>
      <c r="H800" t="s">
        <v>154</v>
      </c>
      <c r="I800" s="24"/>
      <c r="J800" s="24"/>
      <c r="K800" s="24"/>
      <c r="L800" s="24"/>
      <c r="N800" s="24"/>
      <c r="O800" s="24"/>
      <c r="P800" s="24"/>
      <c r="Q800" s="24"/>
      <c r="V800" s="24"/>
      <c r="W800" s="24"/>
      <c r="X800" s="24"/>
      <c r="Y800" s="24"/>
      <c r="AA800" s="24"/>
      <c r="AB800" s="24"/>
      <c r="AC800" s="24"/>
      <c r="AD800" s="24"/>
      <c r="AF800" s="24"/>
      <c r="AG800" s="24"/>
      <c r="AH800" s="24"/>
      <c r="AI800" s="24"/>
      <c r="AK800" s="24"/>
      <c r="AL800" s="24"/>
      <c r="AM800" s="24"/>
      <c r="AN800" s="24"/>
      <c r="AP800" s="24"/>
      <c r="AQ800" s="24"/>
      <c r="AR800" s="24">
        <v>46114.461713969904</v>
      </c>
      <c r="AS800" s="24">
        <v>46114.461713969904</v>
      </c>
      <c r="AX800" s="24"/>
      <c r="AY800" s="24"/>
      <c r="AZ800" s="24"/>
      <c r="BA800" s="24"/>
      <c r="BC800" s="24"/>
      <c r="BD800" s="24"/>
      <c r="BE800" s="24"/>
      <c r="BF800" s="24"/>
      <c r="BH800" s="24"/>
      <c r="BI800" s="24"/>
      <c r="BJ800" s="24"/>
      <c r="BK800" s="24"/>
      <c r="BM800" s="24"/>
      <c r="BN800" s="24"/>
      <c r="BO800" s="24"/>
      <c r="BP800" s="24"/>
      <c r="BR800" s="24"/>
      <c r="BS800" s="24"/>
      <c r="BT800" s="24"/>
      <c r="BU800" s="24"/>
      <c r="BW800" s="24">
        <v>46114.461713969904</v>
      </c>
      <c r="BX800" s="24">
        <v>46114.461713969904</v>
      </c>
      <c r="BY800" s="24"/>
      <c r="BZ800" s="24"/>
      <c r="CA800">
        <v>1</v>
      </c>
      <c r="CB800" s="24"/>
      <c r="CC800" s="24"/>
      <c r="CE800" s="24"/>
      <c r="CF800" s="24"/>
      <c r="CH800" s="24"/>
      <c r="CI800" s="24"/>
      <c r="CJ800" s="24"/>
      <c r="CK800" s="24"/>
      <c r="DE800" s="24"/>
      <c r="DF800" s="24"/>
      <c r="DG800" s="24"/>
      <c r="DH800" s="24"/>
      <c r="DJ800" t="s">
        <v>149</v>
      </c>
      <c r="DK800" t="s">
        <v>149</v>
      </c>
      <c r="DP800">
        <v>46</v>
      </c>
      <c r="DQ800" t="s">
        <v>1001</v>
      </c>
      <c r="DR800" t="s">
        <v>149</v>
      </c>
      <c r="DS800" s="24">
        <v>46160.384426226854</v>
      </c>
    </row>
    <row r="801" spans="1:123" x14ac:dyDescent="0.3">
      <c r="A801" t="s">
        <v>1284</v>
      </c>
      <c r="D801" t="s">
        <v>225</v>
      </c>
      <c r="E801" s="24">
        <v>46057.567835648151</v>
      </c>
      <c r="G801" t="s">
        <v>90</v>
      </c>
      <c r="H801" t="s">
        <v>155</v>
      </c>
      <c r="I801" s="24"/>
      <c r="J801" s="24"/>
      <c r="K801" s="24"/>
      <c r="L801" s="24"/>
      <c r="N801" s="24"/>
      <c r="O801" s="24"/>
      <c r="P801" s="24"/>
      <c r="Q801" s="24"/>
      <c r="V801" s="24"/>
      <c r="W801" s="24"/>
      <c r="X801" s="24"/>
      <c r="Y801" s="24"/>
      <c r="AA801" s="24">
        <v>46058.242177094908</v>
      </c>
      <c r="AB801" s="24">
        <v>46058.242177094908</v>
      </c>
      <c r="AC801" s="24">
        <v>46058.642891493058</v>
      </c>
      <c r="AD801" s="24">
        <v>46058.642891493058</v>
      </c>
      <c r="AE801">
        <v>1</v>
      </c>
      <c r="AF801" s="24">
        <v>46058.642891493058</v>
      </c>
      <c r="AG801" s="24">
        <v>46058.642891493058</v>
      </c>
      <c r="AH801" s="24">
        <v>46058.642923182873</v>
      </c>
      <c r="AI801" s="24">
        <v>46058.642923182873</v>
      </c>
      <c r="AJ801">
        <v>1</v>
      </c>
      <c r="AK801" s="24">
        <v>46058.642923182873</v>
      </c>
      <c r="AL801" s="24">
        <v>46058.642923182873</v>
      </c>
      <c r="AM801" s="24">
        <v>46058.642965046296</v>
      </c>
      <c r="AN801" s="24">
        <v>46058.642965046296</v>
      </c>
      <c r="AO801">
        <v>1</v>
      </c>
      <c r="AP801" s="24"/>
      <c r="AQ801" s="24"/>
      <c r="AR801" s="24">
        <v>46057.568954560185</v>
      </c>
      <c r="AS801" s="24">
        <v>46057.568954560185</v>
      </c>
      <c r="AX801" s="24"/>
      <c r="AY801" s="24"/>
      <c r="AZ801" s="24"/>
      <c r="BA801" s="24"/>
      <c r="BC801" s="24">
        <v>46059.257660717594</v>
      </c>
      <c r="BD801" s="24">
        <v>46059.257660717594</v>
      </c>
      <c r="BE801" s="24">
        <v>46065.306113865743</v>
      </c>
      <c r="BF801" s="24">
        <v>46065.306113865743</v>
      </c>
      <c r="BG801">
        <v>1</v>
      </c>
      <c r="BH801" s="24">
        <v>46057.568954560185</v>
      </c>
      <c r="BI801" s="24">
        <v>46057.568954560185</v>
      </c>
      <c r="BJ801" s="24">
        <v>46058.242177094908</v>
      </c>
      <c r="BK801" s="24">
        <v>46058.242177094908</v>
      </c>
      <c r="BL801">
        <v>1</v>
      </c>
      <c r="BM801" s="24"/>
      <c r="BN801" s="24"/>
      <c r="BO801" s="24"/>
      <c r="BP801" s="24"/>
      <c r="BR801" s="24">
        <v>46058.642965046296</v>
      </c>
      <c r="BS801" s="24">
        <v>46058.642965046296</v>
      </c>
      <c r="BT801" s="24">
        <v>46059.257660717594</v>
      </c>
      <c r="BU801" s="24">
        <v>46059.257660717594</v>
      </c>
      <c r="BV801">
        <v>1</v>
      </c>
      <c r="BW801" s="24"/>
      <c r="BX801" s="24"/>
      <c r="BY801" s="24"/>
      <c r="BZ801" s="24"/>
      <c r="CB801" s="24"/>
      <c r="CC801" s="24"/>
      <c r="CE801" s="24">
        <v>46065.306113865743</v>
      </c>
      <c r="CF801" s="24">
        <v>46065.306113865743</v>
      </c>
      <c r="CG801">
        <v>1</v>
      </c>
      <c r="CH801" s="24"/>
      <c r="CI801" s="24"/>
      <c r="CJ801" s="24"/>
      <c r="CK801" s="24"/>
      <c r="DE801" s="24"/>
      <c r="DF801" s="24"/>
      <c r="DG801" s="24"/>
      <c r="DH801" s="24"/>
      <c r="DJ801" t="s">
        <v>149</v>
      </c>
      <c r="DK801" t="s">
        <v>149</v>
      </c>
      <c r="DM801">
        <v>8</v>
      </c>
      <c r="DN801">
        <v>8</v>
      </c>
      <c r="DQ801" t="s">
        <v>1001</v>
      </c>
      <c r="DR801" t="s">
        <v>149</v>
      </c>
      <c r="DS801" s="24">
        <v>46160.384426226854</v>
      </c>
    </row>
    <row r="802" spans="1:123" x14ac:dyDescent="0.3">
      <c r="A802" t="s">
        <v>1285</v>
      </c>
      <c r="D802" t="s">
        <v>225</v>
      </c>
      <c r="E802" s="24">
        <v>46057.48505787037</v>
      </c>
      <c r="G802" t="s">
        <v>90</v>
      </c>
      <c r="H802" t="s">
        <v>155</v>
      </c>
      <c r="I802" s="24"/>
      <c r="J802" s="24"/>
      <c r="K802" s="24"/>
      <c r="L802" s="24"/>
      <c r="N802" s="24"/>
      <c r="O802" s="24"/>
      <c r="P802" s="24"/>
      <c r="Q802" s="24"/>
      <c r="V802" s="24"/>
      <c r="W802" s="24"/>
      <c r="X802" s="24"/>
      <c r="Y802" s="24"/>
      <c r="AA802" s="24">
        <v>46062.795417835645</v>
      </c>
      <c r="AB802" s="24">
        <v>46062.795417835645</v>
      </c>
      <c r="AC802" s="24">
        <v>46070.796073923608</v>
      </c>
      <c r="AD802" s="24">
        <v>46070.796073923608</v>
      </c>
      <c r="AE802">
        <v>1</v>
      </c>
      <c r="AF802" s="24">
        <v>46070.796073923608</v>
      </c>
      <c r="AG802" s="24">
        <v>46070.796073923608</v>
      </c>
      <c r="AH802" s="24">
        <v>46071.265886712965</v>
      </c>
      <c r="AI802" s="24">
        <v>46071.265886712965</v>
      </c>
      <c r="AJ802">
        <v>1</v>
      </c>
      <c r="AK802" s="24">
        <v>46071.265886712965</v>
      </c>
      <c r="AL802" s="24">
        <v>46071.265886712965</v>
      </c>
      <c r="AM802" s="24">
        <v>46071.384155069441</v>
      </c>
      <c r="AN802" s="24">
        <v>46071.384155069441</v>
      </c>
      <c r="AO802">
        <v>1</v>
      </c>
      <c r="AP802" s="24"/>
      <c r="AQ802" s="24"/>
      <c r="AR802" s="24">
        <v>46057.541520451392</v>
      </c>
      <c r="AS802" s="24">
        <v>46057.541520451392</v>
      </c>
      <c r="AX802" s="24"/>
      <c r="AY802" s="24"/>
      <c r="AZ802" s="24"/>
      <c r="BA802" s="24"/>
      <c r="BC802" s="24">
        <v>46071.384243263892</v>
      </c>
      <c r="BD802" s="24">
        <v>46071.384243263892</v>
      </c>
      <c r="BE802" s="24">
        <v>46114.436680740742</v>
      </c>
      <c r="BF802" s="24">
        <v>46114.436680740742</v>
      </c>
      <c r="BG802">
        <v>1</v>
      </c>
      <c r="BH802" s="24">
        <v>46057.541520451392</v>
      </c>
      <c r="BI802" s="24">
        <v>46057.541520451392</v>
      </c>
      <c r="BJ802" s="24">
        <v>46062.795417835645</v>
      </c>
      <c r="BK802" s="24">
        <v>46062.795417835645</v>
      </c>
      <c r="BL802">
        <v>1</v>
      </c>
      <c r="BM802" s="24"/>
      <c r="BN802" s="24"/>
      <c r="BO802" s="24"/>
      <c r="BP802" s="24"/>
      <c r="BR802" s="24">
        <v>46071.384155069441</v>
      </c>
      <c r="BS802" s="24">
        <v>46071.384155069441</v>
      </c>
      <c r="BT802" s="24">
        <v>46071.384243263892</v>
      </c>
      <c r="BU802" s="24">
        <v>46071.384243263892</v>
      </c>
      <c r="BV802">
        <v>1</v>
      </c>
      <c r="BW802" s="24"/>
      <c r="BX802" s="24"/>
      <c r="BY802" s="24"/>
      <c r="BZ802" s="24"/>
      <c r="CB802" s="24"/>
      <c r="CC802" s="24"/>
      <c r="CE802" s="24">
        <v>46114.436680740742</v>
      </c>
      <c r="CF802" s="24">
        <v>46114.436680740742</v>
      </c>
      <c r="CG802">
        <v>1</v>
      </c>
      <c r="CH802" s="24"/>
      <c r="CI802" s="24"/>
      <c r="CJ802" s="24"/>
      <c r="CK802" s="24"/>
      <c r="DE802" s="24"/>
      <c r="DF802" s="24"/>
      <c r="DG802" s="24"/>
      <c r="DH802" s="24"/>
      <c r="DJ802" t="s">
        <v>149</v>
      </c>
      <c r="DK802" t="s">
        <v>149</v>
      </c>
      <c r="DM802">
        <v>57</v>
      </c>
      <c r="DN802">
        <v>52</v>
      </c>
      <c r="DQ802" t="s">
        <v>1001</v>
      </c>
      <c r="DR802" t="s">
        <v>149</v>
      </c>
      <c r="DS802" s="24">
        <v>46160.384426226854</v>
      </c>
    </row>
    <row r="803" spans="1:123" x14ac:dyDescent="0.3">
      <c r="A803" t="s">
        <v>1286</v>
      </c>
      <c r="D803" t="s">
        <v>225</v>
      </c>
      <c r="E803" s="24">
        <v>46057.460601851853</v>
      </c>
      <c r="G803" t="s">
        <v>90</v>
      </c>
      <c r="H803" t="s">
        <v>155</v>
      </c>
      <c r="I803" s="24"/>
      <c r="J803" s="24"/>
      <c r="K803" s="24"/>
      <c r="L803" s="24"/>
      <c r="N803" s="24"/>
      <c r="O803" s="24"/>
      <c r="P803" s="24"/>
      <c r="Q803" s="24"/>
      <c r="V803" s="24"/>
      <c r="W803" s="24"/>
      <c r="X803" s="24"/>
      <c r="Y803" s="24"/>
      <c r="AA803" s="24">
        <v>46058.443851516204</v>
      </c>
      <c r="AB803" s="24">
        <v>46058.443851516204</v>
      </c>
      <c r="AC803" s="24">
        <v>46063.386636076386</v>
      </c>
      <c r="AD803" s="24">
        <v>46063.386636076386</v>
      </c>
      <c r="AE803">
        <v>1</v>
      </c>
      <c r="AF803" s="24">
        <v>46063.386636076386</v>
      </c>
      <c r="AG803" s="24">
        <v>46063.386636076386</v>
      </c>
      <c r="AH803" s="24">
        <v>46071.460230509256</v>
      </c>
      <c r="AI803" s="24">
        <v>46071.460230509256</v>
      </c>
      <c r="AJ803">
        <v>1</v>
      </c>
      <c r="AK803" s="24">
        <v>46071.460230509256</v>
      </c>
      <c r="AL803" s="24">
        <v>46071.460230509256</v>
      </c>
      <c r="AM803" s="24">
        <v>46071.471751400466</v>
      </c>
      <c r="AN803" s="24">
        <v>46071.471751400466</v>
      </c>
      <c r="AO803">
        <v>1</v>
      </c>
      <c r="AP803" s="24"/>
      <c r="AQ803" s="24"/>
      <c r="AR803" s="24">
        <v>46057.462216736109</v>
      </c>
      <c r="AS803" s="24">
        <v>46057.462216736109</v>
      </c>
      <c r="AX803" s="24"/>
      <c r="AY803" s="24"/>
      <c r="AZ803" s="24"/>
      <c r="BA803" s="24"/>
      <c r="BC803" s="24">
        <v>46071.472964849534</v>
      </c>
      <c r="BD803" s="24">
        <v>46071.472964849534</v>
      </c>
      <c r="BE803" s="24">
        <v>46141.465475243058</v>
      </c>
      <c r="BF803" s="24">
        <v>46141.465475243058</v>
      </c>
      <c r="BG803">
        <v>1</v>
      </c>
      <c r="BH803" s="24">
        <v>46057.462216736109</v>
      </c>
      <c r="BI803" s="24">
        <v>46057.462216736109</v>
      </c>
      <c r="BJ803" s="24">
        <v>46058.443851516204</v>
      </c>
      <c r="BK803" s="24">
        <v>46058.443851516204</v>
      </c>
      <c r="BL803">
        <v>1</v>
      </c>
      <c r="BM803" s="24"/>
      <c r="BN803" s="24"/>
      <c r="BO803" s="24"/>
      <c r="BP803" s="24"/>
      <c r="BR803" s="24">
        <v>46071.471751400466</v>
      </c>
      <c r="BS803" s="24">
        <v>46071.471751400466</v>
      </c>
      <c r="BT803" s="24">
        <v>46071.472964849534</v>
      </c>
      <c r="BU803" s="24">
        <v>46071.472964849534</v>
      </c>
      <c r="BV803">
        <v>1</v>
      </c>
      <c r="BW803" s="24"/>
      <c r="BX803" s="24"/>
      <c r="BY803" s="24"/>
      <c r="BZ803" s="24"/>
      <c r="CB803" s="24"/>
      <c r="CC803" s="24"/>
      <c r="CE803" s="24">
        <v>46141.465475243058</v>
      </c>
      <c r="CF803" s="24">
        <v>46141.465475243058</v>
      </c>
      <c r="CG803">
        <v>1</v>
      </c>
      <c r="CH803" s="24"/>
      <c r="CI803" s="24"/>
      <c r="CJ803" s="24"/>
      <c r="CK803" s="24"/>
      <c r="DE803" s="24"/>
      <c r="DF803" s="24"/>
      <c r="DG803" s="24"/>
      <c r="DH803" s="24"/>
      <c r="DJ803" t="s">
        <v>149</v>
      </c>
      <c r="DK803" t="s">
        <v>149</v>
      </c>
      <c r="DM803">
        <v>85</v>
      </c>
      <c r="DN803">
        <v>84</v>
      </c>
      <c r="DQ803" t="s">
        <v>1001</v>
      </c>
      <c r="DR803" t="s">
        <v>149</v>
      </c>
      <c r="DS803" s="24">
        <v>46160.384426226854</v>
      </c>
    </row>
    <row r="804" spans="1:123" x14ac:dyDescent="0.3">
      <c r="A804" t="s">
        <v>1287</v>
      </c>
      <c r="D804" t="s">
        <v>223</v>
      </c>
      <c r="E804" s="24">
        <v>46056.611458333333</v>
      </c>
      <c r="G804" t="s">
        <v>90</v>
      </c>
      <c r="H804" t="s">
        <v>155</v>
      </c>
      <c r="I804" s="24"/>
      <c r="J804" s="24"/>
      <c r="K804" s="24"/>
      <c r="L804" s="24"/>
      <c r="N804" s="24"/>
      <c r="O804" s="24"/>
      <c r="P804" s="24"/>
      <c r="Q804" s="24"/>
      <c r="V804" s="24"/>
      <c r="W804" s="24"/>
      <c r="X804" s="24"/>
      <c r="Y804" s="24"/>
      <c r="AA804" s="24">
        <v>46058.007470439814</v>
      </c>
      <c r="AB804" s="24">
        <v>46058.007470439814</v>
      </c>
      <c r="AC804" s="24">
        <v>46071.478680624998</v>
      </c>
      <c r="AD804" s="24">
        <v>46071.478680624998</v>
      </c>
      <c r="AE804">
        <v>1</v>
      </c>
      <c r="AF804" s="24">
        <v>46071.478680624998</v>
      </c>
      <c r="AG804" s="24">
        <v>46071.478680624998</v>
      </c>
      <c r="AH804" s="24">
        <v>46071.478722523148</v>
      </c>
      <c r="AI804" s="24">
        <v>46071.478722523148</v>
      </c>
      <c r="AJ804">
        <v>1</v>
      </c>
      <c r="AK804" s="24"/>
      <c r="AL804" s="24"/>
      <c r="AM804" s="24"/>
      <c r="AN804" s="24"/>
      <c r="AP804" s="24"/>
      <c r="AQ804" s="24"/>
      <c r="AR804" s="24">
        <v>46056.611803715277</v>
      </c>
      <c r="AS804" s="24">
        <v>46056.611803715277</v>
      </c>
      <c r="AX804" s="24"/>
      <c r="AY804" s="24"/>
      <c r="AZ804" s="24"/>
      <c r="BA804" s="24"/>
      <c r="BC804" s="24"/>
      <c r="BD804" s="24"/>
      <c r="BE804" s="24"/>
      <c r="BF804" s="24"/>
      <c r="BH804" s="24">
        <v>46056.611803715277</v>
      </c>
      <c r="BI804" s="24">
        <v>46056.611803715277</v>
      </c>
      <c r="BJ804" s="24">
        <v>46058.007470439814</v>
      </c>
      <c r="BK804" s="24">
        <v>46058.007470439814</v>
      </c>
      <c r="BL804">
        <v>1</v>
      </c>
      <c r="BM804" s="24"/>
      <c r="BN804" s="24"/>
      <c r="BO804" s="24"/>
      <c r="BP804" s="24"/>
      <c r="BR804" s="24">
        <v>46071.478722523148</v>
      </c>
      <c r="BS804" s="24">
        <v>46071.478722523148</v>
      </c>
      <c r="BT804" s="24">
        <v>46071.478763495368</v>
      </c>
      <c r="BU804" s="24">
        <v>46071.478763495368</v>
      </c>
      <c r="BV804">
        <v>1</v>
      </c>
      <c r="BW804" s="24"/>
      <c r="BX804" s="24"/>
      <c r="BY804" s="24"/>
      <c r="BZ804" s="24"/>
      <c r="CB804" s="24"/>
      <c r="CC804" s="24"/>
      <c r="CE804" s="24">
        <v>46071.478763495368</v>
      </c>
      <c r="CF804" s="24">
        <v>46071.478763495368</v>
      </c>
      <c r="CG804">
        <v>1</v>
      </c>
      <c r="CH804" s="24"/>
      <c r="CI804" s="24"/>
      <c r="CJ804" s="24"/>
      <c r="CK804" s="24"/>
      <c r="DE804" s="24"/>
      <c r="DF804" s="24"/>
      <c r="DG804" s="24"/>
      <c r="DH804" s="24"/>
      <c r="DJ804" t="s">
        <v>149</v>
      </c>
      <c r="DK804" t="s">
        <v>149</v>
      </c>
      <c r="DM804">
        <v>15</v>
      </c>
      <c r="DN804">
        <v>14</v>
      </c>
      <c r="DQ804" t="s">
        <v>1001</v>
      </c>
      <c r="DR804" t="s">
        <v>149</v>
      </c>
      <c r="DS804" s="24">
        <v>46160.384426226854</v>
      </c>
    </row>
    <row r="805" spans="1:123" x14ac:dyDescent="0.3">
      <c r="A805" t="s">
        <v>1288</v>
      </c>
      <c r="D805" t="s">
        <v>225</v>
      </c>
      <c r="E805" s="24">
        <v>46056.608668981484</v>
      </c>
      <c r="G805" t="s">
        <v>90</v>
      </c>
      <c r="H805" t="s">
        <v>155</v>
      </c>
      <c r="I805" s="24"/>
      <c r="J805" s="24"/>
      <c r="K805" s="24"/>
      <c r="L805" s="24"/>
      <c r="N805" s="24"/>
      <c r="O805" s="24"/>
      <c r="P805" s="24"/>
      <c r="Q805" s="24"/>
      <c r="V805" s="24"/>
      <c r="W805" s="24"/>
      <c r="X805" s="24"/>
      <c r="Y805" s="24"/>
      <c r="AA805" s="24">
        <v>46062.457330324076</v>
      </c>
      <c r="AB805" s="24">
        <v>46062.457330324076</v>
      </c>
      <c r="AC805" s="24">
        <v>46073.572389918983</v>
      </c>
      <c r="AD805" s="24">
        <v>46073.572389918983</v>
      </c>
      <c r="AE805">
        <v>1</v>
      </c>
      <c r="AF805" s="24">
        <v>46073.572389918983</v>
      </c>
      <c r="AG805" s="24">
        <v>46073.572389918983</v>
      </c>
      <c r="AH805" s="24">
        <v>46078.673024918979</v>
      </c>
      <c r="AI805" s="24">
        <v>46078.673024918979</v>
      </c>
      <c r="AJ805">
        <v>1</v>
      </c>
      <c r="AK805" s="24">
        <v>46078.673024918979</v>
      </c>
      <c r="AL805" s="24">
        <v>46078.673024918979</v>
      </c>
      <c r="AM805" s="24">
        <v>46085.440657476851</v>
      </c>
      <c r="AN805" s="24">
        <v>46085.440657476851</v>
      </c>
      <c r="AO805">
        <v>1</v>
      </c>
      <c r="AP805" s="24"/>
      <c r="AQ805" s="24"/>
      <c r="AR805" s="24">
        <v>46056.611077754627</v>
      </c>
      <c r="AS805" s="24">
        <v>46056.611077754627</v>
      </c>
      <c r="AX805" s="24"/>
      <c r="AY805" s="24"/>
      <c r="AZ805" s="24"/>
      <c r="BA805" s="24"/>
      <c r="BC805" s="24">
        <v>46085.442411863427</v>
      </c>
      <c r="BD805" s="24">
        <v>46085.442411863427</v>
      </c>
      <c r="BE805" s="24">
        <v>46141.465475925928</v>
      </c>
      <c r="BF805" s="24">
        <v>46141.465475925928</v>
      </c>
      <c r="BG805">
        <v>1</v>
      </c>
      <c r="BH805" s="24">
        <v>46056.611077754627</v>
      </c>
      <c r="BI805" s="24">
        <v>46056.611077754627</v>
      </c>
      <c r="BJ805" s="24">
        <v>46062.457330324076</v>
      </c>
      <c r="BK805" s="24">
        <v>46062.457330324076</v>
      </c>
      <c r="BL805">
        <v>1</v>
      </c>
      <c r="BM805" s="24"/>
      <c r="BN805" s="24"/>
      <c r="BO805" s="24"/>
      <c r="BP805" s="24"/>
      <c r="BR805" s="24">
        <v>46085.440657476851</v>
      </c>
      <c r="BS805" s="24">
        <v>46085.440657476851</v>
      </c>
      <c r="BT805" s="24">
        <v>46085.442411863427</v>
      </c>
      <c r="BU805" s="24">
        <v>46085.442411863427</v>
      </c>
      <c r="BV805">
        <v>1</v>
      </c>
      <c r="BW805" s="24"/>
      <c r="BX805" s="24"/>
      <c r="BY805" s="24"/>
      <c r="BZ805" s="24"/>
      <c r="CB805" s="24"/>
      <c r="CC805" s="24"/>
      <c r="CE805" s="24">
        <v>46141.465475925928</v>
      </c>
      <c r="CF805" s="24">
        <v>46141.465475925928</v>
      </c>
      <c r="CG805">
        <v>1</v>
      </c>
      <c r="CH805" s="24"/>
      <c r="CI805" s="24"/>
      <c r="CJ805" s="24"/>
      <c r="CK805" s="24"/>
      <c r="DE805" s="24"/>
      <c r="DF805" s="24"/>
      <c r="DG805" s="24"/>
      <c r="DH805" s="24"/>
      <c r="DJ805" t="s">
        <v>149</v>
      </c>
      <c r="DK805" t="s">
        <v>149</v>
      </c>
      <c r="DM805">
        <v>85</v>
      </c>
      <c r="DN805">
        <v>80</v>
      </c>
      <c r="DQ805" t="s">
        <v>1001</v>
      </c>
      <c r="DR805" t="s">
        <v>149</v>
      </c>
      <c r="DS805" s="24">
        <v>46160.384426226854</v>
      </c>
    </row>
    <row r="806" spans="1:123" x14ac:dyDescent="0.3">
      <c r="A806" t="s">
        <v>1289</v>
      </c>
      <c r="D806" t="s">
        <v>225</v>
      </c>
      <c r="E806" s="24">
        <v>46056.425370370373</v>
      </c>
      <c r="G806" t="s">
        <v>90</v>
      </c>
      <c r="H806" t="s">
        <v>155</v>
      </c>
      <c r="I806" s="24"/>
      <c r="J806" s="24"/>
      <c r="K806" s="24"/>
      <c r="L806" s="24"/>
      <c r="N806" s="24"/>
      <c r="O806" s="24"/>
      <c r="P806" s="24"/>
      <c r="Q806" s="24"/>
      <c r="V806" s="24"/>
      <c r="W806" s="24"/>
      <c r="X806" s="24"/>
      <c r="Y806" s="24"/>
      <c r="AA806" s="24">
        <v>46121.386813495374</v>
      </c>
      <c r="AB806" s="24">
        <v>46121.386813495374</v>
      </c>
      <c r="AC806" s="24">
        <v>46121.594043425925</v>
      </c>
      <c r="AD806" s="24">
        <v>46121.594043425925</v>
      </c>
      <c r="AE806">
        <v>1</v>
      </c>
      <c r="AF806" s="24">
        <v>46121.594043425925</v>
      </c>
      <c r="AG806" s="24">
        <v>46121.594043425925</v>
      </c>
      <c r="AH806" s="24">
        <v>46126.52770017361</v>
      </c>
      <c r="AI806" s="24">
        <v>46126.52770017361</v>
      </c>
      <c r="AJ806">
        <v>1</v>
      </c>
      <c r="AK806" s="24">
        <v>46126.52770017361</v>
      </c>
      <c r="AL806" s="24">
        <v>46126.52770017361</v>
      </c>
      <c r="AM806" s="24">
        <v>46126.707229444444</v>
      </c>
      <c r="AN806" s="24">
        <v>46126.707229444444</v>
      </c>
      <c r="AO806">
        <v>1</v>
      </c>
      <c r="AP806" s="24"/>
      <c r="AQ806" s="24"/>
      <c r="AR806" s="24">
        <v>46099.541990451391</v>
      </c>
      <c r="AS806" s="24">
        <v>46099.541990451391</v>
      </c>
      <c r="AX806" s="24"/>
      <c r="AY806" s="24"/>
      <c r="AZ806" s="24"/>
      <c r="BA806" s="24"/>
      <c r="BC806" s="24">
        <v>46126.707549398147</v>
      </c>
      <c r="BD806" s="24">
        <v>46126.707549398147</v>
      </c>
      <c r="BE806" s="24">
        <v>46141.465476192127</v>
      </c>
      <c r="BF806" s="24">
        <v>46141.465476192127</v>
      </c>
      <c r="BG806">
        <v>1</v>
      </c>
      <c r="BH806" s="24">
        <v>46099.541990451391</v>
      </c>
      <c r="BI806" s="24">
        <v>46099.541990451391</v>
      </c>
      <c r="BJ806" s="24">
        <v>46121.386813495374</v>
      </c>
      <c r="BK806" s="24">
        <v>46121.386813495374</v>
      </c>
      <c r="BL806">
        <v>1</v>
      </c>
      <c r="BM806" s="24"/>
      <c r="BN806" s="24"/>
      <c r="BO806" s="24"/>
      <c r="BP806" s="24"/>
      <c r="BR806" s="24">
        <v>46126.707229444444</v>
      </c>
      <c r="BS806" s="24">
        <v>46126.707229444444</v>
      </c>
      <c r="BT806" s="24">
        <v>46126.707549398147</v>
      </c>
      <c r="BU806" s="24">
        <v>46126.707549398147</v>
      </c>
      <c r="BV806">
        <v>1</v>
      </c>
      <c r="BW806" s="24"/>
      <c r="BX806" s="24"/>
      <c r="BY806" s="24"/>
      <c r="BZ806" s="24"/>
      <c r="CB806" s="24"/>
      <c r="CC806" s="24"/>
      <c r="CE806" s="24">
        <v>46141.465476192127</v>
      </c>
      <c r="CF806" s="24">
        <v>46141.465476192127</v>
      </c>
      <c r="CG806">
        <v>1</v>
      </c>
      <c r="CH806" s="24"/>
      <c r="CI806" s="24"/>
      <c r="CJ806" s="24"/>
      <c r="CK806" s="24"/>
      <c r="DE806" s="24"/>
      <c r="DF806" s="24"/>
      <c r="DG806" s="24"/>
      <c r="DH806" s="24"/>
      <c r="DJ806" t="s">
        <v>149</v>
      </c>
      <c r="DK806" t="s">
        <v>149</v>
      </c>
      <c r="DM806">
        <v>42</v>
      </c>
      <c r="DN806">
        <v>21</v>
      </c>
      <c r="DQ806" t="s">
        <v>1001</v>
      </c>
      <c r="DR806" t="s">
        <v>149</v>
      </c>
      <c r="DS806" s="24">
        <v>46160.384426226854</v>
      </c>
    </row>
    <row r="807" spans="1:123" x14ac:dyDescent="0.3">
      <c r="A807" t="s">
        <v>1290</v>
      </c>
      <c r="D807" t="s">
        <v>225</v>
      </c>
      <c r="E807" s="24">
        <v>46055.401261574072</v>
      </c>
      <c r="G807" t="s">
        <v>90</v>
      </c>
      <c r="H807" t="s">
        <v>155</v>
      </c>
      <c r="I807" s="24"/>
      <c r="J807" s="24"/>
      <c r="K807" s="24"/>
      <c r="L807" s="24"/>
      <c r="N807" s="24"/>
      <c r="O807" s="24"/>
      <c r="P807" s="24"/>
      <c r="Q807" s="24"/>
      <c r="V807" s="24"/>
      <c r="W807" s="24"/>
      <c r="X807" s="24"/>
      <c r="Y807" s="24"/>
      <c r="AA807" s="24">
        <v>46055.604680532408</v>
      </c>
      <c r="AB807" s="24">
        <v>46055.604680532408</v>
      </c>
      <c r="AC807" s="24">
        <v>46056.563399409722</v>
      </c>
      <c r="AD807" s="24">
        <v>46056.563399409722</v>
      </c>
      <c r="AE807">
        <v>1</v>
      </c>
      <c r="AF807" s="24">
        <v>46056.563399409722</v>
      </c>
      <c r="AG807" s="24">
        <v>46056.563399409722</v>
      </c>
      <c r="AH807" s="24">
        <v>46056.563433599535</v>
      </c>
      <c r="AI807" s="24">
        <v>46056.563433599535</v>
      </c>
      <c r="AJ807">
        <v>1</v>
      </c>
      <c r="AK807" s="24">
        <v>46056.563433599535</v>
      </c>
      <c r="AL807" s="24">
        <v>46056.563433599535</v>
      </c>
      <c r="AM807" s="24">
        <v>46056.563461064812</v>
      </c>
      <c r="AN807" s="24">
        <v>46056.563461064812</v>
      </c>
      <c r="AO807">
        <v>1</v>
      </c>
      <c r="AP807" s="24"/>
      <c r="AQ807" s="24"/>
      <c r="AR807" s="24">
        <v>46055.401946226855</v>
      </c>
      <c r="AS807" s="24">
        <v>46055.401946226855</v>
      </c>
      <c r="AX807" s="24"/>
      <c r="AY807" s="24"/>
      <c r="AZ807" s="24"/>
      <c r="BA807" s="24"/>
      <c r="BC807" s="24">
        <v>46057.440494178241</v>
      </c>
      <c r="BD807" s="24">
        <v>46057.440494178241</v>
      </c>
      <c r="BE807" s="24">
        <v>46057.98397267361</v>
      </c>
      <c r="BF807" s="24">
        <v>46057.98397267361</v>
      </c>
      <c r="BG807">
        <v>1</v>
      </c>
      <c r="BH807" s="24">
        <v>46055.401946226855</v>
      </c>
      <c r="BI807" s="24">
        <v>46055.401946226855</v>
      </c>
      <c r="BJ807" s="24">
        <v>46055.604680532408</v>
      </c>
      <c r="BK807" s="24">
        <v>46055.604680532408</v>
      </c>
      <c r="BL807">
        <v>1</v>
      </c>
      <c r="BM807" s="24"/>
      <c r="BN807" s="24"/>
      <c r="BO807" s="24"/>
      <c r="BP807" s="24"/>
      <c r="BR807" s="24">
        <v>46056.563461064812</v>
      </c>
      <c r="BS807" s="24">
        <v>46056.563461064812</v>
      </c>
      <c r="BT807" s="24">
        <v>46057.440494178241</v>
      </c>
      <c r="BU807" s="24">
        <v>46057.440494178241</v>
      </c>
      <c r="BV807">
        <v>1</v>
      </c>
      <c r="BW807" s="24"/>
      <c r="BX807" s="24"/>
      <c r="BY807" s="24"/>
      <c r="BZ807" s="24"/>
      <c r="CB807" s="24"/>
      <c r="CC807" s="24"/>
      <c r="CE807" s="24">
        <v>46057.98397267361</v>
      </c>
      <c r="CF807" s="24">
        <v>46057.98397267361</v>
      </c>
      <c r="CG807">
        <v>1</v>
      </c>
      <c r="CH807" s="24"/>
      <c r="CI807" s="24"/>
      <c r="CJ807" s="24"/>
      <c r="CK807" s="24"/>
      <c r="DE807" s="24"/>
      <c r="DF807" s="24"/>
      <c r="DG807" s="24"/>
      <c r="DH807" s="24"/>
      <c r="DJ807" t="s">
        <v>149</v>
      </c>
      <c r="DK807" t="s">
        <v>149</v>
      </c>
      <c r="DM807">
        <v>3</v>
      </c>
      <c r="DN807">
        <v>3</v>
      </c>
      <c r="DQ807" t="s">
        <v>1001</v>
      </c>
      <c r="DR807" t="s">
        <v>149</v>
      </c>
      <c r="DS807" s="24">
        <v>46160.384426226854</v>
      </c>
    </row>
    <row r="808" spans="1:123" x14ac:dyDescent="0.3">
      <c r="A808" t="s">
        <v>1291</v>
      </c>
      <c r="D808" t="s">
        <v>223</v>
      </c>
      <c r="E808" s="24">
        <v>46052.671817129631</v>
      </c>
      <c r="G808" t="s">
        <v>102</v>
      </c>
      <c r="H808" t="s">
        <v>154</v>
      </c>
      <c r="I808" s="24"/>
      <c r="J808" s="24"/>
      <c r="K808" s="24"/>
      <c r="L808" s="24"/>
      <c r="N808" s="24"/>
      <c r="O808" s="24"/>
      <c r="P808" s="24"/>
      <c r="Q808" s="24"/>
      <c r="V808" s="24"/>
      <c r="W808" s="24"/>
      <c r="X808" s="24"/>
      <c r="Y808" s="24"/>
      <c r="AA808" s="24"/>
      <c r="AB808" s="24"/>
      <c r="AC808" s="24"/>
      <c r="AD808" s="24"/>
      <c r="AF808" s="24"/>
      <c r="AG808" s="24"/>
      <c r="AH808" s="24"/>
      <c r="AI808" s="24"/>
      <c r="AK808" s="24"/>
      <c r="AL808" s="24"/>
      <c r="AM808" s="24"/>
      <c r="AN808" s="24"/>
      <c r="AP808" s="24"/>
      <c r="AQ808" s="24"/>
      <c r="AR808" s="24"/>
      <c r="AS808" s="24"/>
      <c r="AX808" s="24"/>
      <c r="AY808" s="24"/>
      <c r="AZ808" s="24"/>
      <c r="BA808" s="24"/>
      <c r="BC808" s="24"/>
      <c r="BD808" s="24"/>
      <c r="BE808" s="24"/>
      <c r="BF808" s="24"/>
      <c r="BH808" s="24"/>
      <c r="BI808" s="24"/>
      <c r="BJ808" s="24"/>
      <c r="BK808" s="24"/>
      <c r="BM808" s="24"/>
      <c r="BN808" s="24"/>
      <c r="BO808" s="24"/>
      <c r="BP808" s="24"/>
      <c r="BR808" s="24"/>
      <c r="BS808" s="24"/>
      <c r="BT808" s="24"/>
      <c r="BU808" s="24"/>
      <c r="BW808" s="24"/>
      <c r="BX808" s="24"/>
      <c r="BY808" s="24"/>
      <c r="BZ808" s="24"/>
      <c r="CB808" s="24"/>
      <c r="CC808" s="24"/>
      <c r="CE808" s="24"/>
      <c r="CF808" s="24"/>
      <c r="CH808" s="24"/>
      <c r="CI808" s="24"/>
      <c r="CJ808" s="24"/>
      <c r="CK808" s="24"/>
      <c r="DE808" s="24"/>
      <c r="DF808" s="24"/>
      <c r="DG808" s="24"/>
      <c r="DH808" s="24"/>
      <c r="DJ808" t="s">
        <v>149</v>
      </c>
      <c r="DK808" t="s">
        <v>149</v>
      </c>
      <c r="DQ808" t="s">
        <v>1001</v>
      </c>
      <c r="DR808" t="s">
        <v>149</v>
      </c>
      <c r="DS808" s="24">
        <v>46160.384426226854</v>
      </c>
    </row>
    <row r="809" spans="1:123" x14ac:dyDescent="0.3">
      <c r="A809" t="s">
        <v>1292</v>
      </c>
      <c r="D809" t="s">
        <v>223</v>
      </c>
      <c r="E809" s="24">
        <v>46052.669594907406</v>
      </c>
      <c r="G809" t="s">
        <v>102</v>
      </c>
      <c r="H809" t="s">
        <v>154</v>
      </c>
      <c r="I809" s="24"/>
      <c r="J809" s="24"/>
      <c r="K809" s="24"/>
      <c r="L809" s="24"/>
      <c r="N809" s="24"/>
      <c r="O809" s="24"/>
      <c r="P809" s="24"/>
      <c r="Q809" s="24"/>
      <c r="V809" s="24"/>
      <c r="W809" s="24"/>
      <c r="X809" s="24"/>
      <c r="Y809" s="24"/>
      <c r="AA809" s="24"/>
      <c r="AB809" s="24"/>
      <c r="AC809" s="24"/>
      <c r="AD809" s="24"/>
      <c r="AF809" s="24"/>
      <c r="AG809" s="24"/>
      <c r="AH809" s="24"/>
      <c r="AI809" s="24"/>
      <c r="AK809" s="24"/>
      <c r="AL809" s="24"/>
      <c r="AM809" s="24"/>
      <c r="AN809" s="24"/>
      <c r="AP809" s="24"/>
      <c r="AQ809" s="24"/>
      <c r="AR809" s="24"/>
      <c r="AS809" s="24"/>
      <c r="AX809" s="24"/>
      <c r="AY809" s="24"/>
      <c r="AZ809" s="24"/>
      <c r="BA809" s="24"/>
      <c r="BC809" s="24"/>
      <c r="BD809" s="24"/>
      <c r="BE809" s="24"/>
      <c r="BF809" s="24"/>
      <c r="BH809" s="24"/>
      <c r="BI809" s="24"/>
      <c r="BJ809" s="24"/>
      <c r="BK809" s="24"/>
      <c r="BM809" s="24"/>
      <c r="BN809" s="24"/>
      <c r="BO809" s="24"/>
      <c r="BP809" s="24"/>
      <c r="BR809" s="24"/>
      <c r="BS809" s="24"/>
      <c r="BT809" s="24"/>
      <c r="BU809" s="24"/>
      <c r="BW809" s="24"/>
      <c r="BX809" s="24"/>
      <c r="BY809" s="24"/>
      <c r="BZ809" s="24"/>
      <c r="CB809" s="24"/>
      <c r="CC809" s="24"/>
      <c r="CE809" s="24"/>
      <c r="CF809" s="24"/>
      <c r="CH809" s="24"/>
      <c r="CI809" s="24"/>
      <c r="CJ809" s="24"/>
      <c r="CK809" s="24"/>
      <c r="DE809" s="24"/>
      <c r="DF809" s="24"/>
      <c r="DG809" s="24"/>
      <c r="DH809" s="24"/>
      <c r="DJ809" t="s">
        <v>149</v>
      </c>
      <c r="DK809" t="s">
        <v>149</v>
      </c>
      <c r="DQ809" t="s">
        <v>1001</v>
      </c>
      <c r="DR809" t="s">
        <v>149</v>
      </c>
      <c r="DS809" s="24">
        <v>46160.384426226854</v>
      </c>
    </row>
    <row r="810" spans="1:123" x14ac:dyDescent="0.3">
      <c r="A810" t="s">
        <v>1293</v>
      </c>
      <c r="D810" t="s">
        <v>225</v>
      </c>
      <c r="E810" s="24">
        <v>46052.560277777775</v>
      </c>
      <c r="G810" t="s">
        <v>107</v>
      </c>
      <c r="H810" t="s">
        <v>154</v>
      </c>
      <c r="I810" s="24"/>
      <c r="J810" s="24"/>
      <c r="K810" s="24"/>
      <c r="L810" s="24"/>
      <c r="N810" s="24"/>
      <c r="O810" s="24"/>
      <c r="P810" s="24"/>
      <c r="Q810" s="24"/>
      <c r="V810" s="24"/>
      <c r="W810" s="24"/>
      <c r="X810" s="24"/>
      <c r="Y810" s="24"/>
      <c r="AA810" s="24"/>
      <c r="AB810" s="24"/>
      <c r="AC810" s="24"/>
      <c r="AD810" s="24"/>
      <c r="AF810" s="24"/>
      <c r="AG810" s="24"/>
      <c r="AH810" s="24"/>
      <c r="AI810" s="24"/>
      <c r="AK810" s="24"/>
      <c r="AL810" s="24"/>
      <c r="AM810" s="24"/>
      <c r="AN810" s="24"/>
      <c r="AP810" s="24"/>
      <c r="AQ810" s="24"/>
      <c r="AR810" s="24">
        <v>46057.564336597221</v>
      </c>
      <c r="AS810" s="24">
        <v>46057.564336597221</v>
      </c>
      <c r="AX810" s="24"/>
      <c r="AY810" s="24"/>
      <c r="AZ810" s="24"/>
      <c r="BA810" s="24"/>
      <c r="BC810" s="24"/>
      <c r="BD810" s="24"/>
      <c r="BE810" s="24"/>
      <c r="BF810" s="24"/>
      <c r="BH810" s="24">
        <v>46057.564336597221</v>
      </c>
      <c r="BI810" s="24">
        <v>46057.564336597221</v>
      </c>
      <c r="BJ810" s="24"/>
      <c r="BK810" s="24"/>
      <c r="BL810">
        <v>1</v>
      </c>
      <c r="BM810" s="24"/>
      <c r="BN810" s="24"/>
      <c r="BO810" s="24"/>
      <c r="BP810" s="24"/>
      <c r="BR810" s="24"/>
      <c r="BS810" s="24"/>
      <c r="BT810" s="24"/>
      <c r="BU810" s="24"/>
      <c r="BW810" s="24"/>
      <c r="BX810" s="24"/>
      <c r="BY810" s="24"/>
      <c r="BZ810" s="24"/>
      <c r="CB810" s="24"/>
      <c r="CC810" s="24"/>
      <c r="CE810" s="24"/>
      <c r="CF810" s="24"/>
      <c r="CH810" s="24"/>
      <c r="CI810" s="24"/>
      <c r="CJ810" s="24"/>
      <c r="CK810" s="24"/>
      <c r="DE810" s="24"/>
      <c r="DF810" s="24"/>
      <c r="DG810" s="24"/>
      <c r="DH810" s="24"/>
      <c r="DJ810" t="s">
        <v>149</v>
      </c>
      <c r="DK810" t="s">
        <v>149</v>
      </c>
      <c r="DP810">
        <v>103</v>
      </c>
      <c r="DQ810" t="s">
        <v>1001</v>
      </c>
      <c r="DR810" t="s">
        <v>149</v>
      </c>
      <c r="DS810" s="24">
        <v>46160.384426226854</v>
      </c>
    </row>
    <row r="811" spans="1:123" x14ac:dyDescent="0.3">
      <c r="A811" t="s">
        <v>1294</v>
      </c>
      <c r="D811" t="s">
        <v>225</v>
      </c>
      <c r="E811" s="24">
        <v>46052.559861111113</v>
      </c>
      <c r="G811" t="s">
        <v>106</v>
      </c>
      <c r="H811" t="s">
        <v>154</v>
      </c>
      <c r="I811" s="24"/>
      <c r="J811" s="24"/>
      <c r="K811" s="24"/>
      <c r="L811" s="24"/>
      <c r="N811" s="24"/>
      <c r="O811" s="24"/>
      <c r="P811" s="24"/>
      <c r="Q811" s="24"/>
      <c r="V811" s="24"/>
      <c r="W811" s="24"/>
      <c r="X811" s="24"/>
      <c r="Y811" s="24"/>
      <c r="AA811" s="24"/>
      <c r="AB811" s="24"/>
      <c r="AC811" s="24"/>
      <c r="AD811" s="24"/>
      <c r="AF811" s="24"/>
      <c r="AG811" s="24"/>
      <c r="AH811" s="24"/>
      <c r="AI811" s="24"/>
      <c r="AK811" s="24"/>
      <c r="AL811" s="24"/>
      <c r="AM811" s="24"/>
      <c r="AN811" s="24"/>
      <c r="AP811" s="24"/>
      <c r="AQ811" s="24"/>
      <c r="AR811" s="24">
        <v>46114.446232013892</v>
      </c>
      <c r="AS811" s="24">
        <v>46114.446232013892</v>
      </c>
      <c r="AX811" s="24"/>
      <c r="AY811" s="24"/>
      <c r="AZ811" s="24"/>
      <c r="BA811" s="24"/>
      <c r="BC811" s="24"/>
      <c r="BD811" s="24"/>
      <c r="BE811" s="24"/>
      <c r="BF811" s="24"/>
      <c r="BH811" s="24"/>
      <c r="BI811" s="24"/>
      <c r="BJ811" s="24"/>
      <c r="BK811" s="24"/>
      <c r="BM811" s="24"/>
      <c r="BN811" s="24"/>
      <c r="BO811" s="24"/>
      <c r="BP811" s="24"/>
      <c r="BR811" s="24"/>
      <c r="BS811" s="24"/>
      <c r="BT811" s="24"/>
      <c r="BU811" s="24"/>
      <c r="BW811" s="24">
        <v>46114.446232013892</v>
      </c>
      <c r="BX811" s="24">
        <v>46114.446232013892</v>
      </c>
      <c r="BY811" s="24"/>
      <c r="BZ811" s="24"/>
      <c r="CA811">
        <v>1</v>
      </c>
      <c r="CB811" s="24"/>
      <c r="CC811" s="24"/>
      <c r="CE811" s="24"/>
      <c r="CF811" s="24"/>
      <c r="CH811" s="24"/>
      <c r="CI811" s="24"/>
      <c r="CJ811" s="24"/>
      <c r="CK811" s="24"/>
      <c r="DE811" s="24"/>
      <c r="DF811" s="24"/>
      <c r="DG811" s="24"/>
      <c r="DH811" s="24"/>
      <c r="DJ811" t="s">
        <v>149</v>
      </c>
      <c r="DK811" t="s">
        <v>149</v>
      </c>
      <c r="DP811">
        <v>46</v>
      </c>
      <c r="DQ811" t="s">
        <v>1001</v>
      </c>
      <c r="DR811" t="s">
        <v>149</v>
      </c>
      <c r="DS811" s="24">
        <v>46160.384426226854</v>
      </c>
    </row>
    <row r="812" spans="1:123" x14ac:dyDescent="0.3">
      <c r="A812" t="s">
        <v>1295</v>
      </c>
      <c r="D812" t="s">
        <v>225</v>
      </c>
      <c r="E812" s="24">
        <v>46052.486493055556</v>
      </c>
      <c r="G812" t="s">
        <v>107</v>
      </c>
      <c r="H812" t="s">
        <v>154</v>
      </c>
      <c r="I812" s="24"/>
      <c r="J812" s="24"/>
      <c r="K812" s="24"/>
      <c r="L812" s="24"/>
      <c r="N812" s="24"/>
      <c r="O812" s="24"/>
      <c r="P812" s="24"/>
      <c r="Q812" s="24"/>
      <c r="V812" s="24"/>
      <c r="W812" s="24"/>
      <c r="X812" s="24"/>
      <c r="Y812" s="24"/>
      <c r="AA812" s="24"/>
      <c r="AB812" s="24"/>
      <c r="AC812" s="24"/>
      <c r="AD812" s="24"/>
      <c r="AF812" s="24"/>
      <c r="AG812" s="24"/>
      <c r="AH812" s="24"/>
      <c r="AI812" s="24"/>
      <c r="AK812" s="24"/>
      <c r="AL812" s="24"/>
      <c r="AM812" s="24"/>
      <c r="AN812" s="24"/>
      <c r="AP812" s="24"/>
      <c r="AQ812" s="24"/>
      <c r="AR812" s="24">
        <v>46057.483187199075</v>
      </c>
      <c r="AS812" s="24">
        <v>46057.483187199075</v>
      </c>
      <c r="AX812" s="24"/>
      <c r="AY812" s="24"/>
      <c r="AZ812" s="24"/>
      <c r="BA812" s="24"/>
      <c r="BC812" s="24"/>
      <c r="BD812" s="24"/>
      <c r="BE812" s="24"/>
      <c r="BF812" s="24"/>
      <c r="BH812" s="24">
        <v>46057.483187199075</v>
      </c>
      <c r="BI812" s="24">
        <v>46057.483187199075</v>
      </c>
      <c r="BJ812" s="24"/>
      <c r="BK812" s="24"/>
      <c r="BL812">
        <v>1</v>
      </c>
      <c r="BM812" s="24"/>
      <c r="BN812" s="24"/>
      <c r="BO812" s="24"/>
      <c r="BP812" s="24"/>
      <c r="BR812" s="24"/>
      <c r="BS812" s="24"/>
      <c r="BT812" s="24"/>
      <c r="BU812" s="24"/>
      <c r="BW812" s="24"/>
      <c r="BX812" s="24"/>
      <c r="BY812" s="24"/>
      <c r="BZ812" s="24"/>
      <c r="CB812" s="24"/>
      <c r="CC812" s="24"/>
      <c r="CE812" s="24"/>
      <c r="CF812" s="24"/>
      <c r="CH812" s="24"/>
      <c r="CI812" s="24"/>
      <c r="CJ812" s="24"/>
      <c r="CK812" s="24"/>
      <c r="DE812" s="24"/>
      <c r="DF812" s="24"/>
      <c r="DG812" s="24"/>
      <c r="DH812" s="24"/>
      <c r="DJ812" t="s">
        <v>149</v>
      </c>
      <c r="DK812" t="s">
        <v>149</v>
      </c>
      <c r="DP812">
        <v>103</v>
      </c>
      <c r="DQ812" t="s">
        <v>1001</v>
      </c>
      <c r="DR812" t="s">
        <v>149</v>
      </c>
      <c r="DS812" s="24">
        <v>46160.384426226854</v>
      </c>
    </row>
    <row r="813" spans="1:123" x14ac:dyDescent="0.3">
      <c r="A813" t="s">
        <v>1296</v>
      </c>
      <c r="D813" t="s">
        <v>225</v>
      </c>
      <c r="E813" s="24">
        <v>46052.390011574076</v>
      </c>
      <c r="G813" t="s">
        <v>102</v>
      </c>
      <c r="H813" t="s">
        <v>154</v>
      </c>
      <c r="I813" s="24"/>
      <c r="J813" s="24"/>
      <c r="K813" s="24"/>
      <c r="L813" s="24"/>
      <c r="N813" s="24"/>
      <c r="O813" s="24"/>
      <c r="P813" s="24"/>
      <c r="Q813" s="24"/>
      <c r="V813" s="24"/>
      <c r="W813" s="24"/>
      <c r="X813" s="24"/>
      <c r="Y813" s="24"/>
      <c r="AA813" s="24"/>
      <c r="AB813" s="24"/>
      <c r="AC813" s="24"/>
      <c r="AD813" s="24"/>
      <c r="AF813" s="24"/>
      <c r="AG813" s="24"/>
      <c r="AH813" s="24"/>
      <c r="AI813" s="24"/>
      <c r="AK813" s="24"/>
      <c r="AL813" s="24"/>
      <c r="AM813" s="24"/>
      <c r="AN813" s="24"/>
      <c r="AP813" s="24"/>
      <c r="AQ813" s="24"/>
      <c r="AR813" s="24"/>
      <c r="AS813" s="24"/>
      <c r="AX813" s="24"/>
      <c r="AY813" s="24"/>
      <c r="AZ813" s="24"/>
      <c r="BA813" s="24"/>
      <c r="BC813" s="24"/>
      <c r="BD813" s="24"/>
      <c r="BE813" s="24"/>
      <c r="BF813" s="24"/>
      <c r="BH813" s="24"/>
      <c r="BI813" s="24"/>
      <c r="BJ813" s="24"/>
      <c r="BK813" s="24"/>
      <c r="BM813" s="24"/>
      <c r="BN813" s="24"/>
      <c r="BO813" s="24"/>
      <c r="BP813" s="24"/>
      <c r="BR813" s="24"/>
      <c r="BS813" s="24"/>
      <c r="BT813" s="24"/>
      <c r="BU813" s="24"/>
      <c r="BW813" s="24"/>
      <c r="BX813" s="24"/>
      <c r="BY813" s="24"/>
      <c r="BZ813" s="24"/>
      <c r="CB813" s="24"/>
      <c r="CC813" s="24"/>
      <c r="CE813" s="24"/>
      <c r="CF813" s="24"/>
      <c r="CH813" s="24"/>
      <c r="CI813" s="24"/>
      <c r="CJ813" s="24"/>
      <c r="CK813" s="24"/>
      <c r="DE813" s="24"/>
      <c r="DF813" s="24"/>
      <c r="DG813" s="24"/>
      <c r="DH813" s="24"/>
      <c r="DJ813" t="s">
        <v>149</v>
      </c>
      <c r="DK813" t="s">
        <v>149</v>
      </c>
      <c r="DQ813" t="s">
        <v>1001</v>
      </c>
      <c r="DR813" t="s">
        <v>149</v>
      </c>
      <c r="DS813" s="24">
        <v>46160.384426226854</v>
      </c>
    </row>
    <row r="814" spans="1:123" x14ac:dyDescent="0.3">
      <c r="A814" t="s">
        <v>1297</v>
      </c>
      <c r="D814" t="s">
        <v>223</v>
      </c>
      <c r="E814" s="24">
        <v>46052.356296296297</v>
      </c>
      <c r="G814" t="s">
        <v>107</v>
      </c>
      <c r="H814" t="s">
        <v>154</v>
      </c>
      <c r="I814" s="24"/>
      <c r="J814" s="24"/>
      <c r="K814" s="24"/>
      <c r="L814" s="24"/>
      <c r="N814" s="24"/>
      <c r="O814" s="24"/>
      <c r="P814" s="24"/>
      <c r="Q814" s="24"/>
      <c r="V814" s="24"/>
      <c r="W814" s="24"/>
      <c r="X814" s="24"/>
      <c r="Y814" s="24"/>
      <c r="AA814" s="24"/>
      <c r="AB814" s="24"/>
      <c r="AC814" s="24"/>
      <c r="AD814" s="24"/>
      <c r="AF814" s="24"/>
      <c r="AG814" s="24"/>
      <c r="AH814" s="24"/>
      <c r="AI814" s="24"/>
      <c r="AK814" s="24"/>
      <c r="AL814" s="24"/>
      <c r="AM814" s="24"/>
      <c r="AN814" s="24"/>
      <c r="AP814" s="24"/>
      <c r="AQ814" s="24"/>
      <c r="AR814" s="24">
        <v>46057.465088229168</v>
      </c>
      <c r="AS814" s="24">
        <v>46057.465088229168</v>
      </c>
      <c r="AX814" s="24"/>
      <c r="AY814" s="24"/>
      <c r="AZ814" s="24"/>
      <c r="BA814" s="24"/>
      <c r="BC814" s="24"/>
      <c r="BD814" s="24"/>
      <c r="BE814" s="24"/>
      <c r="BF814" s="24"/>
      <c r="BH814" s="24">
        <v>46057.465088229168</v>
      </c>
      <c r="BI814" s="24">
        <v>46057.465088229168</v>
      </c>
      <c r="BJ814" s="24"/>
      <c r="BK814" s="24"/>
      <c r="BL814">
        <v>1</v>
      </c>
      <c r="BM814" s="24"/>
      <c r="BN814" s="24"/>
      <c r="BO814" s="24"/>
      <c r="BP814" s="24"/>
      <c r="BR814" s="24"/>
      <c r="BS814" s="24"/>
      <c r="BT814" s="24"/>
      <c r="BU814" s="24"/>
      <c r="BW814" s="24"/>
      <c r="BX814" s="24"/>
      <c r="BY814" s="24"/>
      <c r="BZ814" s="24"/>
      <c r="CB814" s="24"/>
      <c r="CC814" s="24"/>
      <c r="CE814" s="24"/>
      <c r="CF814" s="24"/>
      <c r="CH814" s="24"/>
      <c r="CI814" s="24"/>
      <c r="CJ814" s="24"/>
      <c r="CK814" s="24"/>
      <c r="DE814" s="24"/>
      <c r="DF814" s="24"/>
      <c r="DG814" s="24"/>
      <c r="DH814" s="24"/>
      <c r="DJ814" t="s">
        <v>149</v>
      </c>
      <c r="DK814" t="s">
        <v>149</v>
      </c>
      <c r="DP814">
        <v>103</v>
      </c>
      <c r="DQ814" t="s">
        <v>1001</v>
      </c>
      <c r="DR814" t="s">
        <v>149</v>
      </c>
      <c r="DS814" s="24">
        <v>46160.384426226854</v>
      </c>
    </row>
    <row r="815" spans="1:123" x14ac:dyDescent="0.3">
      <c r="A815" t="s">
        <v>1298</v>
      </c>
      <c r="D815" t="s">
        <v>225</v>
      </c>
      <c r="E815" s="24">
        <v>46043.467476851853</v>
      </c>
      <c r="G815" t="s">
        <v>90</v>
      </c>
      <c r="H815" t="s">
        <v>155</v>
      </c>
      <c r="I815" s="24"/>
      <c r="J815" s="24"/>
      <c r="K815" s="24"/>
      <c r="L815" s="24"/>
      <c r="N815" s="24"/>
      <c r="O815" s="24"/>
      <c r="P815" s="24"/>
      <c r="Q815" s="24"/>
      <c r="V815" s="24"/>
      <c r="W815" s="24"/>
      <c r="X815" s="24"/>
      <c r="Y815" s="24"/>
      <c r="AA815" s="24">
        <v>46043.994171689817</v>
      </c>
      <c r="AB815" s="24">
        <v>46043.994171689817</v>
      </c>
      <c r="AC815" s="24">
        <v>46044.075366585646</v>
      </c>
      <c r="AD815" s="24">
        <v>46044.075366585646</v>
      </c>
      <c r="AE815">
        <v>1</v>
      </c>
      <c r="AF815" s="24">
        <v>46044.075366585646</v>
      </c>
      <c r="AG815" s="24">
        <v>46044.075366585646</v>
      </c>
      <c r="AH815" s="24">
        <v>46044.313811967593</v>
      </c>
      <c r="AI815" s="24">
        <v>46044.313811967593</v>
      </c>
      <c r="AJ815">
        <v>1</v>
      </c>
      <c r="AK815" s="24">
        <v>46044.313811967593</v>
      </c>
      <c r="AL815" s="24">
        <v>46044.313811967593</v>
      </c>
      <c r="AM815" s="24">
        <v>46044.363246446759</v>
      </c>
      <c r="AN815" s="24">
        <v>46044.363246446759</v>
      </c>
      <c r="AO815">
        <v>1</v>
      </c>
      <c r="AP815" s="24"/>
      <c r="AQ815" s="24"/>
      <c r="AR815" s="24">
        <v>46043.468562754628</v>
      </c>
      <c r="AS815" s="24">
        <v>46043.468562754628</v>
      </c>
      <c r="AX815" s="24"/>
      <c r="AY815" s="24"/>
      <c r="AZ815" s="24"/>
      <c r="BA815" s="24"/>
      <c r="BC815" s="24">
        <v>46044.366915671293</v>
      </c>
      <c r="BD815" s="24">
        <v>46044.366915671293</v>
      </c>
      <c r="BE815" s="24">
        <v>46055.395445057868</v>
      </c>
      <c r="BF815" s="24">
        <v>46055.395445057868</v>
      </c>
      <c r="BG815">
        <v>1</v>
      </c>
      <c r="BH815" s="24">
        <v>46043.468562754628</v>
      </c>
      <c r="BI815" s="24">
        <v>46043.468562754628</v>
      </c>
      <c r="BJ815" s="24">
        <v>46043.994171689817</v>
      </c>
      <c r="BK815" s="24">
        <v>46043.994171689817</v>
      </c>
      <c r="BL815">
        <v>1</v>
      </c>
      <c r="BM815" s="24"/>
      <c r="BN815" s="24"/>
      <c r="BO815" s="24"/>
      <c r="BP815" s="24"/>
      <c r="BR815" s="24">
        <v>46044.363246446759</v>
      </c>
      <c r="BS815" s="24">
        <v>46044.363246446759</v>
      </c>
      <c r="BT815" s="24">
        <v>46044.366915671293</v>
      </c>
      <c r="BU815" s="24">
        <v>46044.366915671293</v>
      </c>
      <c r="BV815">
        <v>1</v>
      </c>
      <c r="BW815" s="24"/>
      <c r="BX815" s="24"/>
      <c r="BY815" s="24"/>
      <c r="BZ815" s="24"/>
      <c r="CB815" s="24"/>
      <c r="CC815" s="24"/>
      <c r="CE815" s="24">
        <v>46055.395445057868</v>
      </c>
      <c r="CF815" s="24">
        <v>46055.395445057868</v>
      </c>
      <c r="CG815">
        <v>1</v>
      </c>
      <c r="CH815" s="24"/>
      <c r="CI815" s="24"/>
      <c r="CJ815" s="24"/>
      <c r="CK815" s="24"/>
      <c r="DE815" s="24"/>
      <c r="DF815" s="24"/>
      <c r="DG815" s="24"/>
      <c r="DH815" s="24"/>
      <c r="DJ815" t="s">
        <v>149</v>
      </c>
      <c r="DK815" t="s">
        <v>149</v>
      </c>
      <c r="DM815">
        <v>12</v>
      </c>
      <c r="DN815">
        <v>12</v>
      </c>
      <c r="DQ815" t="s">
        <v>1001</v>
      </c>
      <c r="DR815" t="s">
        <v>149</v>
      </c>
      <c r="DS815" s="24">
        <v>46160.384426226854</v>
      </c>
    </row>
    <row r="816" spans="1:123" x14ac:dyDescent="0.3">
      <c r="A816" t="s">
        <v>1299</v>
      </c>
      <c r="D816" t="s">
        <v>223</v>
      </c>
      <c r="E816" s="24">
        <v>46043.279421296298</v>
      </c>
      <c r="G816" t="s">
        <v>90</v>
      </c>
      <c r="H816" t="s">
        <v>155</v>
      </c>
      <c r="I816" s="24"/>
      <c r="J816" s="24"/>
      <c r="K816" s="24"/>
      <c r="L816" s="24"/>
      <c r="N816" s="24"/>
      <c r="O816" s="24"/>
      <c r="P816" s="24"/>
      <c r="Q816" s="24"/>
      <c r="V816" s="24"/>
      <c r="W816" s="24"/>
      <c r="X816" s="24"/>
      <c r="Y816" s="24"/>
      <c r="AA816" s="24">
        <v>46044.393335532404</v>
      </c>
      <c r="AB816" s="24">
        <v>46044.393335532404</v>
      </c>
      <c r="AC816" s="24">
        <v>46044.401850752314</v>
      </c>
      <c r="AD816" s="24">
        <v>46044.401850752314</v>
      </c>
      <c r="AE816">
        <v>1</v>
      </c>
      <c r="AF816" s="24">
        <v>46044.401850752314</v>
      </c>
      <c r="AG816" s="24">
        <v>46044.401850752314</v>
      </c>
      <c r="AH816" s="24">
        <v>46057.426722662036</v>
      </c>
      <c r="AI816" s="24">
        <v>46057.426722662036</v>
      </c>
      <c r="AJ816">
        <v>1</v>
      </c>
      <c r="AK816" s="24"/>
      <c r="AL816" s="24"/>
      <c r="AM816" s="24"/>
      <c r="AN816" s="24"/>
      <c r="AP816" s="24"/>
      <c r="AQ816" s="24"/>
      <c r="AR816" s="24">
        <v>46043.283374930557</v>
      </c>
      <c r="AS816" s="24">
        <v>46043.283374930557</v>
      </c>
      <c r="AX816" s="24"/>
      <c r="AY816" s="24"/>
      <c r="AZ816" s="24"/>
      <c r="BA816" s="24"/>
      <c r="BC816" s="24"/>
      <c r="BD816" s="24"/>
      <c r="BE816" s="24"/>
      <c r="BF816" s="24"/>
      <c r="BH816" s="24">
        <v>46043.283374930557</v>
      </c>
      <c r="BI816" s="24">
        <v>46043.283374930557</v>
      </c>
      <c r="BJ816" s="24">
        <v>46044.393335532404</v>
      </c>
      <c r="BK816" s="24">
        <v>46044.393335532404</v>
      </c>
      <c r="BL816">
        <v>1</v>
      </c>
      <c r="BM816" s="24"/>
      <c r="BN816" s="24"/>
      <c r="BO816" s="24"/>
      <c r="BP816" s="24"/>
      <c r="BR816" s="24"/>
      <c r="BS816" s="24"/>
      <c r="BT816" s="24"/>
      <c r="BU816" s="24"/>
      <c r="BW816" s="24"/>
      <c r="BX816" s="24"/>
      <c r="BY816" s="24"/>
      <c r="BZ816" s="24"/>
      <c r="CB816" s="24"/>
      <c r="CC816" s="24"/>
      <c r="CE816" s="24">
        <v>46057.426722662036</v>
      </c>
      <c r="CF816" s="24">
        <v>46057.426722662036</v>
      </c>
      <c r="CG816">
        <v>1</v>
      </c>
      <c r="CH816" s="24"/>
      <c r="CI816" s="24"/>
      <c r="CJ816" s="24"/>
      <c r="CK816" s="24"/>
      <c r="DE816" s="24"/>
      <c r="DF816" s="24"/>
      <c r="DG816" s="24"/>
      <c r="DH816" s="24"/>
      <c r="DJ816" t="s">
        <v>149</v>
      </c>
      <c r="DK816" t="s">
        <v>149</v>
      </c>
      <c r="DM816">
        <v>15</v>
      </c>
      <c r="DN816">
        <v>14</v>
      </c>
      <c r="DQ816" t="s">
        <v>1001</v>
      </c>
      <c r="DR816" t="s">
        <v>149</v>
      </c>
      <c r="DS816" s="24">
        <v>46160.384426226854</v>
      </c>
    </row>
    <row r="817" spans="1:123" x14ac:dyDescent="0.3">
      <c r="A817" t="s">
        <v>1300</v>
      </c>
      <c r="D817" t="s">
        <v>225</v>
      </c>
      <c r="E817" s="24">
        <v>46042.321215277778</v>
      </c>
      <c r="G817" t="s">
        <v>90</v>
      </c>
      <c r="H817" t="s">
        <v>155</v>
      </c>
      <c r="I817" s="24"/>
      <c r="J817" s="24"/>
      <c r="K817" s="24"/>
      <c r="L817" s="24"/>
      <c r="N817" s="24"/>
      <c r="O817" s="24"/>
      <c r="P817" s="24"/>
      <c r="Q817" s="24"/>
      <c r="V817" s="24"/>
      <c r="W817" s="24"/>
      <c r="X817" s="24"/>
      <c r="Y817" s="24"/>
      <c r="AA817" s="24">
        <v>46043.582160601851</v>
      </c>
      <c r="AB817" s="24">
        <v>46043.582160601851</v>
      </c>
      <c r="AC817" s="24">
        <v>46043.582188171298</v>
      </c>
      <c r="AD817" s="24">
        <v>46043.582188171298</v>
      </c>
      <c r="AE817">
        <v>1</v>
      </c>
      <c r="AF817" s="24">
        <v>46043.582188171298</v>
      </c>
      <c r="AG817" s="24">
        <v>46043.582188171298</v>
      </c>
      <c r="AH817" s="24">
        <v>46044.333596666664</v>
      </c>
      <c r="AI817" s="24">
        <v>46044.333596666664</v>
      </c>
      <c r="AJ817">
        <v>1</v>
      </c>
      <c r="AK817" s="24">
        <v>46044.333596666664</v>
      </c>
      <c r="AL817" s="24">
        <v>46044.333596666664</v>
      </c>
      <c r="AM817" s="24">
        <v>46044.354380081022</v>
      </c>
      <c r="AN817" s="24">
        <v>46044.354380081022</v>
      </c>
      <c r="AO817">
        <v>1</v>
      </c>
      <c r="AP817" s="24"/>
      <c r="AQ817" s="24"/>
      <c r="AR817" s="24">
        <v>46043.446281701392</v>
      </c>
      <c r="AS817" s="24">
        <v>46043.446281701392</v>
      </c>
      <c r="AX817" s="24"/>
      <c r="AY817" s="24"/>
      <c r="AZ817" s="24"/>
      <c r="BA817" s="24"/>
      <c r="BC817" s="24">
        <v>46044.366754212962</v>
      </c>
      <c r="BD817" s="24">
        <v>46044.366754212962</v>
      </c>
      <c r="BE817" s="24">
        <v>46055.395445046299</v>
      </c>
      <c r="BF817" s="24">
        <v>46055.395445046299</v>
      </c>
      <c r="BG817">
        <v>1</v>
      </c>
      <c r="BH817" s="24">
        <v>46043.446281701392</v>
      </c>
      <c r="BI817" s="24">
        <v>46043.446281701392</v>
      </c>
      <c r="BJ817" s="24">
        <v>46043.582160601851</v>
      </c>
      <c r="BK817" s="24">
        <v>46043.582160601851</v>
      </c>
      <c r="BL817">
        <v>1</v>
      </c>
      <c r="BM817" s="24"/>
      <c r="BN817" s="24"/>
      <c r="BO817" s="24"/>
      <c r="BP817" s="24"/>
      <c r="BR817" s="24">
        <v>46044.354380081022</v>
      </c>
      <c r="BS817" s="24">
        <v>46044.354380081022</v>
      </c>
      <c r="BT817" s="24">
        <v>46044.366754212962</v>
      </c>
      <c r="BU817" s="24">
        <v>46044.366754212962</v>
      </c>
      <c r="BV817">
        <v>1</v>
      </c>
      <c r="BW817" s="24"/>
      <c r="BX817" s="24"/>
      <c r="BY817" s="24"/>
      <c r="BZ817" s="24"/>
      <c r="CB817" s="24"/>
      <c r="CC817" s="24"/>
      <c r="CE817" s="24">
        <v>46055.395445046299</v>
      </c>
      <c r="CF817" s="24">
        <v>46055.395445046299</v>
      </c>
      <c r="CG817">
        <v>1</v>
      </c>
      <c r="CH817" s="24"/>
      <c r="CI817" s="24"/>
      <c r="CJ817" s="24"/>
      <c r="CK817" s="24"/>
      <c r="DE817" s="24"/>
      <c r="DF817" s="24"/>
      <c r="DG817" s="24"/>
      <c r="DH817" s="24"/>
      <c r="DJ817" t="s">
        <v>149</v>
      </c>
      <c r="DK817" t="s">
        <v>149</v>
      </c>
      <c r="DM817">
        <v>12</v>
      </c>
      <c r="DN817">
        <v>12</v>
      </c>
      <c r="DQ817" t="s">
        <v>1001</v>
      </c>
      <c r="DR817" t="s">
        <v>149</v>
      </c>
      <c r="DS817" s="24">
        <v>46160.384426226854</v>
      </c>
    </row>
    <row r="818" spans="1:123" x14ac:dyDescent="0.3">
      <c r="A818" t="s">
        <v>1301</v>
      </c>
      <c r="D818" t="s">
        <v>225</v>
      </c>
      <c r="E818" s="24">
        <v>46041.493518518517</v>
      </c>
      <c r="G818" t="s">
        <v>90</v>
      </c>
      <c r="H818" t="s">
        <v>155</v>
      </c>
      <c r="I818" s="24"/>
      <c r="J818" s="24"/>
      <c r="K818" s="24"/>
      <c r="L818" s="24"/>
      <c r="N818" s="24"/>
      <c r="O818" s="24"/>
      <c r="P818" s="24"/>
      <c r="Q818" s="24"/>
      <c r="V818" s="24"/>
      <c r="W818" s="24"/>
      <c r="X818" s="24"/>
      <c r="Y818" s="24"/>
      <c r="AA818" s="24">
        <v>46051.460041631944</v>
      </c>
      <c r="AB818" s="24">
        <v>46051.460041631944</v>
      </c>
      <c r="AC818" s="24">
        <v>46052.723361122684</v>
      </c>
      <c r="AD818" s="24">
        <v>46052.723361122684</v>
      </c>
      <c r="AE818">
        <v>1</v>
      </c>
      <c r="AF818" s="24">
        <v>46052.723361122684</v>
      </c>
      <c r="AG818" s="24">
        <v>46052.723361122684</v>
      </c>
      <c r="AH818" s="24">
        <v>46058.64024108796</v>
      </c>
      <c r="AI818" s="24">
        <v>46058.64024108796</v>
      </c>
      <c r="AJ818">
        <v>1</v>
      </c>
      <c r="AK818" s="24">
        <v>46058.64024108796</v>
      </c>
      <c r="AL818" s="24">
        <v>46058.64024108796</v>
      </c>
      <c r="AM818" s="24">
        <v>46064.654157824072</v>
      </c>
      <c r="AN818" s="24">
        <v>46064.654157824072</v>
      </c>
      <c r="AO818">
        <v>1</v>
      </c>
      <c r="AP818" s="24"/>
      <c r="AQ818" s="24"/>
      <c r="AR818" s="24">
        <v>46043.287062476855</v>
      </c>
      <c r="AS818" s="24">
        <v>46043.287062476855</v>
      </c>
      <c r="AX818" s="24"/>
      <c r="AY818" s="24"/>
      <c r="AZ818" s="24"/>
      <c r="BA818" s="24"/>
      <c r="BC818" s="24">
        <v>46064.654251041669</v>
      </c>
      <c r="BD818" s="24">
        <v>46064.654251041669</v>
      </c>
      <c r="BE818" s="24">
        <v>46114.436681296298</v>
      </c>
      <c r="BF818" s="24">
        <v>46114.436681296298</v>
      </c>
      <c r="BG818">
        <v>1</v>
      </c>
      <c r="BH818" s="24">
        <v>46043.287062476855</v>
      </c>
      <c r="BI818" s="24">
        <v>46043.287062476855</v>
      </c>
      <c r="BJ818" s="24">
        <v>46051.460041631944</v>
      </c>
      <c r="BK818" s="24">
        <v>46051.460041631944</v>
      </c>
      <c r="BL818">
        <v>1</v>
      </c>
      <c r="BM818" s="24"/>
      <c r="BN818" s="24"/>
      <c r="BO818" s="24"/>
      <c r="BP818" s="24"/>
      <c r="BR818" s="24">
        <v>46064.654157824072</v>
      </c>
      <c r="BS818" s="24">
        <v>46064.654157824072</v>
      </c>
      <c r="BT818" s="24">
        <v>46064.654251041669</v>
      </c>
      <c r="BU818" s="24">
        <v>46064.654251041669</v>
      </c>
      <c r="BV818">
        <v>1</v>
      </c>
      <c r="BW818" s="24"/>
      <c r="BX818" s="24"/>
      <c r="BY818" s="24"/>
      <c r="BZ818" s="24"/>
      <c r="CB818" s="24"/>
      <c r="CC818" s="24"/>
      <c r="CE818" s="24">
        <v>46114.436681296298</v>
      </c>
      <c r="CF818" s="24">
        <v>46114.436681296298</v>
      </c>
      <c r="CG818">
        <v>1</v>
      </c>
      <c r="CH818" s="24"/>
      <c r="CI818" s="24"/>
      <c r="CJ818" s="24"/>
      <c r="CK818" s="24"/>
      <c r="DE818" s="24"/>
      <c r="DF818" s="24"/>
      <c r="DG818" s="24"/>
      <c r="DH818" s="24"/>
      <c r="DJ818" t="s">
        <v>149</v>
      </c>
      <c r="DK818" t="s">
        <v>149</v>
      </c>
      <c r="DM818">
        <v>72</v>
      </c>
      <c r="DN818">
        <v>63</v>
      </c>
      <c r="DQ818" t="s">
        <v>1001</v>
      </c>
      <c r="DR818" t="s">
        <v>149</v>
      </c>
      <c r="DS818" s="24">
        <v>46160.384426226854</v>
      </c>
    </row>
    <row r="819" spans="1:123" x14ac:dyDescent="0.3">
      <c r="A819" t="s">
        <v>1302</v>
      </c>
      <c r="D819" t="s">
        <v>225</v>
      </c>
      <c r="E819" s="24">
        <v>46041.481030092589</v>
      </c>
      <c r="G819" t="s">
        <v>90</v>
      </c>
      <c r="H819" t="s">
        <v>155</v>
      </c>
      <c r="I819" s="24"/>
      <c r="J819" s="24"/>
      <c r="K819" s="24"/>
      <c r="L819" s="24"/>
      <c r="N819" s="24"/>
      <c r="O819" s="24"/>
      <c r="P819" s="24"/>
      <c r="Q819" s="24"/>
      <c r="V819" s="24"/>
      <c r="W819" s="24"/>
      <c r="X819" s="24"/>
      <c r="Y819" s="24"/>
      <c r="AA819" s="24">
        <v>46044.718602754627</v>
      </c>
      <c r="AB819" s="24">
        <v>46044.718602754627</v>
      </c>
      <c r="AC819" s="24">
        <v>46045.489959618055</v>
      </c>
      <c r="AD819" s="24">
        <v>46045.489959618055</v>
      </c>
      <c r="AE819">
        <v>1</v>
      </c>
      <c r="AF819" s="24">
        <v>46045.489959618055</v>
      </c>
      <c r="AG819" s="24">
        <v>46045.489959618055</v>
      </c>
      <c r="AH819" s="24">
        <v>46048.38563931713</v>
      </c>
      <c r="AI819" s="24">
        <v>46048.38563931713</v>
      </c>
      <c r="AJ819">
        <v>1</v>
      </c>
      <c r="AK819" s="24">
        <v>46048.38563931713</v>
      </c>
      <c r="AL819" s="24">
        <v>46048.38563931713</v>
      </c>
      <c r="AM819" s="24">
        <v>46048.408620046299</v>
      </c>
      <c r="AN819" s="24">
        <v>46048.408620046299</v>
      </c>
      <c r="AO819">
        <v>1</v>
      </c>
      <c r="AP819" s="24"/>
      <c r="AQ819" s="24"/>
      <c r="AR819" s="24">
        <v>46043.286914340279</v>
      </c>
      <c r="AS819" s="24">
        <v>46043.286914340279</v>
      </c>
      <c r="AX819" s="24"/>
      <c r="AY819" s="24"/>
      <c r="AZ819" s="24"/>
      <c r="BA819" s="24"/>
      <c r="BC819" s="24">
        <v>46048.408948993056</v>
      </c>
      <c r="BD819" s="24">
        <v>46048.408948993056</v>
      </c>
      <c r="BE819" s="24">
        <v>46057.983972627313</v>
      </c>
      <c r="BF819" s="24">
        <v>46057.983972627313</v>
      </c>
      <c r="BG819">
        <v>1</v>
      </c>
      <c r="BH819" s="24">
        <v>46043.286914340279</v>
      </c>
      <c r="BI819" s="24">
        <v>46043.286914340279</v>
      </c>
      <c r="BJ819" s="24">
        <v>46044.718602754627</v>
      </c>
      <c r="BK819" s="24">
        <v>46044.718602754627</v>
      </c>
      <c r="BL819">
        <v>1</v>
      </c>
      <c r="BM819" s="24"/>
      <c r="BN819" s="24"/>
      <c r="BO819" s="24"/>
      <c r="BP819" s="24"/>
      <c r="BR819" s="24">
        <v>46048.408620046299</v>
      </c>
      <c r="BS819" s="24">
        <v>46048.408620046299</v>
      </c>
      <c r="BT819" s="24">
        <v>46048.408948993056</v>
      </c>
      <c r="BU819" s="24">
        <v>46048.408948993056</v>
      </c>
      <c r="BV819">
        <v>1</v>
      </c>
      <c r="BW819" s="24"/>
      <c r="BX819" s="24"/>
      <c r="BY819" s="24"/>
      <c r="BZ819" s="24"/>
      <c r="CB819" s="24"/>
      <c r="CC819" s="24"/>
      <c r="CE819" s="24">
        <v>46057.983972627313</v>
      </c>
      <c r="CF819" s="24">
        <v>46057.983972627313</v>
      </c>
      <c r="CG819">
        <v>1</v>
      </c>
      <c r="CH819" s="24"/>
      <c r="CI819" s="24"/>
      <c r="CJ819" s="24"/>
      <c r="CK819" s="24"/>
      <c r="DE819" s="24"/>
      <c r="DF819" s="24"/>
      <c r="DG819" s="24"/>
      <c r="DH819" s="24"/>
      <c r="DJ819" t="s">
        <v>149</v>
      </c>
      <c r="DK819" t="s">
        <v>149</v>
      </c>
      <c r="DM819">
        <v>15</v>
      </c>
      <c r="DN819">
        <v>14</v>
      </c>
      <c r="DQ819" t="s">
        <v>1001</v>
      </c>
      <c r="DR819" t="s">
        <v>149</v>
      </c>
      <c r="DS819" s="24">
        <v>46160.384426226854</v>
      </c>
    </row>
    <row r="820" spans="1:123" x14ac:dyDescent="0.3">
      <c r="A820" t="s">
        <v>1303</v>
      </c>
      <c r="D820" t="s">
        <v>225</v>
      </c>
      <c r="E820" s="24">
        <v>46041.475185185183</v>
      </c>
      <c r="G820" t="s">
        <v>90</v>
      </c>
      <c r="H820" t="s">
        <v>155</v>
      </c>
      <c r="I820" s="24"/>
      <c r="J820" s="24"/>
      <c r="K820" s="24"/>
      <c r="L820" s="24"/>
      <c r="N820" s="24"/>
      <c r="O820" s="24"/>
      <c r="P820" s="24"/>
      <c r="Q820" s="24"/>
      <c r="V820" s="24"/>
      <c r="W820" s="24"/>
      <c r="X820" s="24"/>
      <c r="Y820" s="24"/>
      <c r="AA820" s="24">
        <v>46048.398067708331</v>
      </c>
      <c r="AB820" s="24">
        <v>46048.398067708331</v>
      </c>
      <c r="AC820" s="24">
        <v>46050.650461944446</v>
      </c>
      <c r="AD820" s="24">
        <v>46050.650461944446</v>
      </c>
      <c r="AE820">
        <v>1</v>
      </c>
      <c r="AF820" s="24">
        <v>46050.650461944446</v>
      </c>
      <c r="AG820" s="24">
        <v>46050.650461944446</v>
      </c>
      <c r="AH820" s="24">
        <v>46051.915786215279</v>
      </c>
      <c r="AI820" s="24">
        <v>46051.915786215279</v>
      </c>
      <c r="AJ820">
        <v>1</v>
      </c>
      <c r="AK820" s="24">
        <v>46051.915786215279</v>
      </c>
      <c r="AL820" s="24">
        <v>46051.915786215279</v>
      </c>
      <c r="AM820" s="24">
        <v>46052.607607650461</v>
      </c>
      <c r="AN820" s="24">
        <v>46052.607607650461</v>
      </c>
      <c r="AO820">
        <v>1</v>
      </c>
      <c r="AP820" s="24"/>
      <c r="AQ820" s="24"/>
      <c r="AR820" s="24">
        <v>46043.286743888886</v>
      </c>
      <c r="AS820" s="24">
        <v>46043.286743888886</v>
      </c>
      <c r="AX820" s="24"/>
      <c r="AY820" s="24"/>
      <c r="AZ820" s="24"/>
      <c r="BA820" s="24"/>
      <c r="BC820" s="24">
        <v>46052.607676631946</v>
      </c>
      <c r="BD820" s="24">
        <v>46052.607676631946</v>
      </c>
      <c r="BE820" s="24">
        <v>46057.983972627313</v>
      </c>
      <c r="BF820" s="24">
        <v>46057.983972627313</v>
      </c>
      <c r="BG820">
        <v>1</v>
      </c>
      <c r="BH820" s="24">
        <v>46043.286743888886</v>
      </c>
      <c r="BI820" s="24">
        <v>46043.286743888886</v>
      </c>
      <c r="BJ820" s="24">
        <v>46048.398067708331</v>
      </c>
      <c r="BK820" s="24">
        <v>46048.398067708331</v>
      </c>
      <c r="BL820">
        <v>1</v>
      </c>
      <c r="BM820" s="24"/>
      <c r="BN820" s="24"/>
      <c r="BO820" s="24"/>
      <c r="BP820" s="24"/>
      <c r="BR820" s="24">
        <v>46052.607607650461</v>
      </c>
      <c r="BS820" s="24">
        <v>46052.607607650461</v>
      </c>
      <c r="BT820" s="24">
        <v>46052.607676631946</v>
      </c>
      <c r="BU820" s="24">
        <v>46052.607676631946</v>
      </c>
      <c r="BV820">
        <v>1</v>
      </c>
      <c r="BW820" s="24"/>
      <c r="BX820" s="24"/>
      <c r="BY820" s="24"/>
      <c r="BZ820" s="24"/>
      <c r="CB820" s="24"/>
      <c r="CC820" s="24"/>
      <c r="CE820" s="24">
        <v>46057.983972627313</v>
      </c>
      <c r="CF820" s="24">
        <v>46057.983972627313</v>
      </c>
      <c r="CG820">
        <v>1</v>
      </c>
      <c r="CH820" s="24"/>
      <c r="CI820" s="24"/>
      <c r="CJ820" s="24"/>
      <c r="CK820" s="24"/>
      <c r="DE820" s="24"/>
      <c r="DF820" s="24"/>
      <c r="DG820" s="24"/>
      <c r="DH820" s="24"/>
      <c r="DJ820" t="s">
        <v>149</v>
      </c>
      <c r="DK820" t="s">
        <v>149</v>
      </c>
      <c r="DM820">
        <v>15</v>
      </c>
      <c r="DN820">
        <v>10</v>
      </c>
      <c r="DQ820" t="s">
        <v>1001</v>
      </c>
      <c r="DR820" t="s">
        <v>149</v>
      </c>
      <c r="DS820" s="24">
        <v>46160.384426226854</v>
      </c>
    </row>
    <row r="821" spans="1:123" x14ac:dyDescent="0.3">
      <c r="A821" t="s">
        <v>1304</v>
      </c>
      <c r="D821" t="s">
        <v>225</v>
      </c>
      <c r="E821" s="24">
        <v>46038.504884259259</v>
      </c>
      <c r="G821" t="s">
        <v>90</v>
      </c>
      <c r="H821" t="s">
        <v>155</v>
      </c>
      <c r="I821" s="24"/>
      <c r="J821" s="24"/>
      <c r="K821" s="24"/>
      <c r="L821" s="24"/>
      <c r="N821" s="24"/>
      <c r="O821" s="24"/>
      <c r="P821" s="24"/>
      <c r="Q821" s="24"/>
      <c r="V821" s="24"/>
      <c r="W821" s="24"/>
      <c r="X821" s="24"/>
      <c r="Y821" s="24"/>
      <c r="AA821" s="24">
        <v>46044.07769820602</v>
      </c>
      <c r="AB821" s="24">
        <v>46044.07769820602</v>
      </c>
      <c r="AC821" s="24">
        <v>46049.959398391205</v>
      </c>
      <c r="AD821" s="24">
        <v>46049.959398391205</v>
      </c>
      <c r="AE821">
        <v>1</v>
      </c>
      <c r="AF821" s="24">
        <v>46049.959398391205</v>
      </c>
      <c r="AG821" s="24">
        <v>46049.959398391205</v>
      </c>
      <c r="AH821" s="24">
        <v>46051.923107256946</v>
      </c>
      <c r="AI821" s="24">
        <v>46051.923107256946</v>
      </c>
      <c r="AJ821">
        <v>1</v>
      </c>
      <c r="AK821" s="24">
        <v>46051.923107256946</v>
      </c>
      <c r="AL821" s="24">
        <v>46051.923107256946</v>
      </c>
      <c r="AM821" s="24">
        <v>46052.599977129626</v>
      </c>
      <c r="AN821" s="24">
        <v>46052.599977129626</v>
      </c>
      <c r="AO821">
        <v>1</v>
      </c>
      <c r="AP821" s="24"/>
      <c r="AQ821" s="24"/>
      <c r="AR821" s="24">
        <v>46043.286100555553</v>
      </c>
      <c r="AS821" s="24">
        <v>46043.286100555553</v>
      </c>
      <c r="AX821" s="24"/>
      <c r="AY821" s="24"/>
      <c r="AZ821" s="24"/>
      <c r="BA821" s="24"/>
      <c r="BC821" s="24">
        <v>46052.600073634261</v>
      </c>
      <c r="BD821" s="24">
        <v>46052.600073634261</v>
      </c>
      <c r="BE821" s="24">
        <v>46057.983972627313</v>
      </c>
      <c r="BF821" s="24">
        <v>46057.983972627313</v>
      </c>
      <c r="BG821">
        <v>1</v>
      </c>
      <c r="BH821" s="24">
        <v>46043.286100555553</v>
      </c>
      <c r="BI821" s="24">
        <v>46043.286100555553</v>
      </c>
      <c r="BJ821" s="24">
        <v>46044.07769820602</v>
      </c>
      <c r="BK821" s="24">
        <v>46044.07769820602</v>
      </c>
      <c r="BL821">
        <v>1</v>
      </c>
      <c r="BM821" s="24"/>
      <c r="BN821" s="24"/>
      <c r="BO821" s="24"/>
      <c r="BP821" s="24"/>
      <c r="BR821" s="24">
        <v>46052.599977129626</v>
      </c>
      <c r="BS821" s="24">
        <v>46052.599977129626</v>
      </c>
      <c r="BT821" s="24">
        <v>46052.600073634261</v>
      </c>
      <c r="BU821" s="24">
        <v>46052.600073634261</v>
      </c>
      <c r="BV821">
        <v>1</v>
      </c>
      <c r="BW821" s="24"/>
      <c r="BX821" s="24"/>
      <c r="BY821" s="24"/>
      <c r="BZ821" s="24"/>
      <c r="CB821" s="24"/>
      <c r="CC821" s="24"/>
      <c r="CE821" s="24">
        <v>46057.983972627313</v>
      </c>
      <c r="CF821" s="24">
        <v>46057.983972627313</v>
      </c>
      <c r="CG821">
        <v>1</v>
      </c>
      <c r="CH821" s="24"/>
      <c r="CI821" s="24"/>
      <c r="CJ821" s="24"/>
      <c r="CK821" s="24"/>
      <c r="DE821" s="24"/>
      <c r="DF821" s="24"/>
      <c r="DG821" s="24"/>
      <c r="DH821" s="24"/>
      <c r="DJ821" t="s">
        <v>149</v>
      </c>
      <c r="DK821" t="s">
        <v>149</v>
      </c>
      <c r="DM821">
        <v>15</v>
      </c>
      <c r="DN821">
        <v>14</v>
      </c>
      <c r="DQ821" t="s">
        <v>1001</v>
      </c>
      <c r="DR821" t="s">
        <v>149</v>
      </c>
      <c r="DS821" s="24">
        <v>46160.384426226854</v>
      </c>
    </row>
    <row r="822" spans="1:123" x14ac:dyDescent="0.3">
      <c r="A822" t="s">
        <v>1305</v>
      </c>
      <c r="D822" t="s">
        <v>225</v>
      </c>
      <c r="E822" s="24">
        <v>46036.49082175926</v>
      </c>
      <c r="G822" t="s">
        <v>90</v>
      </c>
      <c r="H822" t="s">
        <v>155</v>
      </c>
      <c r="I822" s="24"/>
      <c r="J822" s="24"/>
      <c r="K822" s="24"/>
      <c r="L822" s="24"/>
      <c r="N822" s="24"/>
      <c r="O822" s="24"/>
      <c r="P822" s="24"/>
      <c r="Q822" s="24"/>
      <c r="V822" s="24"/>
      <c r="W822" s="24"/>
      <c r="X822" s="24"/>
      <c r="Y822" s="24"/>
      <c r="AA822" s="24">
        <v>46066.429529351852</v>
      </c>
      <c r="AB822" s="24">
        <v>46057.634691423613</v>
      </c>
      <c r="AC822" s="24">
        <v>46062.795140289352</v>
      </c>
      <c r="AD822" s="24">
        <v>46066.429758217593</v>
      </c>
      <c r="AE822">
        <v>2</v>
      </c>
      <c r="AF822" s="24">
        <v>46066.429758217593</v>
      </c>
      <c r="AG822" s="24">
        <v>46062.795140289352</v>
      </c>
      <c r="AH822" s="24">
        <v>46065.29201824074</v>
      </c>
      <c r="AI822" s="24">
        <v>46066.450334837966</v>
      </c>
      <c r="AJ822">
        <v>2</v>
      </c>
      <c r="AK822" s="24">
        <v>46066.450334837966</v>
      </c>
      <c r="AL822" s="24">
        <v>46065.29201824074</v>
      </c>
      <c r="AM822" s="24">
        <v>46066.429529351852</v>
      </c>
      <c r="AN822" s="24">
        <v>46071.382819895836</v>
      </c>
      <c r="AO822">
        <v>2</v>
      </c>
      <c r="AP822" s="24"/>
      <c r="AQ822" s="24"/>
      <c r="AR822" s="24">
        <v>46043.385009895836</v>
      </c>
      <c r="AS822" s="24">
        <v>46043.385009895836</v>
      </c>
      <c r="AX822" s="24"/>
      <c r="AY822" s="24"/>
      <c r="AZ822" s="24"/>
      <c r="BA822" s="24"/>
      <c r="BC822" s="24">
        <v>46071.383104710651</v>
      </c>
      <c r="BD822" s="24">
        <v>46071.383104710651</v>
      </c>
      <c r="BE822" s="24">
        <v>46114.43668244213</v>
      </c>
      <c r="BF822" s="24">
        <v>46114.43668244213</v>
      </c>
      <c r="BG822">
        <v>1</v>
      </c>
      <c r="BH822" s="24">
        <v>46043.385009895836</v>
      </c>
      <c r="BI822" s="24">
        <v>46043.385009895836</v>
      </c>
      <c r="BJ822" s="24">
        <v>46057.634691423613</v>
      </c>
      <c r="BK822" s="24">
        <v>46057.634691423613</v>
      </c>
      <c r="BL822">
        <v>1</v>
      </c>
      <c r="BM822" s="24"/>
      <c r="BN822" s="24"/>
      <c r="BO822" s="24"/>
      <c r="BP822" s="24"/>
      <c r="BR822" s="24">
        <v>46071.382819895836</v>
      </c>
      <c r="BS822" s="24">
        <v>46071.382819895836</v>
      </c>
      <c r="BT822" s="24">
        <v>46071.383104710651</v>
      </c>
      <c r="BU822" s="24">
        <v>46071.383104710651</v>
      </c>
      <c r="BV822">
        <v>1</v>
      </c>
      <c r="BW822" s="24"/>
      <c r="BX822" s="24"/>
      <c r="BY822" s="24"/>
      <c r="BZ822" s="24"/>
      <c r="CB822" s="24"/>
      <c r="CC822" s="24"/>
      <c r="CE822" s="24">
        <v>46114.43668244213</v>
      </c>
      <c r="CF822" s="24">
        <v>46114.43668244213</v>
      </c>
      <c r="CG822">
        <v>1</v>
      </c>
      <c r="CH822" s="24"/>
      <c r="CI822" s="24"/>
      <c r="CJ822" s="24"/>
      <c r="CK822" s="24"/>
      <c r="DE822" s="24"/>
      <c r="DF822" s="24"/>
      <c r="DG822" s="24"/>
      <c r="DH822" s="24"/>
      <c r="DJ822" t="s">
        <v>149</v>
      </c>
      <c r="DK822" t="s">
        <v>149</v>
      </c>
      <c r="DM822">
        <v>72</v>
      </c>
      <c r="DN822">
        <v>57</v>
      </c>
      <c r="DQ822" t="s">
        <v>1001</v>
      </c>
      <c r="DR822" t="s">
        <v>149</v>
      </c>
      <c r="DS822" s="24">
        <v>46160.384426226854</v>
      </c>
    </row>
    <row r="823" spans="1:123" x14ac:dyDescent="0.3">
      <c r="A823" t="s">
        <v>1306</v>
      </c>
      <c r="D823" t="s">
        <v>223</v>
      </c>
      <c r="E823" s="24">
        <v>46035.342673611114</v>
      </c>
      <c r="G823" t="s">
        <v>107</v>
      </c>
      <c r="H823" t="s">
        <v>154</v>
      </c>
      <c r="I823" s="24"/>
      <c r="J823" s="24"/>
      <c r="K823" s="24"/>
      <c r="L823" s="24"/>
      <c r="N823" s="24"/>
      <c r="O823" s="24"/>
      <c r="P823" s="24"/>
      <c r="Q823" s="24"/>
      <c r="V823" s="24"/>
      <c r="W823" s="24"/>
      <c r="X823" s="24"/>
      <c r="Y823" s="24"/>
      <c r="AA823" s="24"/>
      <c r="AB823" s="24"/>
      <c r="AC823" s="24"/>
      <c r="AD823" s="24"/>
      <c r="AF823" s="24"/>
      <c r="AG823" s="24"/>
      <c r="AH823" s="24"/>
      <c r="AI823" s="24"/>
      <c r="AK823" s="24"/>
      <c r="AL823" s="24"/>
      <c r="AM823" s="24"/>
      <c r="AN823" s="24"/>
      <c r="AP823" s="24"/>
      <c r="AQ823" s="24"/>
      <c r="AR823" s="24">
        <v>46043.478681064815</v>
      </c>
      <c r="AS823" s="24">
        <v>46043.478681064815</v>
      </c>
      <c r="AX823" s="24"/>
      <c r="AY823" s="24"/>
      <c r="AZ823" s="24"/>
      <c r="BA823" s="24"/>
      <c r="BC823" s="24"/>
      <c r="BD823" s="24"/>
      <c r="BE823" s="24"/>
      <c r="BF823" s="24"/>
      <c r="BH823" s="24">
        <v>46043.478681064815</v>
      </c>
      <c r="BI823" s="24">
        <v>46043.478681064815</v>
      </c>
      <c r="BJ823" s="24"/>
      <c r="BK823" s="24"/>
      <c r="BL823">
        <v>1</v>
      </c>
      <c r="BM823" s="24"/>
      <c r="BN823" s="24"/>
      <c r="BO823" s="24"/>
      <c r="BP823" s="24"/>
      <c r="BR823" s="24"/>
      <c r="BS823" s="24"/>
      <c r="BT823" s="24"/>
      <c r="BU823" s="24"/>
      <c r="BW823" s="24"/>
      <c r="BX823" s="24"/>
      <c r="BY823" s="24"/>
      <c r="BZ823" s="24"/>
      <c r="CB823" s="24"/>
      <c r="CC823" s="24"/>
      <c r="CE823" s="24"/>
      <c r="CF823" s="24"/>
      <c r="CH823" s="24"/>
      <c r="CI823" s="24"/>
      <c r="CJ823" s="24"/>
      <c r="CK823" s="24"/>
      <c r="DE823" s="24"/>
      <c r="DF823" s="24"/>
      <c r="DG823" s="24"/>
      <c r="DH823" s="24"/>
      <c r="DJ823" t="s">
        <v>149</v>
      </c>
      <c r="DK823" t="s">
        <v>149</v>
      </c>
      <c r="DP823">
        <v>117</v>
      </c>
      <c r="DQ823" t="s">
        <v>1001</v>
      </c>
      <c r="DR823" t="s">
        <v>149</v>
      </c>
      <c r="DS823" s="24">
        <v>46160.384426226854</v>
      </c>
    </row>
    <row r="824" spans="1:123" x14ac:dyDescent="0.3">
      <c r="A824" t="s">
        <v>1307</v>
      </c>
      <c r="D824" t="s">
        <v>225</v>
      </c>
      <c r="E824" s="24">
        <v>46034.292766203704</v>
      </c>
      <c r="G824" t="s">
        <v>90</v>
      </c>
      <c r="H824" t="s">
        <v>155</v>
      </c>
      <c r="I824" s="24"/>
      <c r="J824" s="24"/>
      <c r="K824" s="24"/>
      <c r="L824" s="24"/>
      <c r="N824" s="24"/>
      <c r="O824" s="24"/>
      <c r="P824" s="24"/>
      <c r="Q824" s="24"/>
      <c r="V824" s="24"/>
      <c r="W824" s="24"/>
      <c r="X824" s="24"/>
      <c r="Y824" s="24"/>
      <c r="AA824" s="24">
        <v>46034.294901875001</v>
      </c>
      <c r="AB824" s="24">
        <v>46034.294901875001</v>
      </c>
      <c r="AC824" s="24">
        <v>46034.295558344907</v>
      </c>
      <c r="AD824" s="24">
        <v>46034.295558344907</v>
      </c>
      <c r="AE824">
        <v>1</v>
      </c>
      <c r="AF824" s="24"/>
      <c r="AG824" s="24"/>
      <c r="AH824" s="24"/>
      <c r="AI824" s="24"/>
      <c r="AK824" s="24">
        <v>46034.295558344907</v>
      </c>
      <c r="AL824" s="24">
        <v>46034.295558344907</v>
      </c>
      <c r="AM824" s="24">
        <v>46034.295582488427</v>
      </c>
      <c r="AN824" s="24">
        <v>46034.295582488427</v>
      </c>
      <c r="AO824">
        <v>1</v>
      </c>
      <c r="AP824" s="24"/>
      <c r="AQ824" s="24"/>
      <c r="AR824" s="24">
        <v>46034.294865925927</v>
      </c>
      <c r="AS824" s="24">
        <v>46034.294865925927</v>
      </c>
      <c r="AX824" s="24"/>
      <c r="AY824" s="24"/>
      <c r="AZ824" s="24"/>
      <c r="BA824" s="24"/>
      <c r="BC824" s="24">
        <v>46034.295671053238</v>
      </c>
      <c r="BD824" s="24">
        <v>46034.295671053238</v>
      </c>
      <c r="BE824" s="24">
        <v>46044.368611076388</v>
      </c>
      <c r="BF824" s="24">
        <v>46044.368611076388</v>
      </c>
      <c r="BG824">
        <v>1</v>
      </c>
      <c r="BH824" s="24">
        <v>46034.294865925927</v>
      </c>
      <c r="BI824" s="24">
        <v>46034.294865925927</v>
      </c>
      <c r="BJ824" s="24">
        <v>46034.294901875001</v>
      </c>
      <c r="BK824" s="24">
        <v>46034.294901875001</v>
      </c>
      <c r="BL824">
        <v>1</v>
      </c>
      <c r="BM824" s="24"/>
      <c r="BN824" s="24"/>
      <c r="BO824" s="24"/>
      <c r="BP824" s="24"/>
      <c r="BR824" s="24">
        <v>46034.295582488427</v>
      </c>
      <c r="BS824" s="24">
        <v>46034.295582488427</v>
      </c>
      <c r="BT824" s="24">
        <v>46034.295671053238</v>
      </c>
      <c r="BU824" s="24">
        <v>46034.295671053238</v>
      </c>
      <c r="BV824">
        <v>1</v>
      </c>
      <c r="BW824" s="24"/>
      <c r="BX824" s="24"/>
      <c r="BY824" s="24"/>
      <c r="BZ824" s="24"/>
      <c r="CB824" s="24"/>
      <c r="CC824" s="24"/>
      <c r="CE824" s="24">
        <v>46044.368611076388</v>
      </c>
      <c r="CF824" s="24">
        <v>46044.368611076388</v>
      </c>
      <c r="CG824">
        <v>1</v>
      </c>
      <c r="CH824" s="24"/>
      <c r="CI824" s="24"/>
      <c r="CJ824" s="24"/>
      <c r="CK824" s="24"/>
      <c r="DE824" s="24"/>
      <c r="DF824" s="24"/>
      <c r="DG824" s="24"/>
      <c r="DH824" s="24"/>
      <c r="DJ824" t="s">
        <v>149</v>
      </c>
      <c r="DK824" t="s">
        <v>149</v>
      </c>
      <c r="DM824">
        <v>11</v>
      </c>
      <c r="DN824">
        <v>11</v>
      </c>
      <c r="DQ824" t="s">
        <v>1001</v>
      </c>
      <c r="DR824" t="s">
        <v>149</v>
      </c>
      <c r="DS824" s="24">
        <v>46160.384426226854</v>
      </c>
    </row>
    <row r="825" spans="1:123" x14ac:dyDescent="0.3">
      <c r="A825" t="s">
        <v>1308</v>
      </c>
      <c r="D825" t="s">
        <v>223</v>
      </c>
      <c r="E825" s="24">
        <v>46031.451122685183</v>
      </c>
      <c r="G825" t="s">
        <v>90</v>
      </c>
      <c r="H825" t="s">
        <v>155</v>
      </c>
      <c r="I825" s="24"/>
      <c r="J825" s="24"/>
      <c r="K825" s="24"/>
      <c r="L825" s="24"/>
      <c r="N825" s="24"/>
      <c r="O825" s="24"/>
      <c r="P825" s="24"/>
      <c r="Q825" s="24"/>
      <c r="V825" s="24"/>
      <c r="W825" s="24"/>
      <c r="X825" s="24"/>
      <c r="Y825" s="24"/>
      <c r="AA825" s="24">
        <v>46035.413723171296</v>
      </c>
      <c r="AB825" s="24">
        <v>46035.413723171296</v>
      </c>
      <c r="AC825" s="24">
        <v>46057.381199664349</v>
      </c>
      <c r="AD825" s="24">
        <v>46057.381199664349</v>
      </c>
      <c r="AE825">
        <v>1</v>
      </c>
      <c r="AF825" s="24"/>
      <c r="AG825" s="24"/>
      <c r="AH825" s="24"/>
      <c r="AI825" s="24"/>
      <c r="AK825" s="24"/>
      <c r="AL825" s="24"/>
      <c r="AM825" s="24"/>
      <c r="AN825" s="24"/>
      <c r="AP825" s="24"/>
      <c r="AQ825" s="24"/>
      <c r="AR825" s="24">
        <v>46035.413622152781</v>
      </c>
      <c r="AS825" s="24">
        <v>46035.413622152781</v>
      </c>
      <c r="AX825" s="24"/>
      <c r="AY825" s="24"/>
      <c r="AZ825" s="24"/>
      <c r="BA825" s="24"/>
      <c r="BC825" s="24"/>
      <c r="BD825" s="24"/>
      <c r="BE825" s="24"/>
      <c r="BF825" s="24"/>
      <c r="BH825" s="24">
        <v>46035.413622152781</v>
      </c>
      <c r="BI825" s="24">
        <v>46035.413622152781</v>
      </c>
      <c r="BJ825" s="24">
        <v>46035.413723171296</v>
      </c>
      <c r="BK825" s="24">
        <v>46035.413723171296</v>
      </c>
      <c r="BL825">
        <v>1</v>
      </c>
      <c r="BM825" s="24"/>
      <c r="BN825" s="24"/>
      <c r="BO825" s="24"/>
      <c r="BP825" s="24"/>
      <c r="BR825" s="24"/>
      <c r="BS825" s="24"/>
      <c r="BT825" s="24"/>
      <c r="BU825" s="24"/>
      <c r="BW825" s="24"/>
      <c r="BX825" s="24"/>
      <c r="BY825" s="24"/>
      <c r="BZ825" s="24"/>
      <c r="CB825" s="24"/>
      <c r="CC825" s="24"/>
      <c r="CE825" s="24">
        <v>46057.381199664349</v>
      </c>
      <c r="CF825" s="24">
        <v>46057.381199664349</v>
      </c>
      <c r="CG825">
        <v>1</v>
      </c>
      <c r="CH825" s="24"/>
      <c r="CI825" s="24"/>
      <c r="CJ825" s="24"/>
      <c r="CK825" s="24"/>
      <c r="DE825" s="24"/>
      <c r="DF825" s="24"/>
      <c r="DG825" s="24"/>
      <c r="DH825" s="24"/>
      <c r="DJ825" t="s">
        <v>149</v>
      </c>
      <c r="DK825" t="s">
        <v>149</v>
      </c>
      <c r="DM825">
        <v>22</v>
      </c>
      <c r="DN825">
        <v>22</v>
      </c>
      <c r="DQ825" t="s">
        <v>1001</v>
      </c>
      <c r="DR825" t="s">
        <v>149</v>
      </c>
      <c r="DS825" s="24">
        <v>46160.384426226854</v>
      </c>
    </row>
    <row r="826" spans="1:123" x14ac:dyDescent="0.3">
      <c r="A826" t="s">
        <v>1309</v>
      </c>
      <c r="D826" t="s">
        <v>223</v>
      </c>
      <c r="E826" s="24">
        <v>46029.621423611112</v>
      </c>
      <c r="G826" t="s">
        <v>90</v>
      </c>
      <c r="H826" t="s">
        <v>155</v>
      </c>
      <c r="I826" s="24"/>
      <c r="J826" s="24"/>
      <c r="K826" s="24"/>
      <c r="L826" s="24"/>
      <c r="N826" s="24"/>
      <c r="O826" s="24"/>
      <c r="P826" s="24"/>
      <c r="Q826" s="24"/>
      <c r="V826" s="24"/>
      <c r="W826" s="24"/>
      <c r="X826" s="24"/>
      <c r="Y826" s="24"/>
      <c r="AA826" s="24">
        <v>46029.621723750002</v>
      </c>
      <c r="AB826" s="24">
        <v>46029.621723750002</v>
      </c>
      <c r="AC826" s="24">
        <v>46029.621894768519</v>
      </c>
      <c r="AD826" s="24">
        <v>46029.621894768519</v>
      </c>
      <c r="AE826">
        <v>1</v>
      </c>
      <c r="AF826" s="24"/>
      <c r="AG826" s="24"/>
      <c r="AH826" s="24"/>
      <c r="AI826" s="24"/>
      <c r="AK826" s="24"/>
      <c r="AL826" s="24"/>
      <c r="AM826" s="24"/>
      <c r="AN826" s="24"/>
      <c r="AP826" s="24"/>
      <c r="AQ826" s="24"/>
      <c r="AR826" s="24">
        <v>46029.621669282409</v>
      </c>
      <c r="AS826" s="24">
        <v>46029.621669282409</v>
      </c>
      <c r="AX826" s="24"/>
      <c r="AY826" s="24"/>
      <c r="AZ826" s="24"/>
      <c r="BA826" s="24"/>
      <c r="BC826" s="24"/>
      <c r="BD826" s="24"/>
      <c r="BE826" s="24"/>
      <c r="BF826" s="24"/>
      <c r="BH826" s="24">
        <v>46029.621669282409</v>
      </c>
      <c r="BI826" s="24">
        <v>46029.621669282409</v>
      </c>
      <c r="BJ826" s="24">
        <v>46029.621723750002</v>
      </c>
      <c r="BK826" s="24">
        <v>46029.621723750002</v>
      </c>
      <c r="BL826">
        <v>1</v>
      </c>
      <c r="BM826" s="24"/>
      <c r="BN826" s="24"/>
      <c r="BO826" s="24"/>
      <c r="BP826" s="24"/>
      <c r="BR826" s="24"/>
      <c r="BS826" s="24"/>
      <c r="BT826" s="24"/>
      <c r="BU826" s="24"/>
      <c r="BW826" s="24"/>
      <c r="BX826" s="24"/>
      <c r="BY826" s="24"/>
      <c r="BZ826" s="24"/>
      <c r="CB826" s="24"/>
      <c r="CC826" s="24"/>
      <c r="CE826" s="24">
        <v>46029.621894768519</v>
      </c>
      <c r="CF826" s="24">
        <v>46029.621894768519</v>
      </c>
      <c r="CG826">
        <v>1</v>
      </c>
      <c r="CH826" s="24"/>
      <c r="CI826" s="24"/>
      <c r="CJ826" s="24"/>
      <c r="CK826" s="24"/>
      <c r="DE826" s="24"/>
      <c r="DF826" s="24"/>
      <c r="DG826" s="24"/>
      <c r="DH826" s="24"/>
      <c r="DJ826" t="s">
        <v>149</v>
      </c>
      <c r="DK826" t="s">
        <v>149</v>
      </c>
      <c r="DM826">
        <v>1</v>
      </c>
      <c r="DN826">
        <v>1</v>
      </c>
      <c r="DQ826" t="s">
        <v>1001</v>
      </c>
      <c r="DR826" t="s">
        <v>149</v>
      </c>
      <c r="DS826" s="24">
        <v>46160.384426226854</v>
      </c>
    </row>
    <row r="827" spans="1:123" x14ac:dyDescent="0.3">
      <c r="A827" t="s">
        <v>1310</v>
      </c>
      <c r="D827" t="s">
        <v>223</v>
      </c>
      <c r="E827" s="24">
        <v>46029.551192129627</v>
      </c>
      <c r="G827" t="s">
        <v>90</v>
      </c>
      <c r="H827" t="s">
        <v>155</v>
      </c>
      <c r="I827" s="24"/>
      <c r="J827" s="24"/>
      <c r="K827" s="24"/>
      <c r="L827" s="24"/>
      <c r="N827" s="24"/>
      <c r="O827" s="24"/>
      <c r="P827" s="24"/>
      <c r="Q827" s="24"/>
      <c r="V827" s="24"/>
      <c r="W827" s="24"/>
      <c r="X827" s="24"/>
      <c r="Y827" s="24"/>
      <c r="AA827" s="24">
        <v>46041.4623928125</v>
      </c>
      <c r="AB827" s="24">
        <v>46041.461795543983</v>
      </c>
      <c r="AC827" s="24">
        <v>46041.462342453706</v>
      </c>
      <c r="AD827" s="24">
        <v>46043.433273101851</v>
      </c>
      <c r="AE827">
        <v>2</v>
      </c>
      <c r="AF827" s="24">
        <v>46043.433273101851</v>
      </c>
      <c r="AG827" s="24">
        <v>46041.462342453706</v>
      </c>
      <c r="AH827" s="24">
        <v>46041.4623928125</v>
      </c>
      <c r="AI827" s="24">
        <v>46043.433318402778</v>
      </c>
      <c r="AJ827">
        <v>2</v>
      </c>
      <c r="AK827" s="24"/>
      <c r="AL827" s="24"/>
      <c r="AM827" s="24"/>
      <c r="AN827" s="24"/>
      <c r="AP827" s="24"/>
      <c r="AQ827" s="24"/>
      <c r="AR827" s="24">
        <v>46029.553373425922</v>
      </c>
      <c r="AS827" s="24">
        <v>46029.553373425922</v>
      </c>
      <c r="AX827" s="24"/>
      <c r="AY827" s="24"/>
      <c r="AZ827" s="24"/>
      <c r="BA827" s="24"/>
      <c r="BC827" s="24"/>
      <c r="BD827" s="24"/>
      <c r="BE827" s="24"/>
      <c r="BF827" s="24"/>
      <c r="BH827" s="24">
        <v>46029.553373425922</v>
      </c>
      <c r="BI827" s="24">
        <v>46029.553373425922</v>
      </c>
      <c r="BJ827" s="24">
        <v>46041.461795543983</v>
      </c>
      <c r="BK827" s="24">
        <v>46041.461795543983</v>
      </c>
      <c r="BL827">
        <v>1</v>
      </c>
      <c r="BM827" s="24"/>
      <c r="BN827" s="24"/>
      <c r="BO827" s="24"/>
      <c r="BP827" s="24"/>
      <c r="BR827" s="24">
        <v>46043.433318402778</v>
      </c>
      <c r="BS827" s="24">
        <v>46043.433318402778</v>
      </c>
      <c r="BT827" s="24">
        <v>46043.433458518521</v>
      </c>
      <c r="BU827" s="24">
        <v>46043.433458518521</v>
      </c>
      <c r="BV827">
        <v>1</v>
      </c>
      <c r="BW827" s="24"/>
      <c r="BX827" s="24"/>
      <c r="BY827" s="24"/>
      <c r="BZ827" s="24"/>
      <c r="CB827" s="24"/>
      <c r="CC827" s="24"/>
      <c r="CE827" s="24">
        <v>46043.433458518521</v>
      </c>
      <c r="CF827" s="24">
        <v>46043.433458518521</v>
      </c>
      <c r="CG827">
        <v>1</v>
      </c>
      <c r="CH827" s="24"/>
      <c r="CI827" s="24"/>
      <c r="CJ827" s="24"/>
      <c r="CK827" s="24"/>
      <c r="DE827" s="24"/>
      <c r="DF827" s="24"/>
      <c r="DG827" s="24"/>
      <c r="DH827" s="24"/>
      <c r="DJ827" t="s">
        <v>149</v>
      </c>
      <c r="DK827" t="s">
        <v>149</v>
      </c>
      <c r="DM827">
        <v>14</v>
      </c>
      <c r="DN827">
        <v>2</v>
      </c>
      <c r="DQ827" t="s">
        <v>1001</v>
      </c>
      <c r="DR827" t="s">
        <v>149</v>
      </c>
      <c r="DS827" s="24">
        <v>46160.384426226854</v>
      </c>
    </row>
    <row r="828" spans="1:123" x14ac:dyDescent="0.3">
      <c r="A828" t="s">
        <v>1311</v>
      </c>
      <c r="D828" t="s">
        <v>225</v>
      </c>
      <c r="E828" s="24">
        <v>46029.495983796296</v>
      </c>
      <c r="G828" t="s">
        <v>90</v>
      </c>
      <c r="H828" t="s">
        <v>155</v>
      </c>
      <c r="I828" s="24"/>
      <c r="J828" s="24"/>
      <c r="K828" s="24"/>
      <c r="L828" s="24"/>
      <c r="N828" s="24"/>
      <c r="O828" s="24"/>
      <c r="P828" s="24"/>
      <c r="Q828" s="24"/>
      <c r="V828" s="24"/>
      <c r="W828" s="24"/>
      <c r="X828" s="24"/>
      <c r="Y828" s="24"/>
      <c r="AA828" s="24">
        <v>46031.637739398146</v>
      </c>
      <c r="AB828" s="24">
        <v>46031.637739398146</v>
      </c>
      <c r="AC828" s="24">
        <v>46035.309300439818</v>
      </c>
      <c r="AD828" s="24">
        <v>46035.309300439818</v>
      </c>
      <c r="AE828">
        <v>1</v>
      </c>
      <c r="AF828" s="24">
        <v>46035.309300439818</v>
      </c>
      <c r="AG828" s="24">
        <v>46035.309300439818</v>
      </c>
      <c r="AH828" s="24">
        <v>46036.915633912038</v>
      </c>
      <c r="AI828" s="24">
        <v>46036.915633912038</v>
      </c>
      <c r="AJ828">
        <v>1</v>
      </c>
      <c r="AK828" s="24">
        <v>46036.915633912038</v>
      </c>
      <c r="AL828" s="24">
        <v>46036.915633912038</v>
      </c>
      <c r="AM828" s="24">
        <v>46038.527868680554</v>
      </c>
      <c r="AN828" s="24">
        <v>46038.527868680554</v>
      </c>
      <c r="AO828">
        <v>1</v>
      </c>
      <c r="AP828" s="24"/>
      <c r="AQ828" s="24"/>
      <c r="AR828" s="24">
        <v>46029.612528807869</v>
      </c>
      <c r="AS828" s="24">
        <v>46029.612528807869</v>
      </c>
      <c r="AX828" s="24"/>
      <c r="AY828" s="24"/>
      <c r="AZ828" s="24"/>
      <c r="BA828" s="24"/>
      <c r="BC828" s="24">
        <v>46038.527956458332</v>
      </c>
      <c r="BD828" s="24">
        <v>46038.527956458332</v>
      </c>
      <c r="BE828" s="24">
        <v>46057.983972928239</v>
      </c>
      <c r="BF828" s="24">
        <v>46057.983972928239</v>
      </c>
      <c r="BG828">
        <v>1</v>
      </c>
      <c r="BH828" s="24">
        <v>46029.612528807869</v>
      </c>
      <c r="BI828" s="24">
        <v>46029.612528807869</v>
      </c>
      <c r="BJ828" s="24">
        <v>46031.637739398146</v>
      </c>
      <c r="BK828" s="24">
        <v>46031.637739398146</v>
      </c>
      <c r="BL828">
        <v>1</v>
      </c>
      <c r="BM828" s="24"/>
      <c r="BN828" s="24"/>
      <c r="BO828" s="24"/>
      <c r="BP828" s="24"/>
      <c r="BR828" s="24">
        <v>46038.527868680554</v>
      </c>
      <c r="BS828" s="24">
        <v>46038.527868680554</v>
      </c>
      <c r="BT828" s="24">
        <v>46038.527956458332</v>
      </c>
      <c r="BU828" s="24">
        <v>46038.527956458332</v>
      </c>
      <c r="BV828">
        <v>1</v>
      </c>
      <c r="BW828" s="24"/>
      <c r="BX828" s="24"/>
      <c r="BY828" s="24"/>
      <c r="BZ828" s="24"/>
      <c r="CB828" s="24"/>
      <c r="CC828" s="24"/>
      <c r="CE828" s="24">
        <v>46057.983972928239</v>
      </c>
      <c r="CF828" s="24">
        <v>46057.983972928239</v>
      </c>
      <c r="CG828">
        <v>1</v>
      </c>
      <c r="CH828" s="24"/>
      <c r="CI828" s="24"/>
      <c r="CJ828" s="24"/>
      <c r="CK828" s="24"/>
      <c r="DE828" s="24"/>
      <c r="DF828" s="24"/>
      <c r="DG828" s="24"/>
      <c r="DH828" s="24"/>
      <c r="DJ828" t="s">
        <v>149</v>
      </c>
      <c r="DK828" t="s">
        <v>149</v>
      </c>
      <c r="DM828">
        <v>29</v>
      </c>
      <c r="DN828">
        <v>27</v>
      </c>
      <c r="DQ828" t="s">
        <v>1001</v>
      </c>
      <c r="DR828" t="s">
        <v>149</v>
      </c>
      <c r="DS828" s="24">
        <v>46160.384426226854</v>
      </c>
    </row>
    <row r="829" spans="1:123" x14ac:dyDescent="0.3">
      <c r="A829" t="s">
        <v>1312</v>
      </c>
      <c r="D829" t="s">
        <v>223</v>
      </c>
      <c r="E829" s="24">
        <v>46029.495358796295</v>
      </c>
      <c r="G829" t="s">
        <v>90</v>
      </c>
      <c r="H829" t="s">
        <v>155</v>
      </c>
      <c r="I829" s="24"/>
      <c r="J829" s="24"/>
      <c r="K829" s="24"/>
      <c r="L829" s="24"/>
      <c r="N829" s="24"/>
      <c r="O829" s="24"/>
      <c r="P829" s="24"/>
      <c r="Q829" s="24"/>
      <c r="V829" s="24"/>
      <c r="W829" s="24"/>
      <c r="X829" s="24"/>
      <c r="Y829" s="24"/>
      <c r="AA829" s="24">
        <v>46030.27557863426</v>
      </c>
      <c r="AB829" s="24">
        <v>46030.27557863426</v>
      </c>
      <c r="AC829" s="24">
        <v>46030.528066331019</v>
      </c>
      <c r="AD829" s="24">
        <v>46030.528066331019</v>
      </c>
      <c r="AE829">
        <v>1</v>
      </c>
      <c r="AF829" s="24">
        <v>46030.528066331019</v>
      </c>
      <c r="AG829" s="24">
        <v>46030.528066331019</v>
      </c>
      <c r="AH829" s="24">
        <v>46037.655326504631</v>
      </c>
      <c r="AI829" s="24">
        <v>46037.655326504631</v>
      </c>
      <c r="AJ829">
        <v>1</v>
      </c>
      <c r="AK829" s="24"/>
      <c r="AL829" s="24"/>
      <c r="AM829" s="24"/>
      <c r="AN829" s="24"/>
      <c r="AP829" s="24"/>
      <c r="AQ829" s="24"/>
      <c r="AR829" s="24">
        <v>46029.591529039353</v>
      </c>
      <c r="AS829" s="24">
        <v>46029.591529039353</v>
      </c>
      <c r="AX829" s="24"/>
      <c r="AY829" s="24"/>
      <c r="AZ829" s="24"/>
      <c r="BA829" s="24"/>
      <c r="BC829" s="24"/>
      <c r="BD829" s="24"/>
      <c r="BE829" s="24"/>
      <c r="BF829" s="24"/>
      <c r="BH829" s="24">
        <v>46029.591529039353</v>
      </c>
      <c r="BI829" s="24">
        <v>46029.591529039353</v>
      </c>
      <c r="BJ829" s="24">
        <v>46030.27557863426</v>
      </c>
      <c r="BK829" s="24">
        <v>46030.27557863426</v>
      </c>
      <c r="BL829">
        <v>1</v>
      </c>
      <c r="BM829" s="24"/>
      <c r="BN829" s="24"/>
      <c r="BO829" s="24"/>
      <c r="BP829" s="24"/>
      <c r="BR829" s="24"/>
      <c r="BS829" s="24"/>
      <c r="BT829" s="24"/>
      <c r="BU829" s="24"/>
      <c r="BW829" s="24"/>
      <c r="BX829" s="24"/>
      <c r="BY829" s="24"/>
      <c r="BZ829" s="24"/>
      <c r="CB829" s="24"/>
      <c r="CC829" s="24"/>
      <c r="CE829" s="24">
        <v>46037.655326504631</v>
      </c>
      <c r="CF829" s="24">
        <v>46037.655326504631</v>
      </c>
      <c r="CG829">
        <v>1</v>
      </c>
      <c r="CH829" s="24"/>
      <c r="CI829" s="24"/>
      <c r="CJ829" s="24"/>
      <c r="CK829" s="24"/>
      <c r="DE829" s="24"/>
      <c r="DF829" s="24"/>
      <c r="DG829" s="24"/>
      <c r="DH829" s="24"/>
      <c r="DJ829" t="s">
        <v>149</v>
      </c>
      <c r="DK829" t="s">
        <v>149</v>
      </c>
      <c r="DM829">
        <v>9</v>
      </c>
      <c r="DN829">
        <v>8</v>
      </c>
      <c r="DQ829" t="s">
        <v>1001</v>
      </c>
      <c r="DR829" t="s">
        <v>149</v>
      </c>
      <c r="DS829" s="24">
        <v>46160.384426226854</v>
      </c>
    </row>
    <row r="830" spans="1:123" x14ac:dyDescent="0.3">
      <c r="A830" t="s">
        <v>1313</v>
      </c>
      <c r="D830" t="s">
        <v>225</v>
      </c>
      <c r="E830" s="24">
        <v>46029.49422453704</v>
      </c>
      <c r="G830" t="s">
        <v>90</v>
      </c>
      <c r="H830" t="s">
        <v>155</v>
      </c>
      <c r="I830" s="24">
        <v>46043.284264467591</v>
      </c>
      <c r="J830" s="24">
        <v>46043.278958460651</v>
      </c>
      <c r="K830" s="24">
        <v>46043.279059201392</v>
      </c>
      <c r="L830" s="24">
        <v>46043.28472729167</v>
      </c>
      <c r="M830">
        <v>5</v>
      </c>
      <c r="N830" s="24"/>
      <c r="O830" s="24"/>
      <c r="P830" s="24"/>
      <c r="Q830" s="24"/>
      <c r="V830" s="24"/>
      <c r="W830" s="24"/>
      <c r="X830" s="24"/>
      <c r="Y830" s="24"/>
      <c r="AA830" s="24">
        <v>46045.444343668983</v>
      </c>
      <c r="AB830" s="24">
        <v>46043.570818460648</v>
      </c>
      <c r="AC830" s="24">
        <v>46045.404425428242</v>
      </c>
      <c r="AD830" s="24">
        <v>46045.575577442127</v>
      </c>
      <c r="AE830">
        <v>2</v>
      </c>
      <c r="AF830" s="24">
        <v>46045.575577442127</v>
      </c>
      <c r="AG830" s="24">
        <v>46045.404425428242</v>
      </c>
      <c r="AH830" s="24">
        <v>46045.444343668983</v>
      </c>
      <c r="AI830" s="24">
        <v>46056.612258287038</v>
      </c>
      <c r="AJ830">
        <v>2</v>
      </c>
      <c r="AK830" s="24">
        <v>46056.612258287038</v>
      </c>
      <c r="AL830" s="24">
        <v>46056.612258287038</v>
      </c>
      <c r="AM830" s="24">
        <v>46057.430579953703</v>
      </c>
      <c r="AN830" s="24">
        <v>46057.430579953703</v>
      </c>
      <c r="AO830">
        <v>1</v>
      </c>
      <c r="AP830" s="24"/>
      <c r="AQ830" s="24"/>
      <c r="AR830" s="24">
        <v>46043.278958460651</v>
      </c>
      <c r="AS830" s="24">
        <v>46043.278958460651</v>
      </c>
      <c r="AX830" s="24"/>
      <c r="AY830" s="24"/>
      <c r="AZ830" s="24"/>
      <c r="BA830" s="24"/>
      <c r="BC830" s="24">
        <v>46057.430777395835</v>
      </c>
      <c r="BD830" s="24">
        <v>46057.430777395835</v>
      </c>
      <c r="BE830" s="24">
        <v>46057.983973657407</v>
      </c>
      <c r="BF830" s="24">
        <v>46057.983973657407</v>
      </c>
      <c r="BG830">
        <v>1</v>
      </c>
      <c r="BH830" s="24">
        <v>46043.28472729167</v>
      </c>
      <c r="BI830" s="24">
        <v>46043.28472729167</v>
      </c>
      <c r="BJ830" s="24">
        <v>46043.570818460648</v>
      </c>
      <c r="BK830" s="24">
        <v>46043.570818460648</v>
      </c>
      <c r="BL830">
        <v>1</v>
      </c>
      <c r="BM830" s="24"/>
      <c r="BN830" s="24"/>
      <c r="BO830" s="24"/>
      <c r="BP830" s="24"/>
      <c r="BR830" s="24">
        <v>46057.430579953703</v>
      </c>
      <c r="BS830" s="24">
        <v>46057.430579953703</v>
      </c>
      <c r="BT830" s="24">
        <v>46057.430777395835</v>
      </c>
      <c r="BU830" s="24">
        <v>46057.430777395835</v>
      </c>
      <c r="BV830">
        <v>1</v>
      </c>
      <c r="BW830" s="24"/>
      <c r="BX830" s="24"/>
      <c r="BY830" s="24"/>
      <c r="BZ830" s="24"/>
      <c r="CB830" s="24">
        <v>46043.284159050927</v>
      </c>
      <c r="CC830" s="24">
        <v>46043.284159050927</v>
      </c>
      <c r="CD830">
        <v>1</v>
      </c>
      <c r="CE830" s="24">
        <v>46057.983973657407</v>
      </c>
      <c r="CF830" s="24">
        <v>46057.983973657407</v>
      </c>
      <c r="CG830">
        <v>1</v>
      </c>
      <c r="CH830" s="24">
        <v>46043.28423435185</v>
      </c>
      <c r="CI830" s="24">
        <v>46043.28423435185</v>
      </c>
      <c r="CJ830" s="24">
        <v>46043.284264467591</v>
      </c>
      <c r="CK830" s="24">
        <v>46043.284264467591</v>
      </c>
      <c r="CL830">
        <v>1</v>
      </c>
      <c r="DE830" s="24"/>
      <c r="DF830" s="24"/>
      <c r="DG830" s="24"/>
      <c r="DH830" s="24"/>
      <c r="DJ830" t="s">
        <v>149</v>
      </c>
      <c r="DK830" t="s">
        <v>149</v>
      </c>
      <c r="DM830">
        <v>15</v>
      </c>
      <c r="DN830">
        <v>15</v>
      </c>
      <c r="DQ830" t="s">
        <v>1001</v>
      </c>
      <c r="DR830" t="s">
        <v>149</v>
      </c>
      <c r="DS830" s="24">
        <v>46160.384426226854</v>
      </c>
    </row>
    <row r="831" spans="1:123" x14ac:dyDescent="0.3">
      <c r="A831" t="s">
        <v>1314</v>
      </c>
      <c r="D831" t="s">
        <v>223</v>
      </c>
      <c r="E831" s="24">
        <v>46029.493622685186</v>
      </c>
      <c r="G831" t="s">
        <v>90</v>
      </c>
      <c r="H831" t="s">
        <v>155</v>
      </c>
      <c r="I831" s="24"/>
      <c r="J831" s="24"/>
      <c r="K831" s="24"/>
      <c r="L831" s="24"/>
      <c r="N831" s="24"/>
      <c r="O831" s="24"/>
      <c r="P831" s="24"/>
      <c r="Q831" s="24"/>
      <c r="V831" s="24"/>
      <c r="W831" s="24"/>
      <c r="X831" s="24"/>
      <c r="Y831" s="24"/>
      <c r="AA831" s="24">
        <v>46035.338543634258</v>
      </c>
      <c r="AB831" s="24">
        <v>46035.338543634258</v>
      </c>
      <c r="AC831" s="24">
        <v>46038.45248753472</v>
      </c>
      <c r="AD831" s="24">
        <v>46038.45248753472</v>
      </c>
      <c r="AE831">
        <v>1</v>
      </c>
      <c r="AF831" s="24">
        <v>46038.45248753472</v>
      </c>
      <c r="AG831" s="24">
        <v>46038.45248753472</v>
      </c>
      <c r="AH831" s="24">
        <v>46038.45270577546</v>
      </c>
      <c r="AI831" s="24">
        <v>46038.45270577546</v>
      </c>
      <c r="AJ831">
        <v>1</v>
      </c>
      <c r="AK831" s="24"/>
      <c r="AL831" s="24"/>
      <c r="AM831" s="24"/>
      <c r="AN831" s="24"/>
      <c r="AP831" s="24"/>
      <c r="AQ831" s="24"/>
      <c r="AR831" s="24">
        <v>46029.57330989583</v>
      </c>
      <c r="AS831" s="24">
        <v>46029.57330989583</v>
      </c>
      <c r="AX831" s="24"/>
      <c r="AY831" s="24"/>
      <c r="AZ831" s="24"/>
      <c r="BA831" s="24"/>
      <c r="BC831" s="24"/>
      <c r="BD831" s="24"/>
      <c r="BE831" s="24"/>
      <c r="BF831" s="24"/>
      <c r="BH831" s="24">
        <v>46029.57330989583</v>
      </c>
      <c r="BI831" s="24">
        <v>46029.57330989583</v>
      </c>
      <c r="BJ831" s="24">
        <v>46035.338543634258</v>
      </c>
      <c r="BK831" s="24">
        <v>46035.338543634258</v>
      </c>
      <c r="BL831">
        <v>1</v>
      </c>
      <c r="BM831" s="24"/>
      <c r="BN831" s="24"/>
      <c r="BO831" s="24"/>
      <c r="BP831" s="24"/>
      <c r="BR831" s="24">
        <v>46038.45270577546</v>
      </c>
      <c r="BS831" s="24">
        <v>46038.45270577546</v>
      </c>
      <c r="BT831" s="24">
        <v>46043.273754988426</v>
      </c>
      <c r="BU831" s="24">
        <v>46043.273754988426</v>
      </c>
      <c r="BV831">
        <v>1</v>
      </c>
      <c r="BW831" s="24"/>
      <c r="BX831" s="24"/>
      <c r="BY831" s="24"/>
      <c r="BZ831" s="24"/>
      <c r="CB831" s="24"/>
      <c r="CC831" s="24"/>
      <c r="CE831" s="24">
        <v>46043.273754988426</v>
      </c>
      <c r="CF831" s="24">
        <v>46043.273754988426</v>
      </c>
      <c r="CG831">
        <v>1</v>
      </c>
      <c r="CH831" s="24"/>
      <c r="CI831" s="24"/>
      <c r="CJ831" s="24"/>
      <c r="CK831" s="24"/>
      <c r="DE831" s="24"/>
      <c r="DF831" s="24"/>
      <c r="DG831" s="24"/>
      <c r="DH831" s="24"/>
      <c r="DJ831" t="s">
        <v>149</v>
      </c>
      <c r="DK831" t="s">
        <v>149</v>
      </c>
      <c r="DM831">
        <v>14</v>
      </c>
      <c r="DN831">
        <v>8</v>
      </c>
      <c r="DQ831" t="s">
        <v>1001</v>
      </c>
      <c r="DR831" t="s">
        <v>149</v>
      </c>
      <c r="DS831" s="24">
        <v>46160.384426226854</v>
      </c>
    </row>
    <row r="832" spans="1:123" x14ac:dyDescent="0.3">
      <c r="A832" t="s">
        <v>1315</v>
      </c>
      <c r="D832" t="s">
        <v>225</v>
      </c>
      <c r="E832" s="24">
        <v>46029.493159722224</v>
      </c>
      <c r="G832" t="s">
        <v>90</v>
      </c>
      <c r="H832" t="s">
        <v>155</v>
      </c>
      <c r="I832" s="24"/>
      <c r="J832" s="24"/>
      <c r="K832" s="24"/>
      <c r="L832" s="24"/>
      <c r="N832" s="24"/>
      <c r="O832" s="24"/>
      <c r="P832" s="24"/>
      <c r="Q832" s="24"/>
      <c r="V832" s="24"/>
      <c r="W832" s="24"/>
      <c r="X832" s="24"/>
      <c r="Y832" s="24"/>
      <c r="AA832" s="24">
        <v>46072.383210046297</v>
      </c>
      <c r="AB832" s="24">
        <v>46072.383210046297</v>
      </c>
      <c r="AC832" s="24">
        <v>46084.443357071759</v>
      </c>
      <c r="AD832" s="24">
        <v>46084.443357071759</v>
      </c>
      <c r="AE832">
        <v>1</v>
      </c>
      <c r="AF832" s="24">
        <v>46084.443357071759</v>
      </c>
      <c r="AG832" s="24">
        <v>46084.443357071759</v>
      </c>
      <c r="AH832" s="24">
        <v>46086.61095195602</v>
      </c>
      <c r="AI832" s="24">
        <v>46086.61095195602</v>
      </c>
      <c r="AJ832">
        <v>1</v>
      </c>
      <c r="AK832" s="24">
        <v>46086.61095195602</v>
      </c>
      <c r="AL832" s="24">
        <v>46086.61095195602</v>
      </c>
      <c r="AM832" s="24">
        <v>46090.44329127315</v>
      </c>
      <c r="AN832" s="24">
        <v>46090.44329127315</v>
      </c>
      <c r="AO832">
        <v>1</v>
      </c>
      <c r="AP832" s="24"/>
      <c r="AQ832" s="24"/>
      <c r="AR832" s="24">
        <v>46043.285455069446</v>
      </c>
      <c r="AS832" s="24">
        <v>46043.285455069446</v>
      </c>
      <c r="AX832" s="24"/>
      <c r="AY832" s="24"/>
      <c r="AZ832" s="24"/>
      <c r="BA832" s="24"/>
      <c r="BC832" s="24">
        <v>46090.443445671299</v>
      </c>
      <c r="BD832" s="24">
        <v>46090.443445671299</v>
      </c>
      <c r="BE832" s="24">
        <v>46141.465475474535</v>
      </c>
      <c r="BF832" s="24">
        <v>46141.465475474535</v>
      </c>
      <c r="BG832">
        <v>1</v>
      </c>
      <c r="BH832" s="24">
        <v>46043.285455069446</v>
      </c>
      <c r="BI832" s="24">
        <v>46043.285455069446</v>
      </c>
      <c r="BJ832" s="24">
        <v>46072.383210046297</v>
      </c>
      <c r="BK832" s="24">
        <v>46072.383210046297</v>
      </c>
      <c r="BL832">
        <v>1</v>
      </c>
      <c r="BM832" s="24"/>
      <c r="BN832" s="24"/>
      <c r="BO832" s="24"/>
      <c r="BP832" s="24"/>
      <c r="BR832" s="24">
        <v>46090.44329127315</v>
      </c>
      <c r="BS832" s="24">
        <v>46090.44329127315</v>
      </c>
      <c r="BT832" s="24">
        <v>46090.443445671299</v>
      </c>
      <c r="BU832" s="24">
        <v>46090.443445671299</v>
      </c>
      <c r="BV832">
        <v>1</v>
      </c>
      <c r="BW832" s="24"/>
      <c r="BX832" s="24"/>
      <c r="BY832" s="24"/>
      <c r="BZ832" s="24"/>
      <c r="CB832" s="24"/>
      <c r="CC832" s="24"/>
      <c r="CE832" s="24">
        <v>46141.465475474535</v>
      </c>
      <c r="CF832" s="24">
        <v>46141.465475474535</v>
      </c>
      <c r="CG832">
        <v>1</v>
      </c>
      <c r="CH832" s="24"/>
      <c r="CI832" s="24"/>
      <c r="CJ832" s="24"/>
      <c r="CK832" s="24"/>
      <c r="DE832" s="24"/>
      <c r="DF832" s="24"/>
      <c r="DG832" s="24"/>
      <c r="DH832" s="24"/>
      <c r="DJ832" t="s">
        <v>149</v>
      </c>
      <c r="DK832" t="s">
        <v>149</v>
      </c>
      <c r="DM832">
        <v>99</v>
      </c>
      <c r="DN832">
        <v>70</v>
      </c>
      <c r="DQ832" t="s">
        <v>1001</v>
      </c>
      <c r="DR832" t="s">
        <v>149</v>
      </c>
      <c r="DS832" s="24">
        <v>46160.384426226854</v>
      </c>
    </row>
    <row r="833" spans="1:123" x14ac:dyDescent="0.3">
      <c r="A833" t="s">
        <v>1316</v>
      </c>
      <c r="D833" t="s">
        <v>225</v>
      </c>
      <c r="E833" s="24">
        <v>46029.492858796293</v>
      </c>
      <c r="G833" t="s">
        <v>90</v>
      </c>
      <c r="H833" t="s">
        <v>155</v>
      </c>
      <c r="I833" s="24"/>
      <c r="J833" s="24"/>
      <c r="K833" s="24"/>
      <c r="L833" s="24"/>
      <c r="N833" s="24"/>
      <c r="O833" s="24"/>
      <c r="P833" s="24"/>
      <c r="Q833" s="24"/>
      <c r="V833" s="24"/>
      <c r="W833" s="24"/>
      <c r="X833" s="24"/>
      <c r="Y833" s="24"/>
      <c r="AA833" s="24">
        <v>46086.448209837959</v>
      </c>
      <c r="AB833" s="24">
        <v>46083.446555648145</v>
      </c>
      <c r="AC833" s="24">
        <v>46086.448141203706</v>
      </c>
      <c r="AD833" s="24">
        <v>46086.486274340277</v>
      </c>
      <c r="AE833">
        <v>2</v>
      </c>
      <c r="AF833" s="24">
        <v>46086.486274340277</v>
      </c>
      <c r="AG833" s="24">
        <v>46086.448141203706</v>
      </c>
      <c r="AH833" s="24">
        <v>46086.448209837959</v>
      </c>
      <c r="AI833" s="24">
        <v>46087.409690810186</v>
      </c>
      <c r="AJ833">
        <v>2</v>
      </c>
      <c r="AK833" s="24">
        <v>46087.409690810186</v>
      </c>
      <c r="AL833" s="24">
        <v>46087.409690810186</v>
      </c>
      <c r="AM833" s="24">
        <v>46087.40979416667</v>
      </c>
      <c r="AN833" s="24">
        <v>46087.40979416667</v>
      </c>
      <c r="AO833">
        <v>1</v>
      </c>
      <c r="AP833" s="24"/>
      <c r="AQ833" s="24"/>
      <c r="AR833" s="24">
        <v>46043.28527591435</v>
      </c>
      <c r="AS833" s="24">
        <v>46043.28527591435</v>
      </c>
      <c r="AX833" s="24"/>
      <c r="AY833" s="24"/>
      <c r="AZ833" s="24"/>
      <c r="BA833" s="24"/>
      <c r="BC833" s="24">
        <v>46087.409900439816</v>
      </c>
      <c r="BD833" s="24">
        <v>46087.409900439816</v>
      </c>
      <c r="BE833" s="24">
        <v>46141.465476168982</v>
      </c>
      <c r="BF833" s="24">
        <v>46141.465476168982</v>
      </c>
      <c r="BG833">
        <v>1</v>
      </c>
      <c r="BH833" s="24">
        <v>46043.28527591435</v>
      </c>
      <c r="BI833" s="24">
        <v>46043.28527591435</v>
      </c>
      <c r="BJ833" s="24">
        <v>46083.446555648145</v>
      </c>
      <c r="BK833" s="24">
        <v>46083.446555648145</v>
      </c>
      <c r="BL833">
        <v>1</v>
      </c>
      <c r="BM833" s="24"/>
      <c r="BN833" s="24"/>
      <c r="BO833" s="24"/>
      <c r="BP833" s="24"/>
      <c r="BR833" s="24">
        <v>46087.40979416667</v>
      </c>
      <c r="BS833" s="24">
        <v>46087.40979416667</v>
      </c>
      <c r="BT833" s="24">
        <v>46087.409900439816</v>
      </c>
      <c r="BU833" s="24">
        <v>46087.409900439816</v>
      </c>
      <c r="BV833">
        <v>1</v>
      </c>
      <c r="BW833" s="24"/>
      <c r="BX833" s="24"/>
      <c r="BY833" s="24"/>
      <c r="BZ833" s="24"/>
      <c r="CB833" s="24"/>
      <c r="CC833" s="24"/>
      <c r="CE833" s="24">
        <v>46141.465476168982</v>
      </c>
      <c r="CF833" s="24">
        <v>46141.465476168982</v>
      </c>
      <c r="CG833">
        <v>1</v>
      </c>
      <c r="CH833" s="24"/>
      <c r="CI833" s="24"/>
      <c r="CJ833" s="24"/>
      <c r="CK833" s="24"/>
      <c r="DE833" s="24"/>
      <c r="DF833" s="24"/>
      <c r="DG833" s="24"/>
      <c r="DH833" s="24"/>
      <c r="DJ833" t="s">
        <v>149</v>
      </c>
      <c r="DK833" t="s">
        <v>149</v>
      </c>
      <c r="DM833">
        <v>99</v>
      </c>
      <c r="DN833">
        <v>59</v>
      </c>
      <c r="DQ833" t="s">
        <v>1001</v>
      </c>
      <c r="DR833" t="s">
        <v>149</v>
      </c>
      <c r="DS833" s="24">
        <v>46160.384426226854</v>
      </c>
    </row>
    <row r="834" spans="1:123" x14ac:dyDescent="0.3">
      <c r="A834" t="s">
        <v>1317</v>
      </c>
      <c r="D834" t="s">
        <v>225</v>
      </c>
      <c r="E834" s="24">
        <v>46029.492372685185</v>
      </c>
      <c r="G834" t="s">
        <v>90</v>
      </c>
      <c r="H834" t="s">
        <v>155</v>
      </c>
      <c r="I834" s="24"/>
      <c r="J834" s="24"/>
      <c r="K834" s="24"/>
      <c r="L834" s="24"/>
      <c r="N834" s="24"/>
      <c r="O834" s="24"/>
      <c r="P834" s="24"/>
      <c r="Q834" s="24"/>
      <c r="V834" s="24"/>
      <c r="W834" s="24"/>
      <c r="X834" s="24"/>
      <c r="Y834" s="24"/>
      <c r="AA834" s="24">
        <v>46044.448241307873</v>
      </c>
      <c r="AB834" s="24">
        <v>46044.448241307873</v>
      </c>
      <c r="AC834" s="24">
        <v>46057.43727130787</v>
      </c>
      <c r="AD834" s="24">
        <v>46057.43727130787</v>
      </c>
      <c r="AE834">
        <v>1</v>
      </c>
      <c r="AF834" s="24">
        <v>46057.43727130787</v>
      </c>
      <c r="AG834" s="24">
        <v>46057.43727130787</v>
      </c>
      <c r="AH834" s="24">
        <v>46070.139485763888</v>
      </c>
      <c r="AI834" s="24">
        <v>46070.139485763888</v>
      </c>
      <c r="AJ834">
        <v>1</v>
      </c>
      <c r="AK834" s="24">
        <v>46070.139485763888</v>
      </c>
      <c r="AL834" s="24">
        <v>46070.139485763888</v>
      </c>
      <c r="AM834" s="24">
        <v>46071.455795833332</v>
      </c>
      <c r="AN834" s="24">
        <v>46071.455795833332</v>
      </c>
      <c r="AO834">
        <v>1</v>
      </c>
      <c r="AP834" s="24"/>
      <c r="AQ834" s="24"/>
      <c r="AR834" s="24">
        <v>46043.285047175923</v>
      </c>
      <c r="AS834" s="24">
        <v>46043.285047175923</v>
      </c>
      <c r="AX834" s="24"/>
      <c r="AY834" s="24"/>
      <c r="AZ834" s="24"/>
      <c r="BA834" s="24"/>
      <c r="BC834" s="24">
        <v>46071.459613194442</v>
      </c>
      <c r="BD834" s="24">
        <v>46071.459613194442</v>
      </c>
      <c r="BE834" s="24">
        <v>46141.465477604164</v>
      </c>
      <c r="BF834" s="24">
        <v>46141.465477604164</v>
      </c>
      <c r="BG834">
        <v>1</v>
      </c>
      <c r="BH834" s="24">
        <v>46043.285047175923</v>
      </c>
      <c r="BI834" s="24">
        <v>46043.285047175923</v>
      </c>
      <c r="BJ834" s="24">
        <v>46044.448241307873</v>
      </c>
      <c r="BK834" s="24">
        <v>46044.448241307873</v>
      </c>
      <c r="BL834">
        <v>1</v>
      </c>
      <c r="BM834" s="24"/>
      <c r="BN834" s="24"/>
      <c r="BO834" s="24"/>
      <c r="BP834" s="24"/>
      <c r="BR834" s="24">
        <v>46071.455795833332</v>
      </c>
      <c r="BS834" s="24">
        <v>46071.455795833332</v>
      </c>
      <c r="BT834" s="24">
        <v>46071.459613194442</v>
      </c>
      <c r="BU834" s="24">
        <v>46071.459613194442</v>
      </c>
      <c r="BV834">
        <v>1</v>
      </c>
      <c r="BW834" s="24"/>
      <c r="BX834" s="24"/>
      <c r="BY834" s="24"/>
      <c r="BZ834" s="24"/>
      <c r="CB834" s="24"/>
      <c r="CC834" s="24"/>
      <c r="CE834" s="24">
        <v>46141.465477604164</v>
      </c>
      <c r="CF834" s="24">
        <v>46141.465477604164</v>
      </c>
      <c r="CG834">
        <v>1</v>
      </c>
      <c r="CH834" s="24"/>
      <c r="CI834" s="24"/>
      <c r="CJ834" s="24"/>
      <c r="CK834" s="24"/>
      <c r="DE834" s="24"/>
      <c r="DF834" s="24"/>
      <c r="DG834" s="24"/>
      <c r="DH834" s="24"/>
      <c r="DJ834" t="s">
        <v>149</v>
      </c>
      <c r="DK834" t="s">
        <v>149</v>
      </c>
      <c r="DM834">
        <v>99</v>
      </c>
      <c r="DN834">
        <v>98</v>
      </c>
      <c r="DQ834" t="s">
        <v>1001</v>
      </c>
      <c r="DR834" t="s">
        <v>149</v>
      </c>
      <c r="DS834" s="24">
        <v>46160.384426226854</v>
      </c>
    </row>
    <row r="835" spans="1:123" x14ac:dyDescent="0.3">
      <c r="A835" t="s">
        <v>1318</v>
      </c>
      <c r="D835" t="s">
        <v>225</v>
      </c>
      <c r="E835" s="24">
        <v>46029.491932870369</v>
      </c>
      <c r="G835" t="s">
        <v>90</v>
      </c>
      <c r="H835" t="s">
        <v>155</v>
      </c>
      <c r="I835" s="24"/>
      <c r="J835" s="24"/>
      <c r="K835" s="24"/>
      <c r="L835" s="24"/>
      <c r="N835" s="24"/>
      <c r="O835" s="24"/>
      <c r="P835" s="24"/>
      <c r="Q835" s="24"/>
      <c r="V835" s="24"/>
      <c r="W835" s="24"/>
      <c r="X835" s="24"/>
      <c r="Y835" s="24"/>
      <c r="AA835" s="24">
        <v>46048.597275717591</v>
      </c>
      <c r="AB835" s="24">
        <v>46048.597275717591</v>
      </c>
      <c r="AC835" s="24">
        <v>46049.594469722222</v>
      </c>
      <c r="AD835" s="24">
        <v>46049.594469722222</v>
      </c>
      <c r="AE835">
        <v>1</v>
      </c>
      <c r="AF835" s="24">
        <v>46049.594469722222</v>
      </c>
      <c r="AG835" s="24">
        <v>46049.594469722222</v>
      </c>
      <c r="AH835" s="24">
        <v>46057.432311979166</v>
      </c>
      <c r="AI835" s="24">
        <v>46057.432311979166</v>
      </c>
      <c r="AJ835">
        <v>1</v>
      </c>
      <c r="AK835" s="24">
        <v>46057.432311979166</v>
      </c>
      <c r="AL835" s="24">
        <v>46057.432311979166</v>
      </c>
      <c r="AM835" s="24">
        <v>46057.432355856479</v>
      </c>
      <c r="AN835" s="24">
        <v>46057.432355856479</v>
      </c>
      <c r="AO835">
        <v>1</v>
      </c>
      <c r="AP835" s="24"/>
      <c r="AQ835" s="24"/>
      <c r="AR835" s="24">
        <v>46043.283731238429</v>
      </c>
      <c r="AS835" s="24">
        <v>46043.283731238429</v>
      </c>
      <c r="AX835" s="24"/>
      <c r="AY835" s="24"/>
      <c r="AZ835" s="24"/>
      <c r="BA835" s="24"/>
      <c r="BC835" s="24">
        <v>46057.433561076388</v>
      </c>
      <c r="BD835" s="24">
        <v>46057.433561076388</v>
      </c>
      <c r="BE835" s="24">
        <v>46141.465482650463</v>
      </c>
      <c r="BF835" s="24">
        <v>46141.465482650463</v>
      </c>
      <c r="BG835">
        <v>1</v>
      </c>
      <c r="BH835" s="24">
        <v>46043.283731238429</v>
      </c>
      <c r="BI835" s="24">
        <v>46043.283731238429</v>
      </c>
      <c r="BJ835" s="24">
        <v>46048.597275717591</v>
      </c>
      <c r="BK835" s="24">
        <v>46048.597275717591</v>
      </c>
      <c r="BL835">
        <v>1</v>
      </c>
      <c r="BM835" s="24"/>
      <c r="BN835" s="24"/>
      <c r="BO835" s="24"/>
      <c r="BP835" s="24"/>
      <c r="BR835" s="24">
        <v>46057.432355856479</v>
      </c>
      <c r="BS835" s="24">
        <v>46057.432355856479</v>
      </c>
      <c r="BT835" s="24">
        <v>46057.433561076388</v>
      </c>
      <c r="BU835" s="24">
        <v>46057.433561076388</v>
      </c>
      <c r="BV835">
        <v>1</v>
      </c>
      <c r="BW835" s="24"/>
      <c r="BX835" s="24"/>
      <c r="BY835" s="24"/>
      <c r="BZ835" s="24"/>
      <c r="CB835" s="24"/>
      <c r="CC835" s="24"/>
      <c r="CE835" s="24">
        <v>46141.465482650463</v>
      </c>
      <c r="CF835" s="24">
        <v>46141.465482650463</v>
      </c>
      <c r="CG835">
        <v>1</v>
      </c>
      <c r="CH835" s="24"/>
      <c r="CI835" s="24"/>
      <c r="CJ835" s="24"/>
      <c r="CK835" s="24"/>
      <c r="DE835" s="24"/>
      <c r="DF835" s="24"/>
      <c r="DG835" s="24"/>
      <c r="DH835" s="24"/>
      <c r="DJ835" t="s">
        <v>149</v>
      </c>
      <c r="DK835" t="s">
        <v>149</v>
      </c>
      <c r="DM835">
        <v>99</v>
      </c>
      <c r="DN835">
        <v>93</v>
      </c>
      <c r="DQ835" t="s">
        <v>1001</v>
      </c>
      <c r="DR835" t="s">
        <v>149</v>
      </c>
      <c r="DS835" s="24">
        <v>46160.384426226854</v>
      </c>
    </row>
    <row r="836" spans="1:123" x14ac:dyDescent="0.3">
      <c r="A836" t="s">
        <v>1319</v>
      </c>
      <c r="D836" t="s">
        <v>225</v>
      </c>
      <c r="E836" s="24">
        <v>46029.491655092592</v>
      </c>
      <c r="G836" t="s">
        <v>90</v>
      </c>
      <c r="H836" t="s">
        <v>155</v>
      </c>
      <c r="I836" s="24"/>
      <c r="J836" s="24"/>
      <c r="K836" s="24"/>
      <c r="L836" s="24"/>
      <c r="N836" s="24"/>
      <c r="O836" s="24"/>
      <c r="P836" s="24"/>
      <c r="Q836" s="24"/>
      <c r="V836" s="24"/>
      <c r="W836" s="24"/>
      <c r="X836" s="24"/>
      <c r="Y836" s="24"/>
      <c r="AA836" s="24">
        <v>46030.418360659722</v>
      </c>
      <c r="AB836" s="24">
        <v>46030.418360659722</v>
      </c>
      <c r="AC836" s="24">
        <v>46031.607253055554</v>
      </c>
      <c r="AD836" s="24">
        <v>46031.607253055554</v>
      </c>
      <c r="AE836">
        <v>1</v>
      </c>
      <c r="AF836" s="24">
        <v>46031.607253055554</v>
      </c>
      <c r="AG836" s="24">
        <v>46031.607253055554</v>
      </c>
      <c r="AH836" s="24">
        <v>46031.637477118056</v>
      </c>
      <c r="AI836" s="24">
        <v>46031.637477118056</v>
      </c>
      <c r="AJ836">
        <v>1</v>
      </c>
      <c r="AK836" s="24">
        <v>46031.637477118056</v>
      </c>
      <c r="AL836" s="24">
        <v>46031.637477118056</v>
      </c>
      <c r="AM836" s="24">
        <v>46036.419865208336</v>
      </c>
      <c r="AN836" s="24">
        <v>46036.419865208336</v>
      </c>
      <c r="AO836">
        <v>1</v>
      </c>
      <c r="AP836" s="24"/>
      <c r="AQ836" s="24"/>
      <c r="AR836" s="24">
        <v>46029.5835028125</v>
      </c>
      <c r="AS836" s="24">
        <v>46029.5835028125</v>
      </c>
      <c r="AX836" s="24"/>
      <c r="AY836" s="24"/>
      <c r="AZ836" s="24"/>
      <c r="BA836" s="24"/>
      <c r="BC836" s="24">
        <v>46036.4199902662</v>
      </c>
      <c r="BD836" s="24">
        <v>46036.4199902662</v>
      </c>
      <c r="BE836" s="24">
        <v>46057.98397695602</v>
      </c>
      <c r="BF836" s="24">
        <v>46057.98397695602</v>
      </c>
      <c r="BG836">
        <v>1</v>
      </c>
      <c r="BH836" s="24">
        <v>46029.5835028125</v>
      </c>
      <c r="BI836" s="24">
        <v>46029.5835028125</v>
      </c>
      <c r="BJ836" s="24">
        <v>46030.418360659722</v>
      </c>
      <c r="BK836" s="24">
        <v>46030.418360659722</v>
      </c>
      <c r="BL836">
        <v>1</v>
      </c>
      <c r="BM836" s="24"/>
      <c r="BN836" s="24"/>
      <c r="BO836" s="24"/>
      <c r="BP836" s="24"/>
      <c r="BR836" s="24">
        <v>46036.419865208336</v>
      </c>
      <c r="BS836" s="24">
        <v>46036.419865208336</v>
      </c>
      <c r="BT836" s="24">
        <v>46036.4199902662</v>
      </c>
      <c r="BU836" s="24">
        <v>46036.4199902662</v>
      </c>
      <c r="BV836">
        <v>1</v>
      </c>
      <c r="BW836" s="24"/>
      <c r="BX836" s="24"/>
      <c r="BY836" s="24"/>
      <c r="BZ836" s="24"/>
      <c r="CB836" s="24"/>
      <c r="CC836" s="24"/>
      <c r="CE836" s="24">
        <v>46057.98397695602</v>
      </c>
      <c r="CF836" s="24">
        <v>46057.98397695602</v>
      </c>
      <c r="CG836">
        <v>1</v>
      </c>
      <c r="CH836" s="24"/>
      <c r="CI836" s="24"/>
      <c r="CJ836" s="24"/>
      <c r="CK836" s="24"/>
      <c r="DE836" s="24"/>
      <c r="DF836" s="24"/>
      <c r="DG836" s="24"/>
      <c r="DH836" s="24"/>
      <c r="DJ836" t="s">
        <v>149</v>
      </c>
      <c r="DK836" t="s">
        <v>149</v>
      </c>
      <c r="DM836">
        <v>29</v>
      </c>
      <c r="DN836">
        <v>28</v>
      </c>
      <c r="DQ836" t="s">
        <v>1001</v>
      </c>
      <c r="DR836" t="s">
        <v>149</v>
      </c>
      <c r="DS836" s="24">
        <v>46160.384426226854</v>
      </c>
    </row>
    <row r="837" spans="1:123" x14ac:dyDescent="0.3">
      <c r="A837" t="s">
        <v>1320</v>
      </c>
      <c r="D837" t="s">
        <v>225</v>
      </c>
      <c r="E837" s="24">
        <v>46029.479097222225</v>
      </c>
      <c r="G837" t="s">
        <v>90</v>
      </c>
      <c r="H837" t="s">
        <v>155</v>
      </c>
      <c r="I837" s="24"/>
      <c r="J837" s="24"/>
      <c r="K837" s="24"/>
      <c r="L837" s="24"/>
      <c r="N837" s="24"/>
      <c r="O837" s="24"/>
      <c r="P837" s="24"/>
      <c r="Q837" s="24"/>
      <c r="V837" s="24"/>
      <c r="W837" s="24"/>
      <c r="X837" s="24"/>
      <c r="Y837" s="24"/>
      <c r="AA837" s="24">
        <v>46036.95575721065</v>
      </c>
      <c r="AB837" s="24">
        <v>46036.95575721065</v>
      </c>
      <c r="AC837" s="24">
        <v>46037.598958784722</v>
      </c>
      <c r="AD837" s="24">
        <v>46037.598958784722</v>
      </c>
      <c r="AE837">
        <v>1</v>
      </c>
      <c r="AF837" s="24">
        <v>46037.598958784722</v>
      </c>
      <c r="AG837" s="24">
        <v>46037.598958784722</v>
      </c>
      <c r="AH837" s="24">
        <v>46038.544996585646</v>
      </c>
      <c r="AI837" s="24">
        <v>46038.544996585646</v>
      </c>
      <c r="AJ837">
        <v>1</v>
      </c>
      <c r="AK837" s="24">
        <v>46038.544996585646</v>
      </c>
      <c r="AL837" s="24">
        <v>46038.544996585646</v>
      </c>
      <c r="AM837" s="24">
        <v>46038.590193703705</v>
      </c>
      <c r="AN837" s="24">
        <v>46038.590193703705</v>
      </c>
      <c r="AO837">
        <v>1</v>
      </c>
      <c r="AP837" s="24"/>
      <c r="AQ837" s="24"/>
      <c r="AR837" s="24"/>
      <c r="AS837" s="24"/>
      <c r="AX837" s="24"/>
      <c r="AY837" s="24"/>
      <c r="AZ837" s="24"/>
      <c r="BA837" s="24"/>
      <c r="BC837" s="24">
        <v>46041.450494456018</v>
      </c>
      <c r="BD837" s="24">
        <v>46041.450494456018</v>
      </c>
      <c r="BE837" s="24">
        <v>46057.983977164353</v>
      </c>
      <c r="BF837" s="24">
        <v>46057.983977164353</v>
      </c>
      <c r="BG837">
        <v>1</v>
      </c>
      <c r="BH837" s="24"/>
      <c r="BI837" s="24"/>
      <c r="BJ837" s="24"/>
      <c r="BK837" s="24"/>
      <c r="BM837" s="24"/>
      <c r="BN837" s="24"/>
      <c r="BO837" s="24"/>
      <c r="BP837" s="24"/>
      <c r="BR837" s="24">
        <v>46038.590193703705</v>
      </c>
      <c r="BS837" s="24">
        <v>46038.590193703705</v>
      </c>
      <c r="BT837" s="24">
        <v>46041.450494456018</v>
      </c>
      <c r="BU837" s="24">
        <v>46041.450494456018</v>
      </c>
      <c r="BV837">
        <v>1</v>
      </c>
      <c r="BW837" s="24"/>
      <c r="BX837" s="24"/>
      <c r="BY837" s="24"/>
      <c r="BZ837" s="24"/>
      <c r="CB837" s="24"/>
      <c r="CC837" s="24"/>
      <c r="CE837" s="24">
        <v>46057.983977164353</v>
      </c>
      <c r="CF837" s="24">
        <v>46057.983977164353</v>
      </c>
      <c r="CG837">
        <v>1</v>
      </c>
      <c r="CH837" s="24"/>
      <c r="CI837" s="24"/>
      <c r="CJ837" s="24"/>
      <c r="CK837" s="24"/>
      <c r="DE837" s="24"/>
      <c r="DF837" s="24"/>
      <c r="DG837" s="24"/>
      <c r="DH837" s="24"/>
      <c r="DJ837" t="s">
        <v>149</v>
      </c>
      <c r="DK837" t="s">
        <v>149</v>
      </c>
      <c r="DN837">
        <v>22</v>
      </c>
      <c r="DQ837" t="s">
        <v>1001</v>
      </c>
      <c r="DR837" t="s">
        <v>149</v>
      </c>
      <c r="DS837" s="24">
        <v>46160.384426226854</v>
      </c>
    </row>
    <row r="838" spans="1:123" x14ac:dyDescent="0.3">
      <c r="A838" t="s">
        <v>1321</v>
      </c>
      <c r="D838" t="s">
        <v>225</v>
      </c>
      <c r="E838" s="24">
        <v>46029.454317129632</v>
      </c>
      <c r="G838" t="s">
        <v>90</v>
      </c>
      <c r="H838" t="s">
        <v>155</v>
      </c>
      <c r="I838" s="24"/>
      <c r="J838" s="24"/>
      <c r="K838" s="24"/>
      <c r="L838" s="24"/>
      <c r="N838" s="24"/>
      <c r="O838" s="24"/>
      <c r="P838" s="24"/>
      <c r="Q838" s="24"/>
      <c r="V838" s="24"/>
      <c r="W838" s="24"/>
      <c r="X838" s="24"/>
      <c r="Y838" s="24"/>
      <c r="AA838" s="24">
        <v>46076.497781747683</v>
      </c>
      <c r="AB838" s="24">
        <v>46076.497781747683</v>
      </c>
      <c r="AC838" s="24">
        <v>46077.583754016203</v>
      </c>
      <c r="AD838" s="24">
        <v>46077.583754016203</v>
      </c>
      <c r="AE838">
        <v>1</v>
      </c>
      <c r="AF838" s="24">
        <v>46077.583754016203</v>
      </c>
      <c r="AG838" s="24">
        <v>46077.583754016203</v>
      </c>
      <c r="AH838" s="24">
        <v>46080.535060162038</v>
      </c>
      <c r="AI838" s="24">
        <v>46080.535060162038</v>
      </c>
      <c r="AJ838">
        <v>1</v>
      </c>
      <c r="AK838" s="24">
        <v>46080.535060162038</v>
      </c>
      <c r="AL838" s="24">
        <v>46080.535060162038</v>
      </c>
      <c r="AM838" s="24">
        <v>46080.660784479165</v>
      </c>
      <c r="AN838" s="24">
        <v>46080.660784479165</v>
      </c>
      <c r="AO838">
        <v>1</v>
      </c>
      <c r="AP838" s="24"/>
      <c r="AQ838" s="24"/>
      <c r="AR838" s="24">
        <v>46043.287459328705</v>
      </c>
      <c r="AS838" s="24">
        <v>46043.287459328705</v>
      </c>
      <c r="AX838" s="24"/>
      <c r="AY838" s="24"/>
      <c r="AZ838" s="24"/>
      <c r="BA838" s="24"/>
      <c r="BC838" s="24">
        <v>46080.660920787035</v>
      </c>
      <c r="BD838" s="24">
        <v>46080.660920787035</v>
      </c>
      <c r="BE838" s="24">
        <v>46114.436687476853</v>
      </c>
      <c r="BF838" s="24">
        <v>46114.436687476853</v>
      </c>
      <c r="BG838">
        <v>1</v>
      </c>
      <c r="BH838" s="24">
        <v>46043.287459328705</v>
      </c>
      <c r="BI838" s="24">
        <v>46043.287459328705</v>
      </c>
      <c r="BJ838" s="24">
        <v>46076.497781747683</v>
      </c>
      <c r="BK838" s="24">
        <v>46076.497781747683</v>
      </c>
      <c r="BL838">
        <v>1</v>
      </c>
      <c r="BM838" s="24"/>
      <c r="BN838" s="24"/>
      <c r="BO838" s="24"/>
      <c r="BP838" s="24"/>
      <c r="BR838" s="24">
        <v>46080.660784479165</v>
      </c>
      <c r="BS838" s="24">
        <v>46080.660784479165</v>
      </c>
      <c r="BT838" s="24">
        <v>46080.660920787035</v>
      </c>
      <c r="BU838" s="24">
        <v>46080.660920787035</v>
      </c>
      <c r="BV838">
        <v>1</v>
      </c>
      <c r="BW838" s="24"/>
      <c r="BX838" s="24"/>
      <c r="BY838" s="24"/>
      <c r="BZ838" s="24"/>
      <c r="CB838" s="24"/>
      <c r="CC838" s="24"/>
      <c r="CE838" s="24">
        <v>46114.436687476853</v>
      </c>
      <c r="CF838" s="24">
        <v>46114.436687476853</v>
      </c>
      <c r="CG838">
        <v>1</v>
      </c>
      <c r="CH838" s="24"/>
      <c r="CI838" s="24"/>
      <c r="CJ838" s="24"/>
      <c r="CK838" s="24"/>
      <c r="DE838" s="24"/>
      <c r="DF838" s="24"/>
      <c r="DG838" s="24"/>
      <c r="DH838" s="24"/>
      <c r="DJ838" t="s">
        <v>149</v>
      </c>
      <c r="DK838" t="s">
        <v>149</v>
      </c>
      <c r="DM838">
        <v>72</v>
      </c>
      <c r="DN838">
        <v>38</v>
      </c>
      <c r="DQ838" t="s">
        <v>1001</v>
      </c>
      <c r="DR838" t="s">
        <v>149</v>
      </c>
      <c r="DS838" s="24">
        <v>46160.384426226854</v>
      </c>
    </row>
    <row r="839" spans="1:123" x14ac:dyDescent="0.3">
      <c r="A839" t="s">
        <v>1322</v>
      </c>
      <c r="D839" t="s">
        <v>225</v>
      </c>
      <c r="E839" s="24">
        <v>46028.370092592595</v>
      </c>
      <c r="G839" t="s">
        <v>90</v>
      </c>
      <c r="H839" t="s">
        <v>155</v>
      </c>
      <c r="I839" s="24"/>
      <c r="J839" s="24"/>
      <c r="K839" s="24"/>
      <c r="L839" s="24"/>
      <c r="N839" s="24"/>
      <c r="O839" s="24"/>
      <c r="P839" s="24"/>
      <c r="Q839" s="24"/>
      <c r="V839" s="24"/>
      <c r="W839" s="24"/>
      <c r="X839" s="24"/>
      <c r="Y839" s="24"/>
      <c r="AA839" s="24">
        <v>46031.277888032404</v>
      </c>
      <c r="AB839" s="24">
        <v>46031.277888032404</v>
      </c>
      <c r="AC839" s="24">
        <v>46031.602943344908</v>
      </c>
      <c r="AD839" s="24">
        <v>46031.602943344908</v>
      </c>
      <c r="AE839">
        <v>1</v>
      </c>
      <c r="AF839" s="24"/>
      <c r="AG839" s="24"/>
      <c r="AH839" s="24"/>
      <c r="AI839" s="24"/>
      <c r="AK839" s="24">
        <v>46031.602943344908</v>
      </c>
      <c r="AL839" s="24">
        <v>46031.602943344908</v>
      </c>
      <c r="AM839" s="24">
        <v>46031.602971377317</v>
      </c>
      <c r="AN839" s="24">
        <v>46031.602971377317</v>
      </c>
      <c r="AO839">
        <v>1</v>
      </c>
      <c r="AP839" s="24"/>
      <c r="AQ839" s="24"/>
      <c r="AR839" s="24"/>
      <c r="AS839" s="24"/>
      <c r="AX839" s="24"/>
      <c r="AY839" s="24"/>
      <c r="AZ839" s="24"/>
      <c r="BA839" s="24"/>
      <c r="BC839" s="24">
        <v>46035.483717939816</v>
      </c>
      <c r="BD839" s="24">
        <v>46035.483717939816</v>
      </c>
      <c r="BE839" s="24">
        <v>46044.36731321759</v>
      </c>
      <c r="BF839" s="24">
        <v>46044.36731321759</v>
      </c>
      <c r="BG839">
        <v>1</v>
      </c>
      <c r="BH839" s="24"/>
      <c r="BI839" s="24"/>
      <c r="BJ839" s="24"/>
      <c r="BK839" s="24"/>
      <c r="BM839" s="24"/>
      <c r="BN839" s="24"/>
      <c r="BO839" s="24"/>
      <c r="BP839" s="24"/>
      <c r="BR839" s="24">
        <v>46031.602971377317</v>
      </c>
      <c r="BS839" s="24">
        <v>46031.602971377317</v>
      </c>
      <c r="BT839" s="24">
        <v>46035.483717939816</v>
      </c>
      <c r="BU839" s="24">
        <v>46035.483717939816</v>
      </c>
      <c r="BV839">
        <v>1</v>
      </c>
      <c r="BW839" s="24"/>
      <c r="BX839" s="24"/>
      <c r="BY839" s="24"/>
      <c r="BZ839" s="24"/>
      <c r="CB839" s="24"/>
      <c r="CC839" s="24"/>
      <c r="CE839" s="24">
        <v>46044.36731321759</v>
      </c>
      <c r="CF839" s="24">
        <v>46044.36731321759</v>
      </c>
      <c r="CG839">
        <v>1</v>
      </c>
      <c r="CH839" s="24"/>
      <c r="CI839" s="24"/>
      <c r="CJ839" s="24"/>
      <c r="CK839" s="24"/>
      <c r="DE839" s="24"/>
      <c r="DF839" s="24"/>
      <c r="DG839" s="24"/>
      <c r="DH839" s="24"/>
      <c r="DJ839" t="s">
        <v>149</v>
      </c>
      <c r="DK839" t="s">
        <v>149</v>
      </c>
      <c r="DN839">
        <v>14</v>
      </c>
      <c r="DQ839" t="s">
        <v>1001</v>
      </c>
      <c r="DR839" t="s">
        <v>149</v>
      </c>
      <c r="DS839" s="24">
        <v>46160.384426226854</v>
      </c>
    </row>
    <row r="840" spans="1:123" x14ac:dyDescent="0.3">
      <c r="A840" t="s">
        <v>1323</v>
      </c>
      <c r="D840" t="s">
        <v>223</v>
      </c>
      <c r="E840" s="24">
        <v>46027.457812499997</v>
      </c>
      <c r="G840" t="s">
        <v>90</v>
      </c>
      <c r="H840" t="s">
        <v>155</v>
      </c>
      <c r="I840" s="24"/>
      <c r="J840" s="24"/>
      <c r="K840" s="24"/>
      <c r="L840" s="24"/>
      <c r="N840" s="24"/>
      <c r="O840" s="24"/>
      <c r="P840" s="24"/>
      <c r="Q840" s="24"/>
      <c r="V840" s="24"/>
      <c r="W840" s="24"/>
      <c r="X840" s="24"/>
      <c r="Y840" s="24"/>
      <c r="AA840" s="24">
        <v>46030.410931273145</v>
      </c>
      <c r="AB840" s="24">
        <v>46030.410931273145</v>
      </c>
      <c r="AC840" s="24">
        <v>46037.598966817131</v>
      </c>
      <c r="AD840" s="24">
        <v>46037.598966817131</v>
      </c>
      <c r="AE840">
        <v>1</v>
      </c>
      <c r="AF840" s="24">
        <v>46037.598966817131</v>
      </c>
      <c r="AG840" s="24">
        <v>46037.598966817131</v>
      </c>
      <c r="AH840" s="24">
        <v>46043.42737114583</v>
      </c>
      <c r="AI840" s="24">
        <v>46043.42737114583</v>
      </c>
      <c r="AJ840">
        <v>1</v>
      </c>
      <c r="AK840" s="24"/>
      <c r="AL840" s="24"/>
      <c r="AM840" s="24"/>
      <c r="AN840" s="24"/>
      <c r="AP840" s="24"/>
      <c r="AQ840" s="24"/>
      <c r="AR840" s="24">
        <v>46029.59172340278</v>
      </c>
      <c r="AS840" s="24">
        <v>46029.59172340278</v>
      </c>
      <c r="AX840" s="24"/>
      <c r="AY840" s="24"/>
      <c r="AZ840" s="24"/>
      <c r="BA840" s="24"/>
      <c r="BC840" s="24"/>
      <c r="BD840" s="24"/>
      <c r="BE840" s="24"/>
      <c r="BF840" s="24"/>
      <c r="BH840" s="24">
        <v>46029.59172340278</v>
      </c>
      <c r="BI840" s="24">
        <v>46029.59172340278</v>
      </c>
      <c r="BJ840" s="24">
        <v>46030.410931273145</v>
      </c>
      <c r="BK840" s="24">
        <v>46030.410931273145</v>
      </c>
      <c r="BL840">
        <v>1</v>
      </c>
      <c r="BM840" s="24"/>
      <c r="BN840" s="24"/>
      <c r="BO840" s="24"/>
      <c r="BP840" s="24"/>
      <c r="BR840" s="24"/>
      <c r="BS840" s="24"/>
      <c r="BT840" s="24"/>
      <c r="BU840" s="24"/>
      <c r="BW840" s="24"/>
      <c r="BX840" s="24"/>
      <c r="BY840" s="24"/>
      <c r="BZ840" s="24"/>
      <c r="CB840" s="24"/>
      <c r="CC840" s="24"/>
      <c r="CE840" s="24">
        <v>46043.42737114583</v>
      </c>
      <c r="CF840" s="24">
        <v>46043.42737114583</v>
      </c>
      <c r="CG840">
        <v>1</v>
      </c>
      <c r="CH840" s="24"/>
      <c r="CI840" s="24"/>
      <c r="CJ840" s="24"/>
      <c r="CK840" s="24"/>
      <c r="DE840" s="24"/>
      <c r="DF840" s="24"/>
      <c r="DG840" s="24"/>
      <c r="DH840" s="24"/>
      <c r="DJ840" t="s">
        <v>149</v>
      </c>
      <c r="DK840" t="s">
        <v>149</v>
      </c>
      <c r="DM840">
        <v>14</v>
      </c>
      <c r="DN840">
        <v>14</v>
      </c>
      <c r="DQ840" t="s">
        <v>1001</v>
      </c>
      <c r="DR840" t="s">
        <v>149</v>
      </c>
      <c r="DS840" s="24">
        <v>46160.384426226854</v>
      </c>
    </row>
    <row r="841" spans="1:123" x14ac:dyDescent="0.3">
      <c r="A841" t="s">
        <v>1324</v>
      </c>
      <c r="D841" t="s">
        <v>225</v>
      </c>
      <c r="E841" s="24">
        <v>46009.561412037037</v>
      </c>
      <c r="G841" t="s">
        <v>90</v>
      </c>
      <c r="H841" t="s">
        <v>155</v>
      </c>
      <c r="I841" s="24"/>
      <c r="J841" s="24"/>
      <c r="K841" s="24"/>
      <c r="L841" s="24"/>
      <c r="N841" s="24"/>
      <c r="O841" s="24"/>
      <c r="P841" s="24"/>
      <c r="Q841" s="24"/>
      <c r="V841" s="24"/>
      <c r="W841" s="24"/>
      <c r="X841" s="24"/>
      <c r="Y841" s="24"/>
      <c r="AA841" s="24">
        <v>46031.610680844904</v>
      </c>
      <c r="AB841" s="24">
        <v>46031.610680844904</v>
      </c>
      <c r="AC841" s="24">
        <v>46031.626720462962</v>
      </c>
      <c r="AD841" s="24">
        <v>46031.626720462962</v>
      </c>
      <c r="AE841">
        <v>1</v>
      </c>
      <c r="AF841" s="24">
        <v>46031.626720462962</v>
      </c>
      <c r="AG841" s="24">
        <v>46031.626720462962</v>
      </c>
      <c r="AH841" s="24">
        <v>46034.398066562499</v>
      </c>
      <c r="AI841" s="24">
        <v>46034.398066562499</v>
      </c>
      <c r="AJ841">
        <v>1</v>
      </c>
      <c r="AK841" s="24">
        <v>46034.398066562499</v>
      </c>
      <c r="AL841" s="24">
        <v>46034.398066562499</v>
      </c>
      <c r="AM841" s="24">
        <v>46036.624473356482</v>
      </c>
      <c r="AN841" s="24">
        <v>46036.624473356482</v>
      </c>
      <c r="AO841">
        <v>1</v>
      </c>
      <c r="AP841" s="24"/>
      <c r="AQ841" s="24"/>
      <c r="AR841" s="24">
        <v>46029.549006990739</v>
      </c>
      <c r="AS841" s="24">
        <v>46029.549006990739</v>
      </c>
      <c r="AX841" s="24"/>
      <c r="AY841" s="24"/>
      <c r="AZ841" s="24"/>
      <c r="BA841" s="24"/>
      <c r="BC841" s="24">
        <v>46036.62458275463</v>
      </c>
      <c r="BD841" s="24">
        <v>46036.62458275463</v>
      </c>
      <c r="BE841" s="24">
        <v>46057.983977372685</v>
      </c>
      <c r="BF841" s="24">
        <v>46057.983977372685</v>
      </c>
      <c r="BG841">
        <v>1</v>
      </c>
      <c r="BH841" s="24">
        <v>46029.549006990739</v>
      </c>
      <c r="BI841" s="24">
        <v>46029.549006990739</v>
      </c>
      <c r="BJ841" s="24">
        <v>46031.610680844904</v>
      </c>
      <c r="BK841" s="24">
        <v>46031.610680844904</v>
      </c>
      <c r="BL841">
        <v>1</v>
      </c>
      <c r="BM841" s="24"/>
      <c r="BN841" s="24"/>
      <c r="BO841" s="24"/>
      <c r="BP841" s="24"/>
      <c r="BR841" s="24">
        <v>46036.624473356482</v>
      </c>
      <c r="BS841" s="24">
        <v>46036.624473356482</v>
      </c>
      <c r="BT841" s="24">
        <v>46036.62458275463</v>
      </c>
      <c r="BU841" s="24">
        <v>46036.62458275463</v>
      </c>
      <c r="BV841">
        <v>1</v>
      </c>
      <c r="BW841" s="24"/>
      <c r="BX841" s="24"/>
      <c r="BY841" s="24"/>
      <c r="BZ841" s="24"/>
      <c r="CB841" s="24"/>
      <c r="CC841" s="24"/>
      <c r="CE841" s="24">
        <v>46057.983977372685</v>
      </c>
      <c r="CF841" s="24">
        <v>46057.983977372685</v>
      </c>
      <c r="CG841">
        <v>1</v>
      </c>
      <c r="CH841" s="24"/>
      <c r="CI841" s="24"/>
      <c r="CJ841" s="24"/>
      <c r="CK841" s="24"/>
      <c r="DE841" s="24"/>
      <c r="DF841" s="24"/>
      <c r="DG841" s="24"/>
      <c r="DH841" s="24"/>
      <c r="DJ841" t="s">
        <v>149</v>
      </c>
      <c r="DK841" t="s">
        <v>149</v>
      </c>
      <c r="DM841">
        <v>29</v>
      </c>
      <c r="DN841">
        <v>27</v>
      </c>
      <c r="DQ841" t="s">
        <v>1001</v>
      </c>
      <c r="DR841" t="s">
        <v>149</v>
      </c>
      <c r="DS841" s="24">
        <v>46160.384426226854</v>
      </c>
    </row>
    <row r="842" spans="1:123" x14ac:dyDescent="0.3">
      <c r="A842" t="s">
        <v>1325</v>
      </c>
      <c r="D842" t="s">
        <v>223</v>
      </c>
      <c r="E842" s="24">
        <v>46009.36923611111</v>
      </c>
      <c r="G842" t="s">
        <v>90</v>
      </c>
      <c r="H842" t="s">
        <v>155</v>
      </c>
      <c r="I842" s="24"/>
      <c r="J842" s="24"/>
      <c r="K842" s="24"/>
      <c r="L842" s="24"/>
      <c r="N842" s="24"/>
      <c r="O842" s="24"/>
      <c r="P842" s="24"/>
      <c r="Q842" s="24"/>
      <c r="V842" s="24"/>
      <c r="W842" s="24"/>
      <c r="X842" s="24"/>
      <c r="Y842" s="24"/>
      <c r="AA842" s="24">
        <v>46009.369388287036</v>
      </c>
      <c r="AB842" s="24">
        <v>46009.369388287036</v>
      </c>
      <c r="AC842" s="24">
        <v>46009.369421678239</v>
      </c>
      <c r="AD842" s="24">
        <v>46009.369421678239</v>
      </c>
      <c r="AE842">
        <v>1</v>
      </c>
      <c r="AF842" s="24"/>
      <c r="AG842" s="24"/>
      <c r="AH842" s="24"/>
      <c r="AI842" s="24"/>
      <c r="AK842" s="24"/>
      <c r="AL842" s="24"/>
      <c r="AM842" s="24"/>
      <c r="AN842" s="24"/>
      <c r="AP842" s="24"/>
      <c r="AQ842" s="24"/>
      <c r="AR842" s="24">
        <v>46009.369344247687</v>
      </c>
      <c r="AS842" s="24">
        <v>46009.369344247687</v>
      </c>
      <c r="AX842" s="24"/>
      <c r="AY842" s="24"/>
      <c r="AZ842" s="24"/>
      <c r="BA842" s="24"/>
      <c r="BC842" s="24"/>
      <c r="BD842" s="24"/>
      <c r="BE842" s="24"/>
      <c r="BF842" s="24"/>
      <c r="BH842" s="24">
        <v>46009.369344247687</v>
      </c>
      <c r="BI842" s="24">
        <v>46009.369344247687</v>
      </c>
      <c r="BJ842" s="24">
        <v>46009.369388287036</v>
      </c>
      <c r="BK842" s="24">
        <v>46009.369388287036</v>
      </c>
      <c r="BL842">
        <v>1</v>
      </c>
      <c r="BM842" s="24"/>
      <c r="BN842" s="24"/>
      <c r="BO842" s="24"/>
      <c r="BP842" s="24"/>
      <c r="BR842" s="24"/>
      <c r="BS842" s="24"/>
      <c r="BT842" s="24"/>
      <c r="BU842" s="24"/>
      <c r="BW842" s="24"/>
      <c r="BX842" s="24"/>
      <c r="BY842" s="24"/>
      <c r="BZ842" s="24"/>
      <c r="CB842" s="24"/>
      <c r="CC842" s="24"/>
      <c r="CE842" s="24">
        <v>46009.369421678239</v>
      </c>
      <c r="CF842" s="24">
        <v>46009.369421678239</v>
      </c>
      <c r="CG842">
        <v>1</v>
      </c>
      <c r="CH842" s="24"/>
      <c r="CI842" s="24"/>
      <c r="CJ842" s="24"/>
      <c r="CK842" s="24"/>
      <c r="DE842" s="24"/>
      <c r="DF842" s="24"/>
      <c r="DG842" s="24"/>
      <c r="DH842" s="24"/>
      <c r="DJ842" t="s">
        <v>149</v>
      </c>
      <c r="DK842" t="s">
        <v>149</v>
      </c>
      <c r="DM842">
        <v>1</v>
      </c>
      <c r="DN842">
        <v>1</v>
      </c>
      <c r="DQ842" t="s">
        <v>1001</v>
      </c>
      <c r="DR842" t="s">
        <v>149</v>
      </c>
      <c r="DS842" s="24">
        <v>46160.384426226854</v>
      </c>
    </row>
    <row r="843" spans="1:123" x14ac:dyDescent="0.3">
      <c r="A843" t="s">
        <v>1326</v>
      </c>
      <c r="D843" t="s">
        <v>225</v>
      </c>
      <c r="E843" s="24">
        <v>46008.459479166668</v>
      </c>
      <c r="G843" t="s">
        <v>90</v>
      </c>
      <c r="H843" t="s">
        <v>155</v>
      </c>
      <c r="I843" s="24"/>
      <c r="J843" s="24"/>
      <c r="K843" s="24"/>
      <c r="L843" s="24"/>
      <c r="N843" s="24"/>
      <c r="O843" s="24"/>
      <c r="P843" s="24"/>
      <c r="Q843" s="24"/>
      <c r="V843" s="24"/>
      <c r="W843" s="24"/>
      <c r="X843" s="24"/>
      <c r="Y843" s="24"/>
      <c r="AA843" s="24">
        <v>46027.448854560185</v>
      </c>
      <c r="AB843" s="24">
        <v>46027.448854560185</v>
      </c>
      <c r="AC843" s="24">
        <v>46041.607544074075</v>
      </c>
      <c r="AD843" s="24">
        <v>46041.607544074075</v>
      </c>
      <c r="AE843">
        <v>1</v>
      </c>
      <c r="AF843" s="24">
        <v>46041.607544074075</v>
      </c>
      <c r="AG843" s="24">
        <v>46041.607544074075</v>
      </c>
      <c r="AH843" s="24">
        <v>46042.382644259262</v>
      </c>
      <c r="AI843" s="24">
        <v>46042.382644259262</v>
      </c>
      <c r="AJ843">
        <v>1</v>
      </c>
      <c r="AK843" s="24">
        <v>46042.382644259262</v>
      </c>
      <c r="AL843" s="24">
        <v>46042.382644259262</v>
      </c>
      <c r="AM843" s="24">
        <v>46043.40158662037</v>
      </c>
      <c r="AN843" s="24">
        <v>46043.40158662037</v>
      </c>
      <c r="AO843">
        <v>1</v>
      </c>
      <c r="AP843" s="24"/>
      <c r="AQ843" s="24"/>
      <c r="AR843" s="24">
        <v>46027.448592881941</v>
      </c>
      <c r="AS843" s="24">
        <v>46027.448592881941</v>
      </c>
      <c r="AX843" s="24"/>
      <c r="AY843" s="24"/>
      <c r="AZ843" s="24"/>
      <c r="BA843" s="24"/>
      <c r="BC843" s="24">
        <v>46043.401708865742</v>
      </c>
      <c r="BD843" s="24">
        <v>46043.401708865742</v>
      </c>
      <c r="BE843" s="24">
        <v>46057.983977581018</v>
      </c>
      <c r="BF843" s="24">
        <v>46057.983977581018</v>
      </c>
      <c r="BG843">
        <v>1</v>
      </c>
      <c r="BH843" s="24">
        <v>46027.448592881941</v>
      </c>
      <c r="BI843" s="24">
        <v>46027.448592881941</v>
      </c>
      <c r="BJ843" s="24">
        <v>46027.448854560185</v>
      </c>
      <c r="BK843" s="24">
        <v>46027.448854560185</v>
      </c>
      <c r="BL843">
        <v>1</v>
      </c>
      <c r="BM843" s="24"/>
      <c r="BN843" s="24"/>
      <c r="BO843" s="24"/>
      <c r="BP843" s="24"/>
      <c r="BR843" s="24">
        <v>46043.40158662037</v>
      </c>
      <c r="BS843" s="24">
        <v>46043.40158662037</v>
      </c>
      <c r="BT843" s="24">
        <v>46043.401708865742</v>
      </c>
      <c r="BU843" s="24">
        <v>46043.401708865742</v>
      </c>
      <c r="BV843">
        <v>1</v>
      </c>
      <c r="BW843" s="24"/>
      <c r="BX843" s="24"/>
      <c r="BY843" s="24"/>
      <c r="BZ843" s="24"/>
      <c r="CB843" s="24"/>
      <c r="CC843" s="24"/>
      <c r="CE843" s="24">
        <v>46057.983977581018</v>
      </c>
      <c r="CF843" s="24">
        <v>46057.983977581018</v>
      </c>
      <c r="CG843">
        <v>1</v>
      </c>
      <c r="CH843" s="24"/>
      <c r="CI843" s="24"/>
      <c r="CJ843" s="24"/>
      <c r="CK843" s="24"/>
      <c r="DE843" s="24"/>
      <c r="DF843" s="24"/>
      <c r="DG843" s="24"/>
      <c r="DH843" s="24"/>
      <c r="DJ843" t="s">
        <v>149</v>
      </c>
      <c r="DK843" t="s">
        <v>149</v>
      </c>
      <c r="DM843">
        <v>31</v>
      </c>
      <c r="DN843">
        <v>31</v>
      </c>
      <c r="DQ843" t="s">
        <v>1001</v>
      </c>
      <c r="DR843" t="s">
        <v>149</v>
      </c>
      <c r="DS843" s="24">
        <v>46160.384426226854</v>
      </c>
    </row>
    <row r="844" spans="1:123" x14ac:dyDescent="0.3">
      <c r="A844" t="s">
        <v>1327</v>
      </c>
      <c r="D844" t="s">
        <v>225</v>
      </c>
      <c r="E844" s="24">
        <v>46007.460138888891</v>
      </c>
      <c r="G844" t="s">
        <v>90</v>
      </c>
      <c r="H844" t="s">
        <v>155</v>
      </c>
      <c r="I844" s="24"/>
      <c r="J844" s="24"/>
      <c r="K844" s="24"/>
      <c r="L844" s="24"/>
      <c r="N844" s="24"/>
      <c r="O844" s="24"/>
      <c r="P844" s="24"/>
      <c r="Q844" s="24"/>
      <c r="V844" s="24"/>
      <c r="W844" s="24"/>
      <c r="X844" s="24"/>
      <c r="Y844" s="24"/>
      <c r="AA844" s="24">
        <v>46045.448637395835</v>
      </c>
      <c r="AB844" s="24">
        <v>46041.608201932868</v>
      </c>
      <c r="AC844" s="24">
        <v>46042.857013437497</v>
      </c>
      <c r="AD844" s="24">
        <v>46045.616217164352</v>
      </c>
      <c r="AE844">
        <v>3</v>
      </c>
      <c r="AF844" s="24">
        <v>46045.616217164352</v>
      </c>
      <c r="AG844" s="24">
        <v>46042.857013437497</v>
      </c>
      <c r="AH844" s="24">
        <v>46043.594908622683</v>
      </c>
      <c r="AI844" s="24">
        <v>46048.395571759262</v>
      </c>
      <c r="AJ844">
        <v>3</v>
      </c>
      <c r="AK844" s="24">
        <v>46048.395571759262</v>
      </c>
      <c r="AL844" s="24">
        <v>46043.594908622683</v>
      </c>
      <c r="AM844" s="24">
        <v>46044.445114131944</v>
      </c>
      <c r="AN844" s="24">
        <v>46048.420521736109</v>
      </c>
      <c r="AO844">
        <v>2</v>
      </c>
      <c r="AP844" s="24"/>
      <c r="AQ844" s="24"/>
      <c r="AR844" s="24">
        <v>46027.448302048608</v>
      </c>
      <c r="AS844" s="24">
        <v>46027.448302048608</v>
      </c>
      <c r="AX844" s="24"/>
      <c r="AY844" s="24"/>
      <c r="AZ844" s="24"/>
      <c r="BA844" s="24"/>
      <c r="BC844" s="24">
        <v>46048.420630185188</v>
      </c>
      <c r="BD844" s="24">
        <v>46048.420630185188</v>
      </c>
      <c r="BE844" s="24">
        <v>46057.983977835647</v>
      </c>
      <c r="BF844" s="24">
        <v>46057.983977835647</v>
      </c>
      <c r="BG844">
        <v>1</v>
      </c>
      <c r="BH844" s="24">
        <v>46027.448302048608</v>
      </c>
      <c r="BI844" s="24">
        <v>46027.448302048608</v>
      </c>
      <c r="BJ844" s="24">
        <v>46041.608201932868</v>
      </c>
      <c r="BK844" s="24">
        <v>46041.608201932868</v>
      </c>
      <c r="BL844">
        <v>1</v>
      </c>
      <c r="BM844" s="24"/>
      <c r="BN844" s="24"/>
      <c r="BO844" s="24"/>
      <c r="BP844" s="24"/>
      <c r="BR844" s="24">
        <v>46048.420521736109</v>
      </c>
      <c r="BS844" s="24">
        <v>46048.420521736109</v>
      </c>
      <c r="BT844" s="24">
        <v>46048.420630185188</v>
      </c>
      <c r="BU844" s="24">
        <v>46048.420630185188</v>
      </c>
      <c r="BV844">
        <v>1</v>
      </c>
      <c r="BW844" s="24"/>
      <c r="BX844" s="24"/>
      <c r="BY844" s="24"/>
      <c r="BZ844" s="24"/>
      <c r="CB844" s="24"/>
      <c r="CC844" s="24"/>
      <c r="CE844" s="24">
        <v>46057.983977835647</v>
      </c>
      <c r="CF844" s="24">
        <v>46057.983977835647</v>
      </c>
      <c r="CG844">
        <v>1</v>
      </c>
      <c r="CH844" s="24"/>
      <c r="CI844" s="24"/>
      <c r="CJ844" s="24"/>
      <c r="CK844" s="24"/>
      <c r="DE844" s="24"/>
      <c r="DF844" s="24"/>
      <c r="DG844" s="24"/>
      <c r="DH844" s="24"/>
      <c r="DJ844" t="s">
        <v>149</v>
      </c>
      <c r="DK844" t="s">
        <v>149</v>
      </c>
      <c r="DM844">
        <v>31</v>
      </c>
      <c r="DN844">
        <v>17</v>
      </c>
      <c r="DQ844" t="s">
        <v>1001</v>
      </c>
      <c r="DR844" t="s">
        <v>149</v>
      </c>
      <c r="DS844" s="24">
        <v>46160.384426226854</v>
      </c>
    </row>
    <row r="845" spans="1:123" x14ac:dyDescent="0.3">
      <c r="A845" t="s">
        <v>1328</v>
      </c>
      <c r="D845" t="s">
        <v>225</v>
      </c>
      <c r="E845" s="24">
        <v>46002.40483796296</v>
      </c>
      <c r="G845" t="s">
        <v>90</v>
      </c>
      <c r="H845" t="s">
        <v>155</v>
      </c>
      <c r="I845" s="24"/>
      <c r="J845" s="24"/>
      <c r="K845" s="24"/>
      <c r="L845" s="24"/>
      <c r="N845" s="24"/>
      <c r="O845" s="24"/>
      <c r="P845" s="24"/>
      <c r="Q845" s="24"/>
      <c r="V845" s="24"/>
      <c r="W845" s="24"/>
      <c r="X845" s="24"/>
      <c r="Y845" s="24"/>
      <c r="AA845" s="24">
        <v>46041.457544733799</v>
      </c>
      <c r="AB845" s="24">
        <v>46041.457544733799</v>
      </c>
      <c r="AC845" s="24">
        <v>46071.060968900463</v>
      </c>
      <c r="AD845" s="24">
        <v>46071.060968900463</v>
      </c>
      <c r="AE845">
        <v>1</v>
      </c>
      <c r="AF845" s="24">
        <v>46071.060968900463</v>
      </c>
      <c r="AG845" s="24">
        <v>46071.060968900463</v>
      </c>
      <c r="AH845" s="24">
        <v>46071.474357708335</v>
      </c>
      <c r="AI845" s="24">
        <v>46071.474357708335</v>
      </c>
      <c r="AJ845">
        <v>1</v>
      </c>
      <c r="AK845" s="24">
        <v>46071.474357708335</v>
      </c>
      <c r="AL845" s="24">
        <v>46071.474357708335</v>
      </c>
      <c r="AM845" s="24">
        <v>46071.474470266206</v>
      </c>
      <c r="AN845" s="24">
        <v>46071.474470266206</v>
      </c>
      <c r="AO845">
        <v>1</v>
      </c>
      <c r="AP845" s="24"/>
      <c r="AQ845" s="24"/>
      <c r="AR845" s="24">
        <v>46002.435419768517</v>
      </c>
      <c r="AS845" s="24">
        <v>46002.435419768517</v>
      </c>
      <c r="AX845" s="24"/>
      <c r="AY845" s="24"/>
      <c r="AZ845" s="24"/>
      <c r="BA845" s="24"/>
      <c r="BC845" s="24">
        <v>46071.474615104169</v>
      </c>
      <c r="BD845" s="24">
        <v>46071.474615104169</v>
      </c>
      <c r="BE845" s="24">
        <v>46141.46548471065</v>
      </c>
      <c r="BF845" s="24">
        <v>46141.46548471065</v>
      </c>
      <c r="BG845">
        <v>1</v>
      </c>
      <c r="BH845" s="24">
        <v>46002.435419768517</v>
      </c>
      <c r="BI845" s="24">
        <v>46002.435419768517</v>
      </c>
      <c r="BJ845" s="24">
        <v>46041.457544733799</v>
      </c>
      <c r="BK845" s="24">
        <v>46041.457544733799</v>
      </c>
      <c r="BL845">
        <v>1</v>
      </c>
      <c r="BM845" s="24"/>
      <c r="BN845" s="24"/>
      <c r="BO845" s="24"/>
      <c r="BP845" s="24"/>
      <c r="BR845" s="24">
        <v>46071.474470266206</v>
      </c>
      <c r="BS845" s="24">
        <v>46071.474470266206</v>
      </c>
      <c r="BT845" s="24">
        <v>46071.474615104169</v>
      </c>
      <c r="BU845" s="24">
        <v>46071.474615104169</v>
      </c>
      <c r="BV845">
        <v>1</v>
      </c>
      <c r="BW845" s="24"/>
      <c r="BX845" s="24"/>
      <c r="BY845" s="24"/>
      <c r="BZ845" s="24"/>
      <c r="CB845" s="24"/>
      <c r="CC845" s="24"/>
      <c r="CE845" s="24">
        <v>46141.46548471065</v>
      </c>
      <c r="CF845" s="24">
        <v>46141.46548471065</v>
      </c>
      <c r="CG845">
        <v>1</v>
      </c>
      <c r="CH845" s="24"/>
      <c r="CI845" s="24"/>
      <c r="CJ845" s="24"/>
      <c r="CK845" s="24"/>
      <c r="DE845" s="24"/>
      <c r="DF845" s="24"/>
      <c r="DG845" s="24"/>
      <c r="DH845" s="24"/>
      <c r="DJ845" t="s">
        <v>149</v>
      </c>
      <c r="DK845" t="s">
        <v>149</v>
      </c>
      <c r="DM845">
        <v>140</v>
      </c>
      <c r="DN845">
        <v>101</v>
      </c>
      <c r="DQ845" t="s">
        <v>1001</v>
      </c>
      <c r="DR845" t="s">
        <v>149</v>
      </c>
      <c r="DS845" s="24">
        <v>46160.384426226854</v>
      </c>
    </row>
    <row r="846" spans="1:123" x14ac:dyDescent="0.3">
      <c r="A846" t="s">
        <v>1329</v>
      </c>
      <c r="D846" t="s">
        <v>225</v>
      </c>
      <c r="E846" s="24">
        <v>46002.393113425926</v>
      </c>
      <c r="G846" t="s">
        <v>90</v>
      </c>
      <c r="H846" t="s">
        <v>155</v>
      </c>
      <c r="I846" s="24"/>
      <c r="J846" s="24"/>
      <c r="K846" s="24"/>
      <c r="L846" s="24"/>
      <c r="N846" s="24"/>
      <c r="O846" s="24"/>
      <c r="P846" s="24"/>
      <c r="Q846" s="24"/>
      <c r="V846" s="24"/>
      <c r="W846" s="24"/>
      <c r="X846" s="24"/>
      <c r="Y846" s="24"/>
      <c r="AA846" s="24">
        <v>46003.682960150465</v>
      </c>
      <c r="AB846" s="24">
        <v>46003.682960150465</v>
      </c>
      <c r="AC846" s="24">
        <v>46006.707608379627</v>
      </c>
      <c r="AD846" s="24">
        <v>46006.707608379627</v>
      </c>
      <c r="AE846">
        <v>1</v>
      </c>
      <c r="AF846" s="24">
        <v>46006.707608379627</v>
      </c>
      <c r="AG846" s="24">
        <v>46006.707608379627</v>
      </c>
      <c r="AH846" s="24">
        <v>46009.535609074075</v>
      </c>
      <c r="AI846" s="24">
        <v>46009.535609074075</v>
      </c>
      <c r="AJ846">
        <v>1</v>
      </c>
      <c r="AK846" s="24">
        <v>46009.535609074075</v>
      </c>
      <c r="AL846" s="24">
        <v>46009.535609074075</v>
      </c>
      <c r="AM846" s="24">
        <v>46028.591045046298</v>
      </c>
      <c r="AN846" s="24">
        <v>46028.591045046298</v>
      </c>
      <c r="AO846">
        <v>1</v>
      </c>
      <c r="AP846" s="24"/>
      <c r="AQ846" s="24"/>
      <c r="AR846" s="24">
        <v>46002.435225729168</v>
      </c>
      <c r="AS846" s="24">
        <v>46002.435225729168</v>
      </c>
      <c r="AX846" s="24"/>
      <c r="AY846" s="24"/>
      <c r="AZ846" s="24"/>
      <c r="BA846" s="24"/>
      <c r="BC846" s="24">
        <v>46028.59135141204</v>
      </c>
      <c r="BD846" s="24">
        <v>46028.59135141204</v>
      </c>
      <c r="BE846" s="24">
        <v>46057.983983368053</v>
      </c>
      <c r="BF846" s="24">
        <v>46057.983983368053</v>
      </c>
      <c r="BG846">
        <v>1</v>
      </c>
      <c r="BH846" s="24">
        <v>46002.435225729168</v>
      </c>
      <c r="BI846" s="24">
        <v>46002.435225729168</v>
      </c>
      <c r="BJ846" s="24">
        <v>46003.682960150465</v>
      </c>
      <c r="BK846" s="24">
        <v>46003.682960150465</v>
      </c>
      <c r="BL846">
        <v>1</v>
      </c>
      <c r="BM846" s="24"/>
      <c r="BN846" s="24"/>
      <c r="BO846" s="24"/>
      <c r="BP846" s="24"/>
      <c r="BR846" s="24">
        <v>46028.591045046298</v>
      </c>
      <c r="BS846" s="24">
        <v>46028.591045046298</v>
      </c>
      <c r="BT846" s="24">
        <v>46028.59135141204</v>
      </c>
      <c r="BU846" s="24">
        <v>46028.59135141204</v>
      </c>
      <c r="BV846">
        <v>1</v>
      </c>
      <c r="BW846" s="24"/>
      <c r="BX846" s="24"/>
      <c r="BY846" s="24"/>
      <c r="BZ846" s="24"/>
      <c r="CB846" s="24"/>
      <c r="CC846" s="24"/>
      <c r="CE846" s="24">
        <v>46057.983983368053</v>
      </c>
      <c r="CF846" s="24">
        <v>46057.983983368053</v>
      </c>
      <c r="CG846">
        <v>1</v>
      </c>
      <c r="CH846" s="24"/>
      <c r="CI846" s="24"/>
      <c r="CJ846" s="24"/>
      <c r="CK846" s="24"/>
      <c r="DE846" s="24"/>
      <c r="DF846" s="24"/>
      <c r="DG846" s="24"/>
      <c r="DH846" s="24"/>
      <c r="DJ846" t="s">
        <v>149</v>
      </c>
      <c r="DK846" t="s">
        <v>149</v>
      </c>
      <c r="DM846">
        <v>56</v>
      </c>
      <c r="DN846">
        <v>55</v>
      </c>
      <c r="DQ846" t="s">
        <v>1001</v>
      </c>
      <c r="DR846" t="s">
        <v>149</v>
      </c>
      <c r="DS846" s="24">
        <v>46160.384426226854</v>
      </c>
    </row>
    <row r="847" spans="1:123" x14ac:dyDescent="0.3">
      <c r="A847" t="s">
        <v>1330</v>
      </c>
      <c r="D847" t="s">
        <v>225</v>
      </c>
      <c r="E847" s="24">
        <v>46002.387465277781</v>
      </c>
      <c r="G847" t="s">
        <v>102</v>
      </c>
      <c r="H847" t="s">
        <v>154</v>
      </c>
      <c r="I847" s="24"/>
      <c r="J847" s="24"/>
      <c r="K847" s="24"/>
      <c r="L847" s="24"/>
      <c r="N847" s="24"/>
      <c r="O847" s="24"/>
      <c r="P847" s="24"/>
      <c r="Q847" s="24"/>
      <c r="V847" s="24"/>
      <c r="W847" s="24"/>
      <c r="X847" s="24"/>
      <c r="Y847" s="24"/>
      <c r="AA847" s="24"/>
      <c r="AB847" s="24"/>
      <c r="AC847" s="24"/>
      <c r="AD847" s="24"/>
      <c r="AF847" s="24"/>
      <c r="AG847" s="24"/>
      <c r="AH847" s="24"/>
      <c r="AI847" s="24"/>
      <c r="AK847" s="24"/>
      <c r="AL847" s="24"/>
      <c r="AM847" s="24"/>
      <c r="AN847" s="24"/>
      <c r="AP847" s="24"/>
      <c r="AQ847" s="24"/>
      <c r="AR847" s="24"/>
      <c r="AS847" s="24"/>
      <c r="AX847" s="24"/>
      <c r="AY847" s="24"/>
      <c r="AZ847" s="24"/>
      <c r="BA847" s="24"/>
      <c r="BC847" s="24"/>
      <c r="BD847" s="24"/>
      <c r="BE847" s="24"/>
      <c r="BF847" s="24"/>
      <c r="BH847" s="24"/>
      <c r="BI847" s="24"/>
      <c r="BJ847" s="24"/>
      <c r="BK847" s="24"/>
      <c r="BM847" s="24"/>
      <c r="BN847" s="24"/>
      <c r="BO847" s="24"/>
      <c r="BP847" s="24"/>
      <c r="BR847" s="24"/>
      <c r="BS847" s="24"/>
      <c r="BT847" s="24"/>
      <c r="BU847" s="24"/>
      <c r="BW847" s="24"/>
      <c r="BX847" s="24"/>
      <c r="BY847" s="24"/>
      <c r="BZ847" s="24"/>
      <c r="CB847" s="24"/>
      <c r="CC847" s="24"/>
      <c r="CE847" s="24"/>
      <c r="CF847" s="24"/>
      <c r="CH847" s="24"/>
      <c r="CI847" s="24"/>
      <c r="CJ847" s="24"/>
      <c r="CK847" s="24"/>
      <c r="DE847" s="24"/>
      <c r="DF847" s="24"/>
      <c r="DG847" s="24"/>
      <c r="DH847" s="24"/>
      <c r="DJ847" t="s">
        <v>149</v>
      </c>
      <c r="DK847" t="s">
        <v>149</v>
      </c>
      <c r="DQ847" t="s">
        <v>1001</v>
      </c>
      <c r="DR847" t="s">
        <v>149</v>
      </c>
      <c r="DS847" s="24">
        <v>46160.384426226854</v>
      </c>
    </row>
    <row r="848" spans="1:123" x14ac:dyDescent="0.3">
      <c r="A848" t="s">
        <v>1331</v>
      </c>
      <c r="D848" t="s">
        <v>225</v>
      </c>
      <c r="E848" s="24">
        <v>46001.424456018518</v>
      </c>
      <c r="G848" t="s">
        <v>90</v>
      </c>
      <c r="H848" t="s">
        <v>155</v>
      </c>
      <c r="I848" s="24"/>
      <c r="J848" s="24"/>
      <c r="K848" s="24"/>
      <c r="L848" s="24"/>
      <c r="N848" s="24"/>
      <c r="O848" s="24"/>
      <c r="P848" s="24"/>
      <c r="Q848" s="24"/>
      <c r="V848" s="24"/>
      <c r="W848" s="24"/>
      <c r="X848" s="24"/>
      <c r="Y848" s="24"/>
      <c r="AA848" s="24">
        <v>46043.641881585645</v>
      </c>
      <c r="AB848" s="24">
        <v>46043.641881585645</v>
      </c>
      <c r="AC848" s="24">
        <v>46044.487172083333</v>
      </c>
      <c r="AD848" s="24">
        <v>46044.487172083333</v>
      </c>
      <c r="AE848">
        <v>1</v>
      </c>
      <c r="AF848" s="24">
        <v>46044.487172083333</v>
      </c>
      <c r="AG848" s="24">
        <v>46044.487172083333</v>
      </c>
      <c r="AH848" s="24">
        <v>46045.428141793978</v>
      </c>
      <c r="AI848" s="24">
        <v>46045.428141793978</v>
      </c>
      <c r="AJ848">
        <v>1</v>
      </c>
      <c r="AK848" s="24">
        <v>46045.428141793978</v>
      </c>
      <c r="AL848" s="24">
        <v>46045.428141793978</v>
      </c>
      <c r="AM848" s="24">
        <v>46048.406447777779</v>
      </c>
      <c r="AN848" s="24">
        <v>46048.406447777779</v>
      </c>
      <c r="AO848">
        <v>1</v>
      </c>
      <c r="AP848" s="24"/>
      <c r="AQ848" s="24"/>
      <c r="AR848" s="24">
        <v>46043.454197083331</v>
      </c>
      <c r="AS848" s="24">
        <v>46043.454197083331</v>
      </c>
      <c r="AX848" s="24"/>
      <c r="AY848" s="24"/>
      <c r="AZ848" s="24"/>
      <c r="BA848" s="24"/>
      <c r="BC848" s="24">
        <v>46048.40881202546</v>
      </c>
      <c r="BD848" s="24">
        <v>46048.40881202546</v>
      </c>
      <c r="BE848" s="24">
        <v>46057.983983703707</v>
      </c>
      <c r="BF848" s="24">
        <v>46057.983983703707</v>
      </c>
      <c r="BG848">
        <v>1</v>
      </c>
      <c r="BH848" s="24">
        <v>46043.454197083331</v>
      </c>
      <c r="BI848" s="24">
        <v>46043.454197083331</v>
      </c>
      <c r="BJ848" s="24">
        <v>46043.641881585645</v>
      </c>
      <c r="BK848" s="24">
        <v>46043.641881585645</v>
      </c>
      <c r="BL848">
        <v>1</v>
      </c>
      <c r="BM848" s="24"/>
      <c r="BN848" s="24"/>
      <c r="BO848" s="24"/>
      <c r="BP848" s="24"/>
      <c r="BR848" s="24">
        <v>46048.406447777779</v>
      </c>
      <c r="BS848" s="24">
        <v>46048.406447777779</v>
      </c>
      <c r="BT848" s="24">
        <v>46048.40881202546</v>
      </c>
      <c r="BU848" s="24">
        <v>46048.40881202546</v>
      </c>
      <c r="BV848">
        <v>1</v>
      </c>
      <c r="BW848" s="24"/>
      <c r="BX848" s="24"/>
      <c r="BY848" s="24"/>
      <c r="BZ848" s="24"/>
      <c r="CB848" s="24"/>
      <c r="CC848" s="24"/>
      <c r="CE848" s="24">
        <v>46057.983983703707</v>
      </c>
      <c r="CF848" s="24">
        <v>46057.983983703707</v>
      </c>
      <c r="CG848">
        <v>1</v>
      </c>
      <c r="CH848" s="24"/>
      <c r="CI848" s="24"/>
      <c r="CJ848" s="24"/>
      <c r="CK848" s="24"/>
      <c r="DE848" s="24"/>
      <c r="DF848" s="24"/>
      <c r="DG848" s="24"/>
      <c r="DH848" s="24"/>
      <c r="DJ848" t="s">
        <v>149</v>
      </c>
      <c r="DK848" t="s">
        <v>149</v>
      </c>
      <c r="DM848">
        <v>15</v>
      </c>
      <c r="DN848">
        <v>15</v>
      </c>
      <c r="DQ848" t="s">
        <v>1001</v>
      </c>
      <c r="DR848" t="s">
        <v>149</v>
      </c>
      <c r="DS848" s="24">
        <v>46160.384426226854</v>
      </c>
    </row>
    <row r="849" spans="1:123" x14ac:dyDescent="0.3">
      <c r="A849" t="s">
        <v>1332</v>
      </c>
      <c r="D849" t="s">
        <v>225</v>
      </c>
      <c r="E849" s="24">
        <v>45999.469421296293</v>
      </c>
      <c r="G849" t="s">
        <v>90</v>
      </c>
      <c r="H849" t="s">
        <v>155</v>
      </c>
      <c r="I849" s="24"/>
      <c r="J849" s="24"/>
      <c r="K849" s="24"/>
      <c r="L849" s="24"/>
      <c r="N849" s="24"/>
      <c r="O849" s="24"/>
      <c r="P849" s="24"/>
      <c r="Q849" s="24"/>
      <c r="V849" s="24"/>
      <c r="W849" s="24"/>
      <c r="X849" s="24"/>
      <c r="Y849" s="24"/>
      <c r="AA849" s="24">
        <v>46006.435729884259</v>
      </c>
      <c r="AB849" s="24">
        <v>46006.435729884259</v>
      </c>
      <c r="AC849" s="24">
        <v>46006.513115636575</v>
      </c>
      <c r="AD849" s="24">
        <v>46006.513115636575</v>
      </c>
      <c r="AE849">
        <v>1</v>
      </c>
      <c r="AF849" s="24">
        <v>46006.513115636575</v>
      </c>
      <c r="AG849" s="24">
        <v>46006.513115636575</v>
      </c>
      <c r="AH849" s="24">
        <v>46007.595612268517</v>
      </c>
      <c r="AI849" s="24">
        <v>46007.595612268517</v>
      </c>
      <c r="AJ849">
        <v>1</v>
      </c>
      <c r="AK849" s="24">
        <v>46007.595612268517</v>
      </c>
      <c r="AL849" s="24">
        <v>46007.595612268517</v>
      </c>
      <c r="AM849" s="24">
        <v>46009.557883171299</v>
      </c>
      <c r="AN849" s="24">
        <v>46009.557883171299</v>
      </c>
      <c r="AO849">
        <v>1</v>
      </c>
      <c r="AP849" s="24"/>
      <c r="AQ849" s="24"/>
      <c r="AR849" s="24">
        <v>46002.435620138887</v>
      </c>
      <c r="AS849" s="24">
        <v>46002.435620138887</v>
      </c>
      <c r="AX849" s="24"/>
      <c r="AY849" s="24"/>
      <c r="AZ849" s="24"/>
      <c r="BA849" s="24"/>
      <c r="BC849" s="24">
        <v>46009.557938599537</v>
      </c>
      <c r="BD849" s="24">
        <v>46009.557938599537</v>
      </c>
      <c r="BE849" s="24">
        <v>46057.983983576392</v>
      </c>
      <c r="BF849" s="24">
        <v>46057.983983576392</v>
      </c>
      <c r="BG849">
        <v>1</v>
      </c>
      <c r="BH849" s="24">
        <v>46002.435620138887</v>
      </c>
      <c r="BI849" s="24">
        <v>46002.435620138887</v>
      </c>
      <c r="BJ849" s="24">
        <v>46006.435729884259</v>
      </c>
      <c r="BK849" s="24">
        <v>46006.435729884259</v>
      </c>
      <c r="BL849">
        <v>1</v>
      </c>
      <c r="BM849" s="24"/>
      <c r="BN849" s="24"/>
      <c r="BO849" s="24"/>
      <c r="BP849" s="24"/>
      <c r="BR849" s="24">
        <v>46009.557883171299</v>
      </c>
      <c r="BS849" s="24">
        <v>46009.557883171299</v>
      </c>
      <c r="BT849" s="24">
        <v>46009.557938599537</v>
      </c>
      <c r="BU849" s="24">
        <v>46009.557938599537</v>
      </c>
      <c r="BV849">
        <v>1</v>
      </c>
      <c r="BW849" s="24"/>
      <c r="BX849" s="24"/>
      <c r="BY849" s="24"/>
      <c r="BZ849" s="24"/>
      <c r="CB849" s="24"/>
      <c r="CC849" s="24"/>
      <c r="CE849" s="24">
        <v>46057.983983576392</v>
      </c>
      <c r="CF849" s="24">
        <v>46057.983983576392</v>
      </c>
      <c r="CG849">
        <v>1</v>
      </c>
      <c r="CH849" s="24"/>
      <c r="CI849" s="24"/>
      <c r="CJ849" s="24"/>
      <c r="CK849" s="24"/>
      <c r="DE849" s="24"/>
      <c r="DF849" s="24"/>
      <c r="DG849" s="24"/>
      <c r="DH849" s="24"/>
      <c r="DJ849" t="s">
        <v>149</v>
      </c>
      <c r="DK849" t="s">
        <v>149</v>
      </c>
      <c r="DM849">
        <v>56</v>
      </c>
      <c r="DN849">
        <v>52</v>
      </c>
      <c r="DQ849" t="s">
        <v>1001</v>
      </c>
      <c r="DR849" t="s">
        <v>149</v>
      </c>
      <c r="DS849" s="24">
        <v>46160.384426226854</v>
      </c>
    </row>
    <row r="850" spans="1:123" x14ac:dyDescent="0.3">
      <c r="A850" t="s">
        <v>1333</v>
      </c>
      <c r="D850" t="s">
        <v>225</v>
      </c>
      <c r="E850" s="24">
        <v>45999.463923611111</v>
      </c>
      <c r="G850" t="s">
        <v>90</v>
      </c>
      <c r="H850" t="s">
        <v>155</v>
      </c>
      <c r="I850" s="24"/>
      <c r="J850" s="24"/>
      <c r="K850" s="24"/>
      <c r="L850" s="24"/>
      <c r="N850" s="24"/>
      <c r="O850" s="24"/>
      <c r="P850" s="24"/>
      <c r="Q850" s="24"/>
      <c r="V850" s="24"/>
      <c r="W850" s="24"/>
      <c r="X850" s="24"/>
      <c r="Y850" s="24"/>
      <c r="AA850" s="24">
        <v>46006.513155370369</v>
      </c>
      <c r="AB850" s="24">
        <v>46006.513155370369</v>
      </c>
      <c r="AC850" s="24">
        <v>46006.618236909722</v>
      </c>
      <c r="AD850" s="24">
        <v>46006.618236909722</v>
      </c>
      <c r="AE850">
        <v>1</v>
      </c>
      <c r="AF850" s="24">
        <v>46006.618236909722</v>
      </c>
      <c r="AG850" s="24">
        <v>46006.618236909722</v>
      </c>
      <c r="AH850" s="24">
        <v>46007.612172175926</v>
      </c>
      <c r="AI850" s="24">
        <v>46007.612172175926</v>
      </c>
      <c r="AJ850">
        <v>1</v>
      </c>
      <c r="AK850" s="24">
        <v>46007.612172175926</v>
      </c>
      <c r="AL850" s="24">
        <v>46007.612172175926</v>
      </c>
      <c r="AM850" s="24">
        <v>46009.557858067128</v>
      </c>
      <c r="AN850" s="24">
        <v>46009.557858067128</v>
      </c>
      <c r="AO850">
        <v>1</v>
      </c>
      <c r="AP850" s="24"/>
      <c r="AQ850" s="24"/>
      <c r="AR850" s="24">
        <v>46002.390098541669</v>
      </c>
      <c r="AS850" s="24">
        <v>46002.390098541669</v>
      </c>
      <c r="AX850" s="24"/>
      <c r="AY850" s="24"/>
      <c r="AZ850" s="24"/>
      <c r="BA850" s="24"/>
      <c r="BC850" s="24">
        <v>46009.558045763886</v>
      </c>
      <c r="BD850" s="24">
        <v>46009.558045763886</v>
      </c>
      <c r="BE850" s="24">
        <v>46057.983983749997</v>
      </c>
      <c r="BF850" s="24">
        <v>46057.983983749997</v>
      </c>
      <c r="BG850">
        <v>1</v>
      </c>
      <c r="BH850" s="24">
        <v>46002.390098541669</v>
      </c>
      <c r="BI850" s="24">
        <v>46002.390098541669</v>
      </c>
      <c r="BJ850" s="24">
        <v>46006.513155370369</v>
      </c>
      <c r="BK850" s="24">
        <v>46006.513155370369</v>
      </c>
      <c r="BL850">
        <v>1</v>
      </c>
      <c r="BM850" s="24"/>
      <c r="BN850" s="24"/>
      <c r="BO850" s="24"/>
      <c r="BP850" s="24"/>
      <c r="BR850" s="24">
        <v>46009.557858067128</v>
      </c>
      <c r="BS850" s="24">
        <v>46009.557858067128</v>
      </c>
      <c r="BT850" s="24">
        <v>46009.558045763886</v>
      </c>
      <c r="BU850" s="24">
        <v>46009.558045763886</v>
      </c>
      <c r="BV850">
        <v>1</v>
      </c>
      <c r="BW850" s="24"/>
      <c r="BX850" s="24"/>
      <c r="BY850" s="24"/>
      <c r="BZ850" s="24"/>
      <c r="CB850" s="24"/>
      <c r="CC850" s="24"/>
      <c r="CE850" s="24">
        <v>46057.983983749997</v>
      </c>
      <c r="CF850" s="24">
        <v>46057.983983749997</v>
      </c>
      <c r="CG850">
        <v>1</v>
      </c>
      <c r="CH850" s="24"/>
      <c r="CI850" s="24"/>
      <c r="CJ850" s="24"/>
      <c r="CK850" s="24"/>
      <c r="DE850" s="24"/>
      <c r="DF850" s="24"/>
      <c r="DG850" s="24"/>
      <c r="DH850" s="24"/>
      <c r="DJ850" t="s">
        <v>149</v>
      </c>
      <c r="DK850" t="s">
        <v>149</v>
      </c>
      <c r="DM850">
        <v>56</v>
      </c>
      <c r="DN850">
        <v>52</v>
      </c>
      <c r="DQ850" t="s">
        <v>1001</v>
      </c>
      <c r="DR850" t="s">
        <v>149</v>
      </c>
      <c r="DS850" s="24">
        <v>46160.384426226854</v>
      </c>
    </row>
    <row r="851" spans="1:123" x14ac:dyDescent="0.3">
      <c r="A851" t="s">
        <v>1334</v>
      </c>
      <c r="D851" t="s">
        <v>225</v>
      </c>
      <c r="E851" s="24">
        <v>45995.904618055552</v>
      </c>
      <c r="G851" t="s">
        <v>90</v>
      </c>
      <c r="H851" t="s">
        <v>155</v>
      </c>
      <c r="I851" s="24"/>
      <c r="J851" s="24"/>
      <c r="K851" s="24"/>
      <c r="L851" s="24"/>
      <c r="N851" s="24"/>
      <c r="O851" s="24"/>
      <c r="P851" s="24"/>
      <c r="Q851" s="24"/>
      <c r="V851" s="24"/>
      <c r="W851" s="24"/>
      <c r="X851" s="24"/>
      <c r="Y851" s="24"/>
      <c r="AA851" s="24">
        <v>46000.541196678241</v>
      </c>
      <c r="AB851" s="24">
        <v>46000.541196678241</v>
      </c>
      <c r="AC851" s="24">
        <v>46001.269724062498</v>
      </c>
      <c r="AD851" s="24">
        <v>46001.269724062498</v>
      </c>
      <c r="AE851">
        <v>1</v>
      </c>
      <c r="AF851" s="24">
        <v>46001.269724062498</v>
      </c>
      <c r="AG851" s="24">
        <v>46001.269724062498</v>
      </c>
      <c r="AH851" s="24">
        <v>46001.269799247682</v>
      </c>
      <c r="AI851" s="24">
        <v>46001.269799247682</v>
      </c>
      <c r="AJ851">
        <v>1</v>
      </c>
      <c r="AK851" s="24">
        <v>46001.269799247682</v>
      </c>
      <c r="AL851" s="24">
        <v>46001.269799247682</v>
      </c>
      <c r="AM851" s="24">
        <v>46001.269842106478</v>
      </c>
      <c r="AN851" s="24">
        <v>46001.269842106478</v>
      </c>
      <c r="AO851">
        <v>1</v>
      </c>
      <c r="AP851" s="24"/>
      <c r="AQ851" s="24"/>
      <c r="AR851" s="24">
        <v>46000.392988055559</v>
      </c>
      <c r="AS851" s="24">
        <v>46000.392988055559</v>
      </c>
      <c r="AX851" s="24"/>
      <c r="AY851" s="24"/>
      <c r="AZ851" s="24"/>
      <c r="BA851" s="24"/>
      <c r="BC851" s="24">
        <v>46001.270005625003</v>
      </c>
      <c r="BD851" s="24">
        <v>46001.270005625003</v>
      </c>
      <c r="BE851" s="24">
        <v>46044.369980185184</v>
      </c>
      <c r="BF851" s="24">
        <v>46044.369980185184</v>
      </c>
      <c r="BG851">
        <v>1</v>
      </c>
      <c r="BH851" s="24">
        <v>46000.392988055559</v>
      </c>
      <c r="BI851" s="24">
        <v>46000.392988055559</v>
      </c>
      <c r="BJ851" s="24">
        <v>46000.541196678241</v>
      </c>
      <c r="BK851" s="24">
        <v>46000.541196678241</v>
      </c>
      <c r="BL851">
        <v>1</v>
      </c>
      <c r="BM851" s="24"/>
      <c r="BN851" s="24"/>
      <c r="BO851" s="24"/>
      <c r="BP851" s="24"/>
      <c r="BR851" s="24">
        <v>46001.269842106478</v>
      </c>
      <c r="BS851" s="24">
        <v>46001.269842106478</v>
      </c>
      <c r="BT851" s="24">
        <v>46001.270005625003</v>
      </c>
      <c r="BU851" s="24">
        <v>46001.270005625003</v>
      </c>
      <c r="BV851">
        <v>1</v>
      </c>
      <c r="BW851" s="24"/>
      <c r="BX851" s="24"/>
      <c r="BY851" s="24"/>
      <c r="BZ851" s="24"/>
      <c r="CB851" s="24"/>
      <c r="CC851" s="24"/>
      <c r="CE851" s="24">
        <v>46044.369980185184</v>
      </c>
      <c r="CF851" s="24">
        <v>46044.369980185184</v>
      </c>
      <c r="CG851">
        <v>1</v>
      </c>
      <c r="CH851" s="24"/>
      <c r="CI851" s="24"/>
      <c r="CJ851" s="24"/>
      <c r="CK851" s="24"/>
      <c r="DE851" s="24"/>
      <c r="DF851" s="24"/>
      <c r="DG851" s="24"/>
      <c r="DH851" s="24"/>
      <c r="DJ851" t="s">
        <v>149</v>
      </c>
      <c r="DK851" t="s">
        <v>149</v>
      </c>
      <c r="DM851">
        <v>44</v>
      </c>
      <c r="DN851">
        <v>44</v>
      </c>
      <c r="DQ851" t="s">
        <v>1001</v>
      </c>
      <c r="DR851" t="s">
        <v>149</v>
      </c>
      <c r="DS851" s="24">
        <v>46160.384426226854</v>
      </c>
    </row>
    <row r="852" spans="1:123" x14ac:dyDescent="0.3">
      <c r="A852" t="s">
        <v>1335</v>
      </c>
      <c r="D852" t="s">
        <v>223</v>
      </c>
      <c r="E852" s="24">
        <v>45995.48</v>
      </c>
      <c r="G852" t="s">
        <v>90</v>
      </c>
      <c r="H852" t="s">
        <v>155</v>
      </c>
      <c r="I852" s="24"/>
      <c r="J852" s="24"/>
      <c r="K852" s="24"/>
      <c r="L852" s="24"/>
      <c r="N852" s="24"/>
      <c r="O852" s="24"/>
      <c r="P852" s="24"/>
      <c r="Q852" s="24"/>
      <c r="V852" s="24"/>
      <c r="W852" s="24"/>
      <c r="X852" s="24"/>
      <c r="Y852" s="24"/>
      <c r="AA852" s="24">
        <v>46007.439959143521</v>
      </c>
      <c r="AB852" s="24">
        <v>46007.439959143521</v>
      </c>
      <c r="AC852" s="24">
        <v>46007.441253900462</v>
      </c>
      <c r="AD852" s="24">
        <v>46007.441253900462</v>
      </c>
      <c r="AE852">
        <v>1</v>
      </c>
      <c r="AF852" s="24">
        <v>46007.441253900462</v>
      </c>
      <c r="AG852" s="24">
        <v>46007.441253900462</v>
      </c>
      <c r="AH852" s="24">
        <v>46029.433839502315</v>
      </c>
      <c r="AI852" s="24">
        <v>46029.433839502315</v>
      </c>
      <c r="AJ852">
        <v>1</v>
      </c>
      <c r="AK852" s="24"/>
      <c r="AL852" s="24"/>
      <c r="AM852" s="24"/>
      <c r="AN852" s="24"/>
      <c r="AP852" s="24"/>
      <c r="AQ852" s="24"/>
      <c r="AR852" s="24">
        <v>46002.378102210649</v>
      </c>
      <c r="AS852" s="24">
        <v>46002.378102210649</v>
      </c>
      <c r="AX852" s="24"/>
      <c r="AY852" s="24"/>
      <c r="AZ852" s="24"/>
      <c r="BA852" s="24"/>
      <c r="BC852" s="24"/>
      <c r="BD852" s="24"/>
      <c r="BE852" s="24"/>
      <c r="BF852" s="24"/>
      <c r="BH852" s="24">
        <v>46002.378102210649</v>
      </c>
      <c r="BI852" s="24">
        <v>46002.378102210649</v>
      </c>
      <c r="BJ852" s="24">
        <v>46007.439959143521</v>
      </c>
      <c r="BK852" s="24">
        <v>46007.439959143521</v>
      </c>
      <c r="BL852">
        <v>1</v>
      </c>
      <c r="BM852" s="24"/>
      <c r="BN852" s="24"/>
      <c r="BO852" s="24"/>
      <c r="BP852" s="24"/>
      <c r="BR852" s="24"/>
      <c r="BS852" s="24"/>
      <c r="BT852" s="24"/>
      <c r="BU852" s="24"/>
      <c r="BW852" s="24"/>
      <c r="BX852" s="24"/>
      <c r="BY852" s="24"/>
      <c r="BZ852" s="24"/>
      <c r="CB852" s="24"/>
      <c r="CC852" s="24"/>
      <c r="CE852" s="24">
        <v>46029.433839502315</v>
      </c>
      <c r="CF852" s="24">
        <v>46029.433839502315</v>
      </c>
      <c r="CG852">
        <v>1</v>
      </c>
      <c r="CH852" s="24"/>
      <c r="CI852" s="24"/>
      <c r="CJ852" s="24"/>
      <c r="CK852" s="24"/>
      <c r="DE852" s="24"/>
      <c r="DF852" s="24"/>
      <c r="DG852" s="24"/>
      <c r="DH852" s="24"/>
      <c r="DJ852" t="s">
        <v>149</v>
      </c>
      <c r="DK852" t="s">
        <v>149</v>
      </c>
      <c r="DM852">
        <v>28</v>
      </c>
      <c r="DN852">
        <v>22</v>
      </c>
      <c r="DQ852" t="s">
        <v>1001</v>
      </c>
      <c r="DR852" t="s">
        <v>149</v>
      </c>
      <c r="DS852" s="24">
        <v>46160.384426226854</v>
      </c>
    </row>
    <row r="853" spans="1:123" x14ac:dyDescent="0.3">
      <c r="A853" t="s">
        <v>1336</v>
      </c>
      <c r="D853" t="s">
        <v>223</v>
      </c>
      <c r="E853" s="24">
        <v>45993.414756944447</v>
      </c>
      <c r="G853" t="s">
        <v>90</v>
      </c>
      <c r="H853" t="s">
        <v>155</v>
      </c>
      <c r="I853" s="24"/>
      <c r="J853" s="24"/>
      <c r="K853" s="24"/>
      <c r="L853" s="24"/>
      <c r="N853" s="24"/>
      <c r="O853" s="24"/>
      <c r="P853" s="24"/>
      <c r="Q853" s="24"/>
      <c r="V853" s="24"/>
      <c r="W853" s="24"/>
      <c r="X853" s="24"/>
      <c r="Y853" s="24"/>
      <c r="AA853" s="24">
        <v>45993.41510859954</v>
      </c>
      <c r="AB853" s="24">
        <v>45993.41510859954</v>
      </c>
      <c r="AC853" s="24">
        <v>45993.415157048614</v>
      </c>
      <c r="AD853" s="24">
        <v>45993.415157048614</v>
      </c>
      <c r="AE853">
        <v>1</v>
      </c>
      <c r="AF853" s="24"/>
      <c r="AG853" s="24"/>
      <c r="AH853" s="24"/>
      <c r="AI853" s="24"/>
      <c r="AK853" s="24"/>
      <c r="AL853" s="24"/>
      <c r="AM853" s="24"/>
      <c r="AN853" s="24"/>
      <c r="AP853" s="24"/>
      <c r="AQ853" s="24"/>
      <c r="AR853" s="24">
        <v>45993.415077685182</v>
      </c>
      <c r="AS853" s="24">
        <v>45993.415077685182</v>
      </c>
      <c r="AX853" s="24"/>
      <c r="AY853" s="24"/>
      <c r="AZ853" s="24"/>
      <c r="BA853" s="24"/>
      <c r="BC853" s="24"/>
      <c r="BD853" s="24"/>
      <c r="BE853" s="24"/>
      <c r="BF853" s="24"/>
      <c r="BH853" s="24">
        <v>45993.415077685182</v>
      </c>
      <c r="BI853" s="24">
        <v>45993.415077685182</v>
      </c>
      <c r="BJ853" s="24">
        <v>45993.41510859954</v>
      </c>
      <c r="BK853" s="24">
        <v>45993.41510859954</v>
      </c>
      <c r="BL853">
        <v>1</v>
      </c>
      <c r="BM853" s="24"/>
      <c r="BN853" s="24"/>
      <c r="BO853" s="24"/>
      <c r="BP853" s="24"/>
      <c r="BR853" s="24"/>
      <c r="BS853" s="24"/>
      <c r="BT853" s="24"/>
      <c r="BU853" s="24"/>
      <c r="BW853" s="24"/>
      <c r="BX853" s="24"/>
      <c r="BY853" s="24"/>
      <c r="BZ853" s="24"/>
      <c r="CB853" s="24"/>
      <c r="CC853" s="24"/>
      <c r="CE853" s="24">
        <v>45993.415157048614</v>
      </c>
      <c r="CF853" s="24">
        <v>45993.415157048614</v>
      </c>
      <c r="CG853">
        <v>1</v>
      </c>
      <c r="CH853" s="24"/>
      <c r="CI853" s="24"/>
      <c r="CJ853" s="24"/>
      <c r="CK853" s="24"/>
      <c r="DE853" s="24"/>
      <c r="DF853" s="24"/>
      <c r="DG853" s="24"/>
      <c r="DH853" s="24"/>
      <c r="DJ853" t="s">
        <v>149</v>
      </c>
      <c r="DK853" t="s">
        <v>149</v>
      </c>
      <c r="DM853">
        <v>1</v>
      </c>
      <c r="DN853">
        <v>1</v>
      </c>
      <c r="DQ853" t="s">
        <v>1001</v>
      </c>
      <c r="DR853" t="s">
        <v>149</v>
      </c>
      <c r="DS853" s="24">
        <v>46160.384426226854</v>
      </c>
    </row>
    <row r="854" spans="1:123" x14ac:dyDescent="0.3">
      <c r="A854" t="s">
        <v>1337</v>
      </c>
      <c r="D854" t="s">
        <v>223</v>
      </c>
      <c r="E854" s="24">
        <v>45993.410370370373</v>
      </c>
      <c r="G854" t="s">
        <v>90</v>
      </c>
      <c r="H854" t="s">
        <v>155</v>
      </c>
      <c r="I854" s="24"/>
      <c r="J854" s="24"/>
      <c r="K854" s="24"/>
      <c r="L854" s="24"/>
      <c r="N854" s="24"/>
      <c r="O854" s="24"/>
      <c r="P854" s="24"/>
      <c r="Q854" s="24"/>
      <c r="V854" s="24"/>
      <c r="W854" s="24"/>
      <c r="X854" s="24"/>
      <c r="Y854" s="24"/>
      <c r="AA854" s="24">
        <v>45993.410692916666</v>
      </c>
      <c r="AB854" s="24">
        <v>45993.410692916666</v>
      </c>
      <c r="AC854" s="24">
        <v>45993.41072954861</v>
      </c>
      <c r="AD854" s="24">
        <v>45993.41072954861</v>
      </c>
      <c r="AE854">
        <v>1</v>
      </c>
      <c r="AF854" s="24"/>
      <c r="AG854" s="24"/>
      <c r="AH854" s="24"/>
      <c r="AI854" s="24"/>
      <c r="AK854" s="24"/>
      <c r="AL854" s="24"/>
      <c r="AM854" s="24"/>
      <c r="AN854" s="24"/>
      <c r="AP854" s="24"/>
      <c r="AQ854" s="24"/>
      <c r="AR854" s="24">
        <v>45993.410509050926</v>
      </c>
      <c r="AS854" s="24">
        <v>45993.410509050926</v>
      </c>
      <c r="AX854" s="24"/>
      <c r="AY854" s="24"/>
      <c r="AZ854" s="24"/>
      <c r="BA854" s="24"/>
      <c r="BC854" s="24"/>
      <c r="BD854" s="24"/>
      <c r="BE854" s="24"/>
      <c r="BF854" s="24"/>
      <c r="BH854" s="24">
        <v>45993.410509050926</v>
      </c>
      <c r="BI854" s="24">
        <v>45993.410509050926</v>
      </c>
      <c r="BJ854" s="24">
        <v>45993.410692916666</v>
      </c>
      <c r="BK854" s="24">
        <v>45993.410692916666</v>
      </c>
      <c r="BL854">
        <v>1</v>
      </c>
      <c r="BM854" s="24"/>
      <c r="BN854" s="24"/>
      <c r="BO854" s="24"/>
      <c r="BP854" s="24"/>
      <c r="BR854" s="24">
        <v>45993.41072954861</v>
      </c>
      <c r="BS854" s="24">
        <v>45993.41072954861</v>
      </c>
      <c r="BT854" s="24">
        <v>45993.410769618058</v>
      </c>
      <c r="BU854" s="24">
        <v>45993.410769618058</v>
      </c>
      <c r="BV854">
        <v>1</v>
      </c>
      <c r="BW854" s="24"/>
      <c r="BX854" s="24"/>
      <c r="BY854" s="24"/>
      <c r="BZ854" s="24"/>
      <c r="CB854" s="24"/>
      <c r="CC854" s="24"/>
      <c r="CE854" s="24">
        <v>45993.410769618058</v>
      </c>
      <c r="CF854" s="24">
        <v>45993.410769618058</v>
      </c>
      <c r="CG854">
        <v>1</v>
      </c>
      <c r="CH854" s="24"/>
      <c r="CI854" s="24"/>
      <c r="CJ854" s="24"/>
      <c r="CK854" s="24"/>
      <c r="DE854" s="24"/>
      <c r="DF854" s="24"/>
      <c r="DG854" s="24"/>
      <c r="DH854" s="24"/>
      <c r="DJ854" t="s">
        <v>149</v>
      </c>
      <c r="DK854" t="s">
        <v>149</v>
      </c>
      <c r="DM854">
        <v>1</v>
      </c>
      <c r="DN854">
        <v>1</v>
      </c>
      <c r="DQ854" t="s">
        <v>1001</v>
      </c>
      <c r="DR854" t="s">
        <v>149</v>
      </c>
      <c r="DS854" s="24">
        <v>46160.384426226854</v>
      </c>
    </row>
    <row r="855" spans="1:123" x14ac:dyDescent="0.3">
      <c r="A855" t="s">
        <v>1338</v>
      </c>
      <c r="D855" t="s">
        <v>223</v>
      </c>
      <c r="E855" s="24">
        <v>45993.405752314815</v>
      </c>
      <c r="G855" t="s">
        <v>90</v>
      </c>
      <c r="H855" t="s">
        <v>155</v>
      </c>
      <c r="I855" s="24"/>
      <c r="J855" s="24"/>
      <c r="K855" s="24"/>
      <c r="L855" s="24"/>
      <c r="N855" s="24"/>
      <c r="O855" s="24"/>
      <c r="P855" s="24"/>
      <c r="Q855" s="24"/>
      <c r="V855" s="24"/>
      <c r="W855" s="24"/>
      <c r="X855" s="24"/>
      <c r="Y855" s="24"/>
      <c r="AA855" s="24">
        <v>45993.407274548612</v>
      </c>
      <c r="AB855" s="24">
        <v>45993.407274548612</v>
      </c>
      <c r="AC855" s="24">
        <v>45993.407325706015</v>
      </c>
      <c r="AD855" s="24">
        <v>45993.407325706015</v>
      </c>
      <c r="AE855">
        <v>1</v>
      </c>
      <c r="AF855" s="24"/>
      <c r="AG855" s="24"/>
      <c r="AH855" s="24"/>
      <c r="AI855" s="24"/>
      <c r="AK855" s="24"/>
      <c r="AL855" s="24"/>
      <c r="AM855" s="24"/>
      <c r="AN855" s="24"/>
      <c r="AP855" s="24"/>
      <c r="AQ855" s="24"/>
      <c r="AR855" s="24">
        <v>45993.406639155095</v>
      </c>
      <c r="AS855" s="24">
        <v>45993.406639155095</v>
      </c>
      <c r="AX855" s="24"/>
      <c r="AY855" s="24"/>
      <c r="AZ855" s="24"/>
      <c r="BA855" s="24"/>
      <c r="BC855" s="24"/>
      <c r="BD855" s="24"/>
      <c r="BE855" s="24"/>
      <c r="BF855" s="24"/>
      <c r="BH855" s="24">
        <v>45993.406639155095</v>
      </c>
      <c r="BI855" s="24">
        <v>45993.406639155095</v>
      </c>
      <c r="BJ855" s="24">
        <v>45993.407274548612</v>
      </c>
      <c r="BK855" s="24">
        <v>45993.407274548612</v>
      </c>
      <c r="BL855">
        <v>1</v>
      </c>
      <c r="BM855" s="24"/>
      <c r="BN855" s="24"/>
      <c r="BO855" s="24"/>
      <c r="BP855" s="24"/>
      <c r="BR855" s="24"/>
      <c r="BS855" s="24"/>
      <c r="BT855" s="24"/>
      <c r="BU855" s="24"/>
      <c r="BW855" s="24"/>
      <c r="BX855" s="24"/>
      <c r="BY855" s="24"/>
      <c r="BZ855" s="24"/>
      <c r="CB855" s="24"/>
      <c r="CC855" s="24"/>
      <c r="CE855" s="24">
        <v>45993.407325706015</v>
      </c>
      <c r="CF855" s="24">
        <v>45993.407325706015</v>
      </c>
      <c r="CG855">
        <v>1</v>
      </c>
      <c r="CH855" s="24"/>
      <c r="CI855" s="24"/>
      <c r="CJ855" s="24"/>
      <c r="CK855" s="24"/>
      <c r="DE855" s="24"/>
      <c r="DF855" s="24"/>
      <c r="DG855" s="24"/>
      <c r="DH855" s="24"/>
      <c r="DJ855" t="s">
        <v>149</v>
      </c>
      <c r="DK855" t="s">
        <v>149</v>
      </c>
      <c r="DM855">
        <v>1</v>
      </c>
      <c r="DN855">
        <v>1</v>
      </c>
      <c r="DQ855" t="s">
        <v>1001</v>
      </c>
      <c r="DR855" t="s">
        <v>149</v>
      </c>
      <c r="DS855" s="24">
        <v>46160.384426226854</v>
      </c>
    </row>
    <row r="856" spans="1:123" x14ac:dyDescent="0.3">
      <c r="A856" t="s">
        <v>1339</v>
      </c>
      <c r="D856" t="s">
        <v>225</v>
      </c>
      <c r="E856" s="24">
        <v>45988.280821759261</v>
      </c>
      <c r="G856" t="s">
        <v>90</v>
      </c>
      <c r="H856" t="s">
        <v>155</v>
      </c>
      <c r="I856" s="24"/>
      <c r="J856" s="24"/>
      <c r="K856" s="24"/>
      <c r="L856" s="24"/>
      <c r="N856" s="24"/>
      <c r="O856" s="24"/>
      <c r="P856" s="24"/>
      <c r="Q856" s="24"/>
      <c r="V856" s="24"/>
      <c r="W856" s="24"/>
      <c r="X856" s="24"/>
      <c r="Y856" s="24"/>
      <c r="AA856" s="24">
        <v>46031.607653090279</v>
      </c>
      <c r="AB856" s="24">
        <v>46031.607653090279</v>
      </c>
      <c r="AC856" s="24">
        <v>46036.885095057871</v>
      </c>
      <c r="AD856" s="24">
        <v>46036.885095057871</v>
      </c>
      <c r="AE856">
        <v>1</v>
      </c>
      <c r="AF856" s="24">
        <v>46036.885095057871</v>
      </c>
      <c r="AG856" s="24">
        <v>46036.885095057871</v>
      </c>
      <c r="AH856" s="24">
        <v>46037.32321037037</v>
      </c>
      <c r="AI856" s="24">
        <v>46037.32321037037</v>
      </c>
      <c r="AJ856">
        <v>1</v>
      </c>
      <c r="AK856" s="24">
        <v>46037.32321037037</v>
      </c>
      <c r="AL856" s="24">
        <v>46037.32321037037</v>
      </c>
      <c r="AM856" s="24">
        <v>46038.512585405093</v>
      </c>
      <c r="AN856" s="24">
        <v>46038.512585405093</v>
      </c>
      <c r="AO856">
        <v>1</v>
      </c>
      <c r="AP856" s="24"/>
      <c r="AQ856" s="24"/>
      <c r="AR856" s="24">
        <v>46029.586146134257</v>
      </c>
      <c r="AS856" s="24">
        <v>46029.586146134257</v>
      </c>
      <c r="AX856" s="24"/>
      <c r="AY856" s="24"/>
      <c r="AZ856" s="24"/>
      <c r="BA856" s="24"/>
      <c r="BC856" s="24">
        <v>46038.512696782411</v>
      </c>
      <c r="BD856" s="24">
        <v>46038.512696782411</v>
      </c>
      <c r="BE856" s="24">
        <v>46057.983983877311</v>
      </c>
      <c r="BF856" s="24">
        <v>46057.983983877311</v>
      </c>
      <c r="BG856">
        <v>1</v>
      </c>
      <c r="BH856" s="24">
        <v>46029.586146134257</v>
      </c>
      <c r="BI856" s="24">
        <v>46029.586146134257</v>
      </c>
      <c r="BJ856" s="24">
        <v>46031.607653090279</v>
      </c>
      <c r="BK856" s="24">
        <v>46031.607653090279</v>
      </c>
      <c r="BL856">
        <v>1</v>
      </c>
      <c r="BM856" s="24"/>
      <c r="BN856" s="24"/>
      <c r="BO856" s="24"/>
      <c r="BP856" s="24"/>
      <c r="BR856" s="24">
        <v>46038.512585405093</v>
      </c>
      <c r="BS856" s="24">
        <v>46038.512585405093</v>
      </c>
      <c r="BT856" s="24">
        <v>46038.512696782411</v>
      </c>
      <c r="BU856" s="24">
        <v>46038.512696782411</v>
      </c>
      <c r="BV856">
        <v>1</v>
      </c>
      <c r="BW856" s="24"/>
      <c r="BX856" s="24"/>
      <c r="BY856" s="24"/>
      <c r="BZ856" s="24"/>
      <c r="CB856" s="24"/>
      <c r="CC856" s="24"/>
      <c r="CE856" s="24">
        <v>46057.983983877311</v>
      </c>
      <c r="CF856" s="24">
        <v>46057.983983877311</v>
      </c>
      <c r="CG856">
        <v>1</v>
      </c>
      <c r="CH856" s="24"/>
      <c r="CI856" s="24"/>
      <c r="CJ856" s="24"/>
      <c r="CK856" s="24"/>
      <c r="DE856" s="24"/>
      <c r="DF856" s="24"/>
      <c r="DG856" s="24"/>
      <c r="DH856" s="24"/>
      <c r="DJ856" t="s">
        <v>149</v>
      </c>
      <c r="DK856" t="s">
        <v>149</v>
      </c>
      <c r="DM856">
        <v>29</v>
      </c>
      <c r="DN856">
        <v>27</v>
      </c>
      <c r="DQ856" t="s">
        <v>1001</v>
      </c>
      <c r="DR856" t="s">
        <v>149</v>
      </c>
      <c r="DS856" s="24">
        <v>46160.384426226854</v>
      </c>
    </row>
    <row r="857" spans="1:123" x14ac:dyDescent="0.3">
      <c r="A857" t="s">
        <v>1340</v>
      </c>
      <c r="D857" t="s">
        <v>225</v>
      </c>
      <c r="E857" s="24">
        <v>45986.451701388891</v>
      </c>
      <c r="G857" t="s">
        <v>90</v>
      </c>
      <c r="H857" t="s">
        <v>155</v>
      </c>
      <c r="I857" s="24"/>
      <c r="J857" s="24"/>
      <c r="K857" s="24"/>
      <c r="L857" s="24"/>
      <c r="N857" s="24"/>
      <c r="O857" s="24"/>
      <c r="P857" s="24"/>
      <c r="Q857" s="24"/>
      <c r="V857" s="24"/>
      <c r="W857" s="24"/>
      <c r="X857" s="24"/>
      <c r="Y857" s="24"/>
      <c r="AA857" s="24">
        <v>45992.43710865741</v>
      </c>
      <c r="AB857" s="24">
        <v>45992.43710865741</v>
      </c>
      <c r="AC857" s="24">
        <v>45994.452769687501</v>
      </c>
      <c r="AD857" s="24">
        <v>45994.452769687501</v>
      </c>
      <c r="AE857">
        <v>1</v>
      </c>
      <c r="AF857" s="24">
        <v>45994.452769687501</v>
      </c>
      <c r="AG857" s="24">
        <v>45994.452769687501</v>
      </c>
      <c r="AH857" s="24">
        <v>46028.978665312497</v>
      </c>
      <c r="AI857" s="24">
        <v>46028.978665312497</v>
      </c>
      <c r="AJ857">
        <v>1</v>
      </c>
      <c r="AK857" s="24">
        <v>46028.978665312497</v>
      </c>
      <c r="AL857" s="24">
        <v>46028.978665312497</v>
      </c>
      <c r="AM857" s="24">
        <v>46029.438556446759</v>
      </c>
      <c r="AN857" s="24">
        <v>46029.438556446759</v>
      </c>
      <c r="AO857">
        <v>1</v>
      </c>
      <c r="AP857" s="24"/>
      <c r="AQ857" s="24"/>
      <c r="AR857" s="24">
        <v>45987.483623553242</v>
      </c>
      <c r="AS857" s="24">
        <v>45987.483623553242</v>
      </c>
      <c r="AX857" s="24"/>
      <c r="AY857" s="24"/>
      <c r="AZ857" s="24"/>
      <c r="BA857" s="24"/>
      <c r="BC857" s="24">
        <v>46029.438732662034</v>
      </c>
      <c r="BD857" s="24">
        <v>46029.438732662034</v>
      </c>
      <c r="BE857" s="24">
        <v>46057.983985358798</v>
      </c>
      <c r="BF857" s="24">
        <v>46057.983985358798</v>
      </c>
      <c r="BG857">
        <v>1</v>
      </c>
      <c r="BH857" s="24">
        <v>45987.483623553242</v>
      </c>
      <c r="BI857" s="24">
        <v>45987.483623553242</v>
      </c>
      <c r="BJ857" s="24">
        <v>45992.43710865741</v>
      </c>
      <c r="BK857" s="24">
        <v>45992.43710865741</v>
      </c>
      <c r="BL857">
        <v>1</v>
      </c>
      <c r="BM857" s="24"/>
      <c r="BN857" s="24"/>
      <c r="BO857" s="24"/>
      <c r="BP857" s="24"/>
      <c r="BR857" s="24">
        <v>46029.438556446759</v>
      </c>
      <c r="BS857" s="24">
        <v>46029.438556446759</v>
      </c>
      <c r="BT857" s="24">
        <v>46029.438732662034</v>
      </c>
      <c r="BU857" s="24">
        <v>46029.438732662034</v>
      </c>
      <c r="BV857">
        <v>1</v>
      </c>
      <c r="BW857" s="24"/>
      <c r="BX857" s="24"/>
      <c r="BY857" s="24"/>
      <c r="BZ857" s="24"/>
      <c r="CB857" s="24"/>
      <c r="CC857" s="24"/>
      <c r="CE857" s="24">
        <v>46057.983985358798</v>
      </c>
      <c r="CF857" s="24">
        <v>46057.983985358798</v>
      </c>
      <c r="CG857">
        <v>1</v>
      </c>
      <c r="CH857" s="24"/>
      <c r="CI857" s="24"/>
      <c r="CJ857" s="24"/>
      <c r="CK857" s="24"/>
      <c r="DE857" s="24"/>
      <c r="DF857" s="24"/>
      <c r="DG857" s="24"/>
      <c r="DH857" s="24"/>
      <c r="DJ857" t="s">
        <v>149</v>
      </c>
      <c r="DK857" t="s">
        <v>149</v>
      </c>
      <c r="DM857">
        <v>71</v>
      </c>
      <c r="DN857">
        <v>66</v>
      </c>
      <c r="DQ857" t="s">
        <v>1001</v>
      </c>
      <c r="DR857" t="s">
        <v>149</v>
      </c>
      <c r="DS857" s="24">
        <v>46160.384426226854</v>
      </c>
    </row>
    <row r="858" spans="1:123" x14ac:dyDescent="0.3">
      <c r="A858" t="s">
        <v>1341</v>
      </c>
      <c r="D858" t="s">
        <v>225</v>
      </c>
      <c r="E858" s="24">
        <v>45985.482905092591</v>
      </c>
      <c r="G858" t="s">
        <v>90</v>
      </c>
      <c r="H858" t="s">
        <v>155</v>
      </c>
      <c r="I858" s="24"/>
      <c r="J858" s="24"/>
      <c r="K858" s="24"/>
      <c r="L858" s="24"/>
      <c r="N858" s="24"/>
      <c r="O858" s="24"/>
      <c r="P858" s="24"/>
      <c r="Q858" s="24"/>
      <c r="V858" s="24"/>
      <c r="W858" s="24"/>
      <c r="X858" s="24"/>
      <c r="Y858" s="24"/>
      <c r="AA858" s="24">
        <v>45993.458727361111</v>
      </c>
      <c r="AB858" s="24">
        <v>45993.458727361111</v>
      </c>
      <c r="AC858" s="24">
        <v>45993.494232731478</v>
      </c>
      <c r="AD858" s="24">
        <v>45993.494232731478</v>
      </c>
      <c r="AE858">
        <v>1</v>
      </c>
      <c r="AF858" s="24">
        <v>45993.494232731478</v>
      </c>
      <c r="AG858" s="24">
        <v>45993.494232731478</v>
      </c>
      <c r="AH858" s="24">
        <v>45994.330840648145</v>
      </c>
      <c r="AI858" s="24">
        <v>45994.330840648145</v>
      </c>
      <c r="AJ858">
        <v>1</v>
      </c>
      <c r="AK858" s="24">
        <v>45994.330840648145</v>
      </c>
      <c r="AL858" s="24">
        <v>45994.330840648145</v>
      </c>
      <c r="AM858" s="24">
        <v>45994.366402974534</v>
      </c>
      <c r="AN858" s="24">
        <v>45994.366402974534</v>
      </c>
      <c r="AO858">
        <v>1</v>
      </c>
      <c r="AP858" s="24"/>
      <c r="AQ858" s="24"/>
      <c r="AR858" s="24">
        <v>45987.489738692129</v>
      </c>
      <c r="AS858" s="24">
        <v>45987.489738692129</v>
      </c>
      <c r="AX858" s="24"/>
      <c r="AY858" s="24"/>
      <c r="AZ858" s="24"/>
      <c r="BA858" s="24"/>
      <c r="BC858" s="24">
        <v>45994.36661834491</v>
      </c>
      <c r="BD858" s="24">
        <v>45994.36661834491</v>
      </c>
      <c r="BE858" s="24">
        <v>46002.63492423611</v>
      </c>
      <c r="BF858" s="24">
        <v>46002.63492423611</v>
      </c>
      <c r="BG858">
        <v>1</v>
      </c>
      <c r="BH858" s="24">
        <v>45987.489738692129</v>
      </c>
      <c r="BI858" s="24">
        <v>45987.489738692129</v>
      </c>
      <c r="BJ858" s="24">
        <v>45993.458727361111</v>
      </c>
      <c r="BK858" s="24">
        <v>45993.458727361111</v>
      </c>
      <c r="BL858">
        <v>1</v>
      </c>
      <c r="BM858" s="24"/>
      <c r="BN858" s="24"/>
      <c r="BO858" s="24"/>
      <c r="BP858" s="24"/>
      <c r="BR858" s="24">
        <v>45994.366402974534</v>
      </c>
      <c r="BS858" s="24">
        <v>45994.366402974534</v>
      </c>
      <c r="BT858" s="24">
        <v>45994.36661834491</v>
      </c>
      <c r="BU858" s="24">
        <v>45994.36661834491</v>
      </c>
      <c r="BV858">
        <v>1</v>
      </c>
      <c r="BW858" s="24"/>
      <c r="BX858" s="24"/>
      <c r="BY858" s="24"/>
      <c r="BZ858" s="24"/>
      <c r="CB858" s="24"/>
      <c r="CC858" s="24"/>
      <c r="CE858" s="24">
        <v>46002.63492423611</v>
      </c>
      <c r="CF858" s="24">
        <v>46002.63492423611</v>
      </c>
      <c r="CG858">
        <v>1</v>
      </c>
      <c r="CH858" s="24"/>
      <c r="CI858" s="24"/>
      <c r="CJ858" s="24"/>
      <c r="CK858" s="24"/>
      <c r="DE858" s="24"/>
      <c r="DF858" s="24"/>
      <c r="DG858" s="24"/>
      <c r="DH858" s="24"/>
      <c r="DJ858" t="s">
        <v>149</v>
      </c>
      <c r="DK858" t="s">
        <v>149</v>
      </c>
      <c r="DM858">
        <v>16</v>
      </c>
      <c r="DN858">
        <v>10</v>
      </c>
      <c r="DQ858" t="s">
        <v>1001</v>
      </c>
      <c r="DR858" t="s">
        <v>149</v>
      </c>
      <c r="DS858" s="24">
        <v>46160.384426226854</v>
      </c>
    </row>
    <row r="859" spans="1:123" x14ac:dyDescent="0.3">
      <c r="A859" t="s">
        <v>1342</v>
      </c>
      <c r="D859" t="s">
        <v>225</v>
      </c>
      <c r="E859" s="24">
        <v>45985.482719907406</v>
      </c>
      <c r="G859" t="s">
        <v>90</v>
      </c>
      <c r="H859" t="s">
        <v>155</v>
      </c>
      <c r="I859" s="24"/>
      <c r="J859" s="24"/>
      <c r="K859" s="24"/>
      <c r="L859" s="24"/>
      <c r="N859" s="24"/>
      <c r="O859" s="24"/>
      <c r="P859" s="24"/>
      <c r="Q859" s="24"/>
      <c r="V859" s="24"/>
      <c r="W859" s="24"/>
      <c r="X859" s="24"/>
      <c r="Y859" s="24"/>
      <c r="AA859" s="24">
        <v>45994.594107268516</v>
      </c>
      <c r="AB859" s="24">
        <v>45994.594107268516</v>
      </c>
      <c r="AC859" s="24">
        <v>46001.41194395833</v>
      </c>
      <c r="AD859" s="24">
        <v>46001.41194395833</v>
      </c>
      <c r="AE859">
        <v>1</v>
      </c>
      <c r="AF859" s="24">
        <v>46001.41194395833</v>
      </c>
      <c r="AG859" s="24">
        <v>46001.41194395833</v>
      </c>
      <c r="AH859" s="24">
        <v>46002.34679103009</v>
      </c>
      <c r="AI859" s="24">
        <v>46002.34679103009</v>
      </c>
      <c r="AJ859">
        <v>1</v>
      </c>
      <c r="AK859" s="24">
        <v>46002.34679103009</v>
      </c>
      <c r="AL859" s="24">
        <v>46002.34679103009</v>
      </c>
      <c r="AM859" s="24">
        <v>46002.34682658565</v>
      </c>
      <c r="AN859" s="24">
        <v>46002.34682658565</v>
      </c>
      <c r="AO859">
        <v>1</v>
      </c>
      <c r="AP859" s="24"/>
      <c r="AQ859" s="24"/>
      <c r="AR859" s="24">
        <v>45987.489878842593</v>
      </c>
      <c r="AS859" s="24">
        <v>45987.489878842593</v>
      </c>
      <c r="AX859" s="24"/>
      <c r="AY859" s="24"/>
      <c r="AZ859" s="24"/>
      <c r="BA859" s="24"/>
      <c r="BC859" s="24">
        <v>46002.346886770836</v>
      </c>
      <c r="BD859" s="24">
        <v>46002.346886770836</v>
      </c>
      <c r="BE859" s="24">
        <v>46057.983987893516</v>
      </c>
      <c r="BF859" s="24">
        <v>46057.983987893516</v>
      </c>
      <c r="BG859">
        <v>1</v>
      </c>
      <c r="BH859" s="24">
        <v>45987.489878842593</v>
      </c>
      <c r="BI859" s="24">
        <v>45987.489878842593</v>
      </c>
      <c r="BJ859" s="24">
        <v>45994.594107268516</v>
      </c>
      <c r="BK859" s="24">
        <v>45994.594107268516</v>
      </c>
      <c r="BL859">
        <v>1</v>
      </c>
      <c r="BM859" s="24"/>
      <c r="BN859" s="24"/>
      <c r="BO859" s="24"/>
      <c r="BP859" s="24"/>
      <c r="BR859" s="24">
        <v>46002.34682658565</v>
      </c>
      <c r="BS859" s="24">
        <v>46002.34682658565</v>
      </c>
      <c r="BT859" s="24">
        <v>46002.346886770836</v>
      </c>
      <c r="BU859" s="24">
        <v>46002.346886770836</v>
      </c>
      <c r="BV859">
        <v>1</v>
      </c>
      <c r="BW859" s="24"/>
      <c r="BX859" s="24"/>
      <c r="BY859" s="24"/>
      <c r="BZ859" s="24"/>
      <c r="CB859" s="24"/>
      <c r="CC859" s="24"/>
      <c r="CE859" s="24">
        <v>46057.983987893516</v>
      </c>
      <c r="CF859" s="24">
        <v>46057.983987893516</v>
      </c>
      <c r="CG859">
        <v>1</v>
      </c>
      <c r="CH859" s="24"/>
      <c r="CI859" s="24"/>
      <c r="CJ859" s="24"/>
      <c r="CK859" s="24"/>
      <c r="DE859" s="24"/>
      <c r="DF859" s="24"/>
      <c r="DG859" s="24"/>
      <c r="DH859" s="24"/>
      <c r="DJ859" t="s">
        <v>149</v>
      </c>
      <c r="DK859" t="s">
        <v>149</v>
      </c>
      <c r="DM859">
        <v>71</v>
      </c>
      <c r="DN859">
        <v>64</v>
      </c>
      <c r="DQ859" t="s">
        <v>1001</v>
      </c>
      <c r="DR859" t="s">
        <v>149</v>
      </c>
      <c r="DS859" s="24">
        <v>46160.384426226854</v>
      </c>
    </row>
    <row r="860" spans="1:123" x14ac:dyDescent="0.3">
      <c r="A860" t="s">
        <v>1343</v>
      </c>
      <c r="D860" t="s">
        <v>225</v>
      </c>
      <c r="E860" s="24">
        <v>45985.482581018521</v>
      </c>
      <c r="G860" t="s">
        <v>90</v>
      </c>
      <c r="H860" t="s">
        <v>155</v>
      </c>
      <c r="I860" s="24"/>
      <c r="J860" s="24"/>
      <c r="K860" s="24"/>
      <c r="L860" s="24"/>
      <c r="N860" s="24"/>
      <c r="O860" s="24"/>
      <c r="P860" s="24"/>
      <c r="Q860" s="24"/>
      <c r="V860" s="24"/>
      <c r="W860" s="24"/>
      <c r="X860" s="24"/>
      <c r="Y860" s="24"/>
      <c r="AA860" s="24">
        <v>45987.623930312497</v>
      </c>
      <c r="AB860" s="24">
        <v>45987.623930312497</v>
      </c>
      <c r="AC860" s="24">
        <v>45987.623992395835</v>
      </c>
      <c r="AD860" s="24">
        <v>45987.623992395835</v>
      </c>
      <c r="AE860">
        <v>1</v>
      </c>
      <c r="AF860" s="24">
        <v>45987.623992395835</v>
      </c>
      <c r="AG860" s="24">
        <v>45987.623992395835</v>
      </c>
      <c r="AH860" s="24">
        <v>45988.600022395833</v>
      </c>
      <c r="AI860" s="24">
        <v>45988.600022395833</v>
      </c>
      <c r="AJ860">
        <v>1</v>
      </c>
      <c r="AK860" s="24">
        <v>45988.600022395833</v>
      </c>
      <c r="AL860" s="24">
        <v>45988.600022395833</v>
      </c>
      <c r="AM860" s="24">
        <v>45994.35907392361</v>
      </c>
      <c r="AN860" s="24">
        <v>45994.35907392361</v>
      </c>
      <c r="AO860">
        <v>1</v>
      </c>
      <c r="AP860" s="24"/>
      <c r="AQ860" s="24"/>
      <c r="AR860" s="24">
        <v>45987.489603194444</v>
      </c>
      <c r="AS860" s="24">
        <v>45987.489603194444</v>
      </c>
      <c r="AX860" s="24"/>
      <c r="AY860" s="24"/>
      <c r="AZ860" s="24"/>
      <c r="BA860" s="24"/>
      <c r="BC860" s="24">
        <v>45994.35917207176</v>
      </c>
      <c r="BD860" s="24">
        <v>45994.35917207176</v>
      </c>
      <c r="BE860" s="24">
        <v>46002.634924305552</v>
      </c>
      <c r="BF860" s="24">
        <v>46002.634924305552</v>
      </c>
      <c r="BG860">
        <v>1</v>
      </c>
      <c r="BH860" s="24">
        <v>45987.489603194444</v>
      </c>
      <c r="BI860" s="24">
        <v>45987.489603194444</v>
      </c>
      <c r="BJ860" s="24">
        <v>45987.623930312497</v>
      </c>
      <c r="BK860" s="24">
        <v>45987.623930312497</v>
      </c>
      <c r="BL860">
        <v>1</v>
      </c>
      <c r="BM860" s="24"/>
      <c r="BN860" s="24"/>
      <c r="BO860" s="24"/>
      <c r="BP860" s="24"/>
      <c r="BR860" s="24">
        <v>45994.35907392361</v>
      </c>
      <c r="BS860" s="24">
        <v>45994.35907392361</v>
      </c>
      <c r="BT860" s="24">
        <v>45994.35917207176</v>
      </c>
      <c r="BU860" s="24">
        <v>45994.35917207176</v>
      </c>
      <c r="BV860">
        <v>1</v>
      </c>
      <c r="BW860" s="24"/>
      <c r="BX860" s="24"/>
      <c r="BY860" s="24"/>
      <c r="BZ860" s="24"/>
      <c r="CB860" s="24"/>
      <c r="CC860" s="24"/>
      <c r="CE860" s="24">
        <v>46002.634924305552</v>
      </c>
      <c r="CF860" s="24">
        <v>46002.634924305552</v>
      </c>
      <c r="CG860">
        <v>1</v>
      </c>
      <c r="CH860" s="24"/>
      <c r="CI860" s="24"/>
      <c r="CJ860" s="24"/>
      <c r="CK860" s="24"/>
      <c r="DE860" s="24"/>
      <c r="DF860" s="24"/>
      <c r="DG860" s="24"/>
      <c r="DH860" s="24"/>
      <c r="DJ860" t="s">
        <v>149</v>
      </c>
      <c r="DK860" t="s">
        <v>149</v>
      </c>
      <c r="DM860">
        <v>16</v>
      </c>
      <c r="DN860">
        <v>16</v>
      </c>
      <c r="DQ860" t="s">
        <v>1001</v>
      </c>
      <c r="DR860" t="s">
        <v>149</v>
      </c>
      <c r="DS860" s="24">
        <v>46160.384426226854</v>
      </c>
    </row>
    <row r="861" spans="1:123" x14ac:dyDescent="0.3">
      <c r="A861" t="s">
        <v>1344</v>
      </c>
      <c r="D861" t="s">
        <v>223</v>
      </c>
      <c r="E861" s="24">
        <v>45985.474189814813</v>
      </c>
      <c r="G861" t="s">
        <v>90</v>
      </c>
      <c r="H861" t="s">
        <v>155</v>
      </c>
      <c r="I861" s="24"/>
      <c r="J861" s="24"/>
      <c r="K861" s="24"/>
      <c r="L861" s="24"/>
      <c r="N861" s="24"/>
      <c r="O861" s="24"/>
      <c r="P861" s="24"/>
      <c r="Q861" s="24"/>
      <c r="V861" s="24"/>
      <c r="W861" s="24"/>
      <c r="X861" s="24"/>
      <c r="Y861" s="24"/>
      <c r="AA861" s="24">
        <v>46001.398661944448</v>
      </c>
      <c r="AB861" s="24">
        <v>46001.398661944448</v>
      </c>
      <c r="AC861" s="24">
        <v>46009.588999537038</v>
      </c>
      <c r="AD861" s="24">
        <v>46009.588999537038</v>
      </c>
      <c r="AE861">
        <v>1</v>
      </c>
      <c r="AF861" s="24"/>
      <c r="AG861" s="24"/>
      <c r="AH861" s="24"/>
      <c r="AI861" s="24"/>
      <c r="AK861" s="24"/>
      <c r="AL861" s="24"/>
      <c r="AM861" s="24"/>
      <c r="AN861" s="24"/>
      <c r="AP861" s="24"/>
      <c r="AQ861" s="24"/>
      <c r="AR861" s="24">
        <v>45985.475704328703</v>
      </c>
      <c r="AS861" s="24">
        <v>45985.475704328703</v>
      </c>
      <c r="AX861" s="24"/>
      <c r="AY861" s="24"/>
      <c r="AZ861" s="24"/>
      <c r="BA861" s="24"/>
      <c r="BC861" s="24"/>
      <c r="BD861" s="24"/>
      <c r="BE861" s="24"/>
      <c r="BF861" s="24"/>
      <c r="BH861" s="24">
        <v>45985.475704328703</v>
      </c>
      <c r="BI861" s="24">
        <v>45985.475704328703</v>
      </c>
      <c r="BJ861" s="24">
        <v>46001.398661944448</v>
      </c>
      <c r="BK861" s="24">
        <v>46001.398661944448</v>
      </c>
      <c r="BL861">
        <v>1</v>
      </c>
      <c r="BM861" s="24"/>
      <c r="BN861" s="24"/>
      <c r="BO861" s="24"/>
      <c r="BP861" s="24"/>
      <c r="BR861" s="24">
        <v>46009.588999537038</v>
      </c>
      <c r="BS861" s="24">
        <v>46009.588999537038</v>
      </c>
      <c r="BT861" s="24">
        <v>46009.589044085646</v>
      </c>
      <c r="BU861" s="24">
        <v>46009.589044085646</v>
      </c>
      <c r="BV861">
        <v>1</v>
      </c>
      <c r="BW861" s="24"/>
      <c r="BX861" s="24"/>
      <c r="BY861" s="24"/>
      <c r="BZ861" s="24"/>
      <c r="CB861" s="24"/>
      <c r="CC861" s="24"/>
      <c r="CE861" s="24">
        <v>46009.589044085646</v>
      </c>
      <c r="CF861" s="24">
        <v>46009.589044085646</v>
      </c>
      <c r="CG861">
        <v>1</v>
      </c>
      <c r="CH861" s="24"/>
      <c r="CI861" s="24"/>
      <c r="CJ861" s="24"/>
      <c r="CK861" s="24"/>
      <c r="DE861" s="24"/>
      <c r="DF861" s="24"/>
      <c r="DG861" s="24"/>
      <c r="DH861" s="24"/>
      <c r="DJ861" t="s">
        <v>149</v>
      </c>
      <c r="DK861" t="s">
        <v>149</v>
      </c>
      <c r="DM861">
        <v>25</v>
      </c>
      <c r="DN861">
        <v>9</v>
      </c>
      <c r="DQ861" t="s">
        <v>1001</v>
      </c>
      <c r="DR861" t="s">
        <v>149</v>
      </c>
      <c r="DS861" s="24">
        <v>46160.384426226854</v>
      </c>
    </row>
    <row r="862" spans="1:123" x14ac:dyDescent="0.3">
      <c r="A862" t="s">
        <v>1345</v>
      </c>
      <c r="D862" t="s">
        <v>223</v>
      </c>
      <c r="E862" s="24">
        <v>45985.471956018519</v>
      </c>
      <c r="G862" t="s">
        <v>90</v>
      </c>
      <c r="H862" t="s">
        <v>155</v>
      </c>
      <c r="I862" s="24"/>
      <c r="J862" s="24"/>
      <c r="K862" s="24"/>
      <c r="L862" s="24"/>
      <c r="N862" s="24"/>
      <c r="O862" s="24"/>
      <c r="P862" s="24"/>
      <c r="Q862" s="24"/>
      <c r="V862" s="24"/>
      <c r="W862" s="24"/>
      <c r="X862" s="24"/>
      <c r="Y862" s="24"/>
      <c r="AA862" s="24">
        <v>45988.600857847225</v>
      </c>
      <c r="AB862" s="24">
        <v>45988.600857847225</v>
      </c>
      <c r="AC862" s="24">
        <v>45988.636584884262</v>
      </c>
      <c r="AD862" s="24">
        <v>45988.636584884262</v>
      </c>
      <c r="AE862">
        <v>1</v>
      </c>
      <c r="AF862" s="24">
        <v>45988.636584884262</v>
      </c>
      <c r="AG862" s="24">
        <v>45988.636584884262</v>
      </c>
      <c r="AH862" s="24">
        <v>45988.636635706018</v>
      </c>
      <c r="AI862" s="24">
        <v>45988.636635706018</v>
      </c>
      <c r="AJ862">
        <v>1</v>
      </c>
      <c r="AK862" s="24"/>
      <c r="AL862" s="24"/>
      <c r="AM862" s="24"/>
      <c r="AN862" s="24"/>
      <c r="AP862" s="24"/>
      <c r="AQ862" s="24"/>
      <c r="AR862" s="24">
        <v>45987.461859120369</v>
      </c>
      <c r="AS862" s="24">
        <v>45987.461859120369</v>
      </c>
      <c r="AX862" s="24"/>
      <c r="AY862" s="24"/>
      <c r="AZ862" s="24"/>
      <c r="BA862" s="24"/>
      <c r="BC862" s="24"/>
      <c r="BD862" s="24"/>
      <c r="BE862" s="24"/>
      <c r="BF862" s="24"/>
      <c r="BH862" s="24">
        <v>45987.461859120369</v>
      </c>
      <c r="BI862" s="24">
        <v>45987.461859120369</v>
      </c>
      <c r="BJ862" s="24">
        <v>45988.600857847225</v>
      </c>
      <c r="BK862" s="24">
        <v>45988.600857847225</v>
      </c>
      <c r="BL862">
        <v>1</v>
      </c>
      <c r="BM862" s="24"/>
      <c r="BN862" s="24"/>
      <c r="BO862" s="24"/>
      <c r="BP862" s="24"/>
      <c r="BR862" s="24">
        <v>45988.636635706018</v>
      </c>
      <c r="BS862" s="24">
        <v>45988.636635706018</v>
      </c>
      <c r="BT862" s="24">
        <v>45993.441153807871</v>
      </c>
      <c r="BU862" s="24">
        <v>45993.441153807871</v>
      </c>
      <c r="BV862">
        <v>1</v>
      </c>
      <c r="BW862" s="24"/>
      <c r="BX862" s="24"/>
      <c r="BY862" s="24"/>
      <c r="BZ862" s="24"/>
      <c r="CB862" s="24"/>
      <c r="CC862" s="24"/>
      <c r="CE862" s="24">
        <v>45993.441153807871</v>
      </c>
      <c r="CF862" s="24">
        <v>45993.441153807871</v>
      </c>
      <c r="CG862">
        <v>1</v>
      </c>
      <c r="CH862" s="24"/>
      <c r="CI862" s="24"/>
      <c r="CJ862" s="24"/>
      <c r="CK862" s="24"/>
      <c r="DE862" s="24"/>
      <c r="DF862" s="24"/>
      <c r="DG862" s="24"/>
      <c r="DH862" s="24"/>
      <c r="DJ862" t="s">
        <v>149</v>
      </c>
      <c r="DK862" t="s">
        <v>149</v>
      </c>
      <c r="DM862">
        <v>6</v>
      </c>
      <c r="DN862">
        <v>5</v>
      </c>
      <c r="DQ862" t="s">
        <v>1001</v>
      </c>
      <c r="DR862" t="s">
        <v>149</v>
      </c>
      <c r="DS862" s="24">
        <v>46160.384426226854</v>
      </c>
    </row>
    <row r="863" spans="1:123" x14ac:dyDescent="0.3">
      <c r="A863" t="s">
        <v>1346</v>
      </c>
      <c r="D863" t="s">
        <v>223</v>
      </c>
      <c r="E863" s="24">
        <v>45985.469317129631</v>
      </c>
      <c r="G863" t="s">
        <v>90</v>
      </c>
      <c r="H863" t="s">
        <v>155</v>
      </c>
      <c r="I863" s="24"/>
      <c r="J863" s="24"/>
      <c r="K863" s="24"/>
      <c r="L863" s="24"/>
      <c r="N863" s="24"/>
      <c r="O863" s="24"/>
      <c r="P863" s="24"/>
      <c r="Q863" s="24"/>
      <c r="V863" s="24"/>
      <c r="W863" s="24"/>
      <c r="X863" s="24"/>
      <c r="Y863" s="24"/>
      <c r="AA863" s="24">
        <v>45988.949588206022</v>
      </c>
      <c r="AB863" s="24">
        <v>45988.949588206022</v>
      </c>
      <c r="AC863" s="24">
        <v>45988.953178912037</v>
      </c>
      <c r="AD863" s="24">
        <v>45988.953178912037</v>
      </c>
      <c r="AE863">
        <v>1</v>
      </c>
      <c r="AF863" s="24">
        <v>45988.953178912037</v>
      </c>
      <c r="AG863" s="24">
        <v>45988.953178912037</v>
      </c>
      <c r="AH863" s="24">
        <v>46001.443212754632</v>
      </c>
      <c r="AI863" s="24">
        <v>46001.443212754632</v>
      </c>
      <c r="AJ863">
        <v>1</v>
      </c>
      <c r="AK863" s="24"/>
      <c r="AL863" s="24"/>
      <c r="AM863" s="24"/>
      <c r="AN863" s="24"/>
      <c r="AP863" s="24"/>
      <c r="AQ863" s="24"/>
      <c r="AR863" s="24">
        <v>45987.467073298612</v>
      </c>
      <c r="AS863" s="24">
        <v>45987.467073298612</v>
      </c>
      <c r="AX863" s="24"/>
      <c r="AY863" s="24"/>
      <c r="AZ863" s="24"/>
      <c r="BA863" s="24"/>
      <c r="BC863" s="24"/>
      <c r="BD863" s="24"/>
      <c r="BE863" s="24"/>
      <c r="BF863" s="24"/>
      <c r="BH863" s="24">
        <v>45987.467073298612</v>
      </c>
      <c r="BI863" s="24">
        <v>45987.467073298612</v>
      </c>
      <c r="BJ863" s="24">
        <v>45988.949588206022</v>
      </c>
      <c r="BK863" s="24">
        <v>45988.949588206022</v>
      </c>
      <c r="BL863">
        <v>1</v>
      </c>
      <c r="BM863" s="24"/>
      <c r="BN863" s="24"/>
      <c r="BO863" s="24"/>
      <c r="BP863" s="24"/>
      <c r="BR863" s="24"/>
      <c r="BS863" s="24"/>
      <c r="BT863" s="24"/>
      <c r="BU863" s="24"/>
      <c r="BW863" s="24"/>
      <c r="BX863" s="24"/>
      <c r="BY863" s="24"/>
      <c r="BZ863" s="24"/>
      <c r="CB863" s="24"/>
      <c r="CC863" s="24"/>
      <c r="CE863" s="24">
        <v>46001.443212754632</v>
      </c>
      <c r="CF863" s="24">
        <v>46001.443212754632</v>
      </c>
      <c r="CG863">
        <v>1</v>
      </c>
      <c r="CH863" s="24"/>
      <c r="CI863" s="24"/>
      <c r="CJ863" s="24"/>
      <c r="CK863" s="24"/>
      <c r="DE863" s="24"/>
      <c r="DF863" s="24"/>
      <c r="DG863" s="24"/>
      <c r="DH863" s="24"/>
      <c r="DJ863" t="s">
        <v>149</v>
      </c>
      <c r="DK863" t="s">
        <v>149</v>
      </c>
      <c r="DM863">
        <v>14</v>
      </c>
      <c r="DN863">
        <v>13</v>
      </c>
      <c r="DQ863" t="s">
        <v>1001</v>
      </c>
      <c r="DR863" t="s">
        <v>149</v>
      </c>
      <c r="DS863" s="24">
        <v>46160.384426226854</v>
      </c>
    </row>
    <row r="864" spans="1:123" x14ac:dyDescent="0.3">
      <c r="A864" t="s">
        <v>1347</v>
      </c>
      <c r="D864" t="s">
        <v>223</v>
      </c>
      <c r="E864" s="24">
        <v>45985.463807870372</v>
      </c>
      <c r="G864" t="s">
        <v>90</v>
      </c>
      <c r="H864" t="s">
        <v>155</v>
      </c>
      <c r="I864" s="24"/>
      <c r="J864" s="24"/>
      <c r="K864" s="24"/>
      <c r="L864" s="24"/>
      <c r="N864" s="24"/>
      <c r="O864" s="24"/>
      <c r="P864" s="24"/>
      <c r="Q864" s="24"/>
      <c r="V864" s="24"/>
      <c r="W864" s="24"/>
      <c r="X864" s="24"/>
      <c r="Y864" s="24"/>
      <c r="AA864" s="24">
        <v>45993.459100023145</v>
      </c>
      <c r="AB864" s="24">
        <v>45993.459100023145</v>
      </c>
      <c r="AC864" s="24">
        <v>46000.453696168981</v>
      </c>
      <c r="AD864" s="24">
        <v>46000.453696168981</v>
      </c>
      <c r="AE864">
        <v>1</v>
      </c>
      <c r="AF864" s="24">
        <v>46000.453696168981</v>
      </c>
      <c r="AG864" s="24">
        <v>46000.453696168981</v>
      </c>
      <c r="AH864" s="24">
        <v>46001.398550775462</v>
      </c>
      <c r="AI864" s="24">
        <v>46001.398550775462</v>
      </c>
      <c r="AJ864">
        <v>1</v>
      </c>
      <c r="AK864" s="24"/>
      <c r="AL864" s="24"/>
      <c r="AM864" s="24"/>
      <c r="AN864" s="24"/>
      <c r="AP864" s="24"/>
      <c r="AQ864" s="24"/>
      <c r="AR864" s="24">
        <v>45987.490062048608</v>
      </c>
      <c r="AS864" s="24">
        <v>45987.490062048608</v>
      </c>
      <c r="AX864" s="24"/>
      <c r="AY864" s="24"/>
      <c r="AZ864" s="24"/>
      <c r="BA864" s="24"/>
      <c r="BC864" s="24"/>
      <c r="BD864" s="24"/>
      <c r="BE864" s="24"/>
      <c r="BF864" s="24"/>
      <c r="BH864" s="24">
        <v>45987.490062048608</v>
      </c>
      <c r="BI864" s="24">
        <v>45987.490062048608</v>
      </c>
      <c r="BJ864" s="24">
        <v>45993.459100023145</v>
      </c>
      <c r="BK864" s="24">
        <v>45993.459100023145</v>
      </c>
      <c r="BL864">
        <v>1</v>
      </c>
      <c r="BM864" s="24"/>
      <c r="BN864" s="24"/>
      <c r="BO864" s="24"/>
      <c r="BP864" s="24"/>
      <c r="BR864" s="24">
        <v>46001.398550775462</v>
      </c>
      <c r="BS864" s="24">
        <v>46001.398550775462</v>
      </c>
      <c r="BT864" s="24">
        <v>46001.398586597221</v>
      </c>
      <c r="BU864" s="24">
        <v>46001.398586597221</v>
      </c>
      <c r="BV864">
        <v>1</v>
      </c>
      <c r="BW864" s="24"/>
      <c r="BX864" s="24"/>
      <c r="BY864" s="24"/>
      <c r="BZ864" s="24"/>
      <c r="CB864" s="24"/>
      <c r="CC864" s="24"/>
      <c r="CE864" s="24">
        <v>46001.398586597221</v>
      </c>
      <c r="CF864" s="24">
        <v>46001.398586597221</v>
      </c>
      <c r="CG864">
        <v>1</v>
      </c>
      <c r="CH864" s="24"/>
      <c r="CI864" s="24"/>
      <c r="CJ864" s="24"/>
      <c r="CK864" s="24"/>
      <c r="DE864" s="24"/>
      <c r="DF864" s="24"/>
      <c r="DG864" s="24"/>
      <c r="DH864" s="24"/>
      <c r="DJ864" t="s">
        <v>149</v>
      </c>
      <c r="DK864" t="s">
        <v>149</v>
      </c>
      <c r="DM864">
        <v>14</v>
      </c>
      <c r="DN864">
        <v>8</v>
      </c>
      <c r="DQ864" t="s">
        <v>1001</v>
      </c>
      <c r="DR864" t="s">
        <v>149</v>
      </c>
      <c r="DS864" s="24">
        <v>46160.384426226854</v>
      </c>
    </row>
    <row r="865" spans="1:123" x14ac:dyDescent="0.3">
      <c r="A865" t="s">
        <v>1348</v>
      </c>
      <c r="D865" t="s">
        <v>223</v>
      </c>
      <c r="E865" s="24">
        <v>45973.629236111112</v>
      </c>
      <c r="G865" t="s">
        <v>90</v>
      </c>
      <c r="H865" t="s">
        <v>155</v>
      </c>
      <c r="I865" s="24"/>
      <c r="J865" s="24"/>
      <c r="K865" s="24"/>
      <c r="L865" s="24"/>
      <c r="N865" s="24"/>
      <c r="O865" s="24"/>
      <c r="P865" s="24"/>
      <c r="Q865" s="24"/>
      <c r="V865" s="24"/>
      <c r="W865" s="24"/>
      <c r="X865" s="24"/>
      <c r="Y865" s="24"/>
      <c r="AA865" s="24">
        <v>46002.443875115743</v>
      </c>
      <c r="AB865" s="24">
        <v>46002.443875115743</v>
      </c>
      <c r="AC865" s="24">
        <v>46070.439501782406</v>
      </c>
      <c r="AD865" s="24">
        <v>46070.439501782406</v>
      </c>
      <c r="AE865">
        <v>1</v>
      </c>
      <c r="AF865" s="24">
        <v>46070.439501782406</v>
      </c>
      <c r="AG865" s="24">
        <v>46070.439501782406</v>
      </c>
      <c r="AH865" s="24">
        <v>46070.439566203706</v>
      </c>
      <c r="AI865" s="24">
        <v>46070.439566203706</v>
      </c>
      <c r="AJ865">
        <v>1</v>
      </c>
      <c r="AK865" s="24"/>
      <c r="AL865" s="24"/>
      <c r="AM865" s="24"/>
      <c r="AN865" s="24"/>
      <c r="AP865" s="24"/>
      <c r="AQ865" s="24"/>
      <c r="AR865" s="24">
        <v>45987.465508900466</v>
      </c>
      <c r="AS865" s="24">
        <v>45987.465508900466</v>
      </c>
      <c r="AX865" s="24"/>
      <c r="AY865" s="24"/>
      <c r="AZ865" s="24"/>
      <c r="BA865" s="24"/>
      <c r="BC865" s="24"/>
      <c r="BD865" s="24"/>
      <c r="BE865" s="24"/>
      <c r="BF865" s="24"/>
      <c r="BH865" s="24">
        <v>45987.465508900466</v>
      </c>
      <c r="BI865" s="24">
        <v>45987.465508900466</v>
      </c>
      <c r="BJ865" s="24">
        <v>46002.443875115743</v>
      </c>
      <c r="BK865" s="24">
        <v>46002.443875115743</v>
      </c>
      <c r="BL865">
        <v>1</v>
      </c>
      <c r="BM865" s="24"/>
      <c r="BN865" s="24"/>
      <c r="BO865" s="24"/>
      <c r="BP865" s="24"/>
      <c r="BR865" s="24"/>
      <c r="BS865" s="24"/>
      <c r="BT865" s="24"/>
      <c r="BU865" s="24"/>
      <c r="BW865" s="24"/>
      <c r="BX865" s="24"/>
      <c r="BY865" s="24"/>
      <c r="BZ865" s="24"/>
      <c r="CB865" s="24"/>
      <c r="CC865" s="24"/>
      <c r="CE865" s="24">
        <v>46070.439566203706</v>
      </c>
      <c r="CF865" s="24">
        <v>46070.439566203706</v>
      </c>
      <c r="CG865">
        <v>1</v>
      </c>
      <c r="CH865" s="24"/>
      <c r="CI865" s="24"/>
      <c r="CJ865" s="24"/>
      <c r="CK865" s="24"/>
      <c r="DE865" s="24"/>
      <c r="DF865" s="24"/>
      <c r="DG865" s="24"/>
      <c r="DH865" s="24"/>
      <c r="DJ865" t="s">
        <v>149</v>
      </c>
      <c r="DK865" t="s">
        <v>149</v>
      </c>
      <c r="DM865">
        <v>83</v>
      </c>
      <c r="DN865">
        <v>68</v>
      </c>
      <c r="DQ865" t="s">
        <v>1001</v>
      </c>
      <c r="DR865" t="s">
        <v>149</v>
      </c>
      <c r="DS865" s="24">
        <v>46160.384426226854</v>
      </c>
    </row>
    <row r="866" spans="1:123" x14ac:dyDescent="0.3">
      <c r="A866" t="s">
        <v>1349</v>
      </c>
      <c r="D866" t="s">
        <v>223</v>
      </c>
      <c r="E866" s="24">
        <v>45973.453969907408</v>
      </c>
      <c r="G866" t="s">
        <v>90</v>
      </c>
      <c r="H866" t="s">
        <v>155</v>
      </c>
      <c r="I866" s="24"/>
      <c r="J866" s="24"/>
      <c r="K866" s="24"/>
      <c r="L866" s="24"/>
      <c r="N866" s="24"/>
      <c r="O866" s="24"/>
      <c r="P866" s="24"/>
      <c r="Q866" s="24"/>
      <c r="V866" s="24"/>
      <c r="W866" s="24"/>
      <c r="X866" s="24"/>
      <c r="Y866" s="24"/>
      <c r="AA866" s="24">
        <v>45987.433681863426</v>
      </c>
      <c r="AB866" s="24">
        <v>45987.433681863426</v>
      </c>
      <c r="AC866" s="24">
        <v>45987.433727766205</v>
      </c>
      <c r="AD866" s="24">
        <v>45987.433727766205</v>
      </c>
      <c r="AE866">
        <v>1</v>
      </c>
      <c r="AF866" s="24"/>
      <c r="AG866" s="24"/>
      <c r="AH866" s="24"/>
      <c r="AI866" s="24"/>
      <c r="AK866" s="24"/>
      <c r="AL866" s="24"/>
      <c r="AM866" s="24"/>
      <c r="AN866" s="24"/>
      <c r="AP866" s="24"/>
      <c r="AQ866" s="24"/>
      <c r="AR866" s="24">
        <v>45987.43363540509</v>
      </c>
      <c r="AS866" s="24">
        <v>45987.43363540509</v>
      </c>
      <c r="AX866" s="24"/>
      <c r="AY866" s="24"/>
      <c r="AZ866" s="24"/>
      <c r="BA866" s="24"/>
      <c r="BC866" s="24"/>
      <c r="BD866" s="24"/>
      <c r="BE866" s="24"/>
      <c r="BF866" s="24"/>
      <c r="BH866" s="24">
        <v>45987.43363540509</v>
      </c>
      <c r="BI866" s="24">
        <v>45987.43363540509</v>
      </c>
      <c r="BJ866" s="24">
        <v>45987.433681863426</v>
      </c>
      <c r="BK866" s="24">
        <v>45987.433681863426</v>
      </c>
      <c r="BL866">
        <v>1</v>
      </c>
      <c r="BM866" s="24"/>
      <c r="BN866" s="24"/>
      <c r="BO866" s="24"/>
      <c r="BP866" s="24"/>
      <c r="BR866" s="24"/>
      <c r="BS866" s="24"/>
      <c r="BT866" s="24"/>
      <c r="BU866" s="24"/>
      <c r="BW866" s="24"/>
      <c r="BX866" s="24"/>
      <c r="BY866" s="24"/>
      <c r="BZ866" s="24"/>
      <c r="CB866" s="24"/>
      <c r="CC866" s="24"/>
      <c r="CE866" s="24">
        <v>45987.433727766205</v>
      </c>
      <c r="CF866" s="24">
        <v>45987.433727766205</v>
      </c>
      <c r="CG866">
        <v>1</v>
      </c>
      <c r="CH866" s="24"/>
      <c r="CI866" s="24"/>
      <c r="CJ866" s="24"/>
      <c r="CK866" s="24"/>
      <c r="DE866" s="24"/>
      <c r="DF866" s="24"/>
      <c r="DG866" s="24"/>
      <c r="DH866" s="24"/>
      <c r="DJ866" t="s">
        <v>149</v>
      </c>
      <c r="DK866" t="s">
        <v>149</v>
      </c>
      <c r="DM866">
        <v>1</v>
      </c>
      <c r="DN866">
        <v>1</v>
      </c>
      <c r="DQ866" t="s">
        <v>1001</v>
      </c>
      <c r="DR866" t="s">
        <v>149</v>
      </c>
      <c r="DS866" s="24">
        <v>46160.384426226854</v>
      </c>
    </row>
    <row r="867" spans="1:123" x14ac:dyDescent="0.3">
      <c r="A867" t="s">
        <v>1350</v>
      </c>
      <c r="D867" t="s">
        <v>225</v>
      </c>
      <c r="E867" s="24">
        <v>45973.398518518516</v>
      </c>
      <c r="G867" t="s">
        <v>90</v>
      </c>
      <c r="H867" t="s">
        <v>155</v>
      </c>
      <c r="I867" s="24"/>
      <c r="J867" s="24"/>
      <c r="K867" s="24"/>
      <c r="L867" s="24"/>
      <c r="N867" s="24"/>
      <c r="O867" s="24"/>
      <c r="P867" s="24"/>
      <c r="Q867" s="24"/>
      <c r="V867" s="24"/>
      <c r="W867" s="24"/>
      <c r="X867" s="24"/>
      <c r="Y867" s="24"/>
      <c r="AA867" s="24">
        <v>45982.273110694441</v>
      </c>
      <c r="AB867" s="24">
        <v>45982.273110694441</v>
      </c>
      <c r="AC867" s="24">
        <v>45987.4080516088</v>
      </c>
      <c r="AD867" s="24">
        <v>45987.4080516088</v>
      </c>
      <c r="AE867">
        <v>1</v>
      </c>
      <c r="AF867" s="24">
        <v>45987.4080516088</v>
      </c>
      <c r="AG867" s="24">
        <v>45987.4080516088</v>
      </c>
      <c r="AH867" s="24">
        <v>45987.435915104164</v>
      </c>
      <c r="AI867" s="24">
        <v>45987.435915104164</v>
      </c>
      <c r="AJ867">
        <v>1</v>
      </c>
      <c r="AK867" s="24">
        <v>45987.435915104164</v>
      </c>
      <c r="AL867" s="24">
        <v>45987.435915104164</v>
      </c>
      <c r="AM867" s="24">
        <v>45987.435946655096</v>
      </c>
      <c r="AN867" s="24">
        <v>45987.435946655096</v>
      </c>
      <c r="AO867">
        <v>1</v>
      </c>
      <c r="AP867" s="24"/>
      <c r="AQ867" s="24"/>
      <c r="AR867" s="24">
        <v>45974.443708530096</v>
      </c>
      <c r="AS867" s="24">
        <v>45974.443708530096</v>
      </c>
      <c r="AX867" s="24"/>
      <c r="AY867" s="24"/>
      <c r="AZ867" s="24"/>
      <c r="BA867" s="24"/>
      <c r="BC867" s="24">
        <v>45987.436705254629</v>
      </c>
      <c r="BD867" s="24">
        <v>45987.436705254629</v>
      </c>
      <c r="BE867" s="24">
        <v>46044.369980277777</v>
      </c>
      <c r="BF867" s="24">
        <v>46044.369980277777</v>
      </c>
      <c r="BG867">
        <v>1</v>
      </c>
      <c r="BH867" s="24">
        <v>45974.443708530096</v>
      </c>
      <c r="BI867" s="24">
        <v>45974.443708530096</v>
      </c>
      <c r="BJ867" s="24">
        <v>45982.273110694441</v>
      </c>
      <c r="BK867" s="24">
        <v>45982.273110694441</v>
      </c>
      <c r="BL867">
        <v>1</v>
      </c>
      <c r="BM867" s="24"/>
      <c r="BN867" s="24"/>
      <c r="BO867" s="24"/>
      <c r="BP867" s="24"/>
      <c r="BR867" s="24">
        <v>45987.435946655096</v>
      </c>
      <c r="BS867" s="24">
        <v>45987.435946655096</v>
      </c>
      <c r="BT867" s="24">
        <v>45987.436705254629</v>
      </c>
      <c r="BU867" s="24">
        <v>45987.436705254629</v>
      </c>
      <c r="BV867">
        <v>1</v>
      </c>
      <c r="BW867" s="24"/>
      <c r="BX867" s="24"/>
      <c r="BY867" s="24"/>
      <c r="BZ867" s="24"/>
      <c r="CB867" s="24"/>
      <c r="CC867" s="24"/>
      <c r="CE867" s="24">
        <v>46044.369980277777</v>
      </c>
      <c r="CF867" s="24">
        <v>46044.369980277777</v>
      </c>
      <c r="CG867">
        <v>1</v>
      </c>
      <c r="CH867" s="24"/>
      <c r="CI867" s="24"/>
      <c r="CJ867" s="24"/>
      <c r="CK867" s="24"/>
      <c r="DE867" s="24"/>
      <c r="DF867" s="24"/>
      <c r="DG867" s="24"/>
      <c r="DH867" s="24"/>
      <c r="DJ867" t="s">
        <v>149</v>
      </c>
      <c r="DK867" t="s">
        <v>149</v>
      </c>
      <c r="DM867">
        <v>70</v>
      </c>
      <c r="DN867">
        <v>63</v>
      </c>
      <c r="DQ867" t="s">
        <v>1001</v>
      </c>
      <c r="DR867" t="s">
        <v>149</v>
      </c>
      <c r="DS867" s="24">
        <v>46160.384426226854</v>
      </c>
    </row>
    <row r="868" spans="1:123" x14ac:dyDescent="0.3">
      <c r="A868" t="s">
        <v>1351</v>
      </c>
      <c r="D868" t="s">
        <v>225</v>
      </c>
      <c r="E868" s="24">
        <v>45972.445300925923</v>
      </c>
      <c r="G868" t="s">
        <v>90</v>
      </c>
      <c r="H868" t="s">
        <v>155</v>
      </c>
      <c r="I868" s="24"/>
      <c r="J868" s="24"/>
      <c r="K868" s="24"/>
      <c r="L868" s="24"/>
      <c r="N868" s="24"/>
      <c r="O868" s="24"/>
      <c r="P868" s="24"/>
      <c r="Q868" s="24"/>
      <c r="V868" s="24"/>
      <c r="W868" s="24"/>
      <c r="X868" s="24"/>
      <c r="Y868" s="24"/>
      <c r="AA868" s="24">
        <v>45979.903039004632</v>
      </c>
      <c r="AB868" s="24">
        <v>45979.903039004632</v>
      </c>
      <c r="AC868" s="24">
        <v>45982.366252662039</v>
      </c>
      <c r="AD868" s="24">
        <v>45982.366252662039</v>
      </c>
      <c r="AE868">
        <v>1</v>
      </c>
      <c r="AF868" s="24">
        <v>45982.366252662039</v>
      </c>
      <c r="AG868" s="24">
        <v>45982.366252662039</v>
      </c>
      <c r="AH868" s="24">
        <v>45995.503611782406</v>
      </c>
      <c r="AI868" s="24">
        <v>45995.503611782406</v>
      </c>
      <c r="AJ868">
        <v>1</v>
      </c>
      <c r="AK868" s="24">
        <v>45995.503611782406</v>
      </c>
      <c r="AL868" s="24">
        <v>45995.503611782406</v>
      </c>
      <c r="AM868" s="24">
        <v>45995.503680740738</v>
      </c>
      <c r="AN868" s="24">
        <v>45995.503680740738</v>
      </c>
      <c r="AO868">
        <v>1</v>
      </c>
      <c r="AP868" s="24"/>
      <c r="AQ868" s="24"/>
      <c r="AR868" s="24">
        <v>45974.456784050926</v>
      </c>
      <c r="AS868" s="24">
        <v>45974.456784050926</v>
      </c>
      <c r="AX868" s="24"/>
      <c r="AY868" s="24"/>
      <c r="AZ868" s="24"/>
      <c r="BA868" s="24"/>
      <c r="BC868" s="24">
        <v>45995.503792997682</v>
      </c>
      <c r="BD868" s="24">
        <v>45995.503792997682</v>
      </c>
      <c r="BE868" s="24">
        <v>46057.98398809028</v>
      </c>
      <c r="BF868" s="24">
        <v>46057.98398809028</v>
      </c>
      <c r="BG868">
        <v>1</v>
      </c>
      <c r="BH868" s="24">
        <v>45974.456784050926</v>
      </c>
      <c r="BI868" s="24">
        <v>45974.456784050926</v>
      </c>
      <c r="BJ868" s="24">
        <v>45979.903039004632</v>
      </c>
      <c r="BK868" s="24">
        <v>45979.903039004632</v>
      </c>
      <c r="BL868">
        <v>1</v>
      </c>
      <c r="BM868" s="24"/>
      <c r="BN868" s="24"/>
      <c r="BO868" s="24"/>
      <c r="BP868" s="24"/>
      <c r="BR868" s="24">
        <v>45995.503680740738</v>
      </c>
      <c r="BS868" s="24">
        <v>45995.503680740738</v>
      </c>
      <c r="BT868" s="24">
        <v>45995.503792997682</v>
      </c>
      <c r="BU868" s="24">
        <v>45995.503792997682</v>
      </c>
      <c r="BV868">
        <v>1</v>
      </c>
      <c r="BW868" s="24"/>
      <c r="BX868" s="24"/>
      <c r="BY868" s="24"/>
      <c r="BZ868" s="24"/>
      <c r="CB868" s="24"/>
      <c r="CC868" s="24"/>
      <c r="CE868" s="24">
        <v>46057.98398809028</v>
      </c>
      <c r="CF868" s="24">
        <v>46057.98398809028</v>
      </c>
      <c r="CG868">
        <v>1</v>
      </c>
      <c r="CH868" s="24"/>
      <c r="CI868" s="24"/>
      <c r="CJ868" s="24"/>
      <c r="CK868" s="24"/>
      <c r="DE868" s="24"/>
      <c r="DF868" s="24"/>
      <c r="DG868" s="24"/>
      <c r="DH868" s="24"/>
      <c r="DJ868" t="s">
        <v>149</v>
      </c>
      <c r="DK868" t="s">
        <v>149</v>
      </c>
      <c r="DM868">
        <v>84</v>
      </c>
      <c r="DN868">
        <v>79</v>
      </c>
      <c r="DQ868" t="s">
        <v>1001</v>
      </c>
      <c r="DR868" t="s">
        <v>149</v>
      </c>
      <c r="DS868" s="24">
        <v>46160.384426226854</v>
      </c>
    </row>
    <row r="869" spans="1:123" x14ac:dyDescent="0.3">
      <c r="A869" t="s">
        <v>1352</v>
      </c>
      <c r="D869" t="s">
        <v>225</v>
      </c>
      <c r="E869" s="24">
        <v>45971.507071759261</v>
      </c>
      <c r="G869" t="s">
        <v>90</v>
      </c>
      <c r="H869" t="s">
        <v>155</v>
      </c>
      <c r="I869" s="24"/>
      <c r="J869" s="24"/>
      <c r="K869" s="24"/>
      <c r="L869" s="24"/>
      <c r="N869" s="24"/>
      <c r="O869" s="24"/>
      <c r="P869" s="24"/>
      <c r="Q869" s="24"/>
      <c r="V869" s="24"/>
      <c r="W869" s="24"/>
      <c r="X869" s="24"/>
      <c r="Y869" s="24"/>
      <c r="AA869" s="24">
        <v>46003.440308784724</v>
      </c>
      <c r="AB869" s="24">
        <v>46003.440308784724</v>
      </c>
      <c r="AC869" s="24">
        <v>46003.682795821762</v>
      </c>
      <c r="AD869" s="24">
        <v>46003.682795821762</v>
      </c>
      <c r="AE869">
        <v>1</v>
      </c>
      <c r="AF869" s="24">
        <v>46003.682795821762</v>
      </c>
      <c r="AG869" s="24">
        <v>46003.682795821762</v>
      </c>
      <c r="AH869" s="24">
        <v>46007.64631625</v>
      </c>
      <c r="AI869" s="24">
        <v>46007.64631625</v>
      </c>
      <c r="AJ869">
        <v>1</v>
      </c>
      <c r="AK869" s="24">
        <v>46007.64631625</v>
      </c>
      <c r="AL869" s="24">
        <v>46007.64631625</v>
      </c>
      <c r="AM869" s="24">
        <v>46009.548435879631</v>
      </c>
      <c r="AN869" s="24">
        <v>46009.548435879631</v>
      </c>
      <c r="AO869">
        <v>1</v>
      </c>
      <c r="AP869" s="24"/>
      <c r="AQ869" s="24"/>
      <c r="AR869" s="24">
        <v>46002.425531516201</v>
      </c>
      <c r="AS869" s="24">
        <v>46002.425531516201</v>
      </c>
      <c r="AX869" s="24"/>
      <c r="AY869" s="24"/>
      <c r="AZ869" s="24"/>
      <c r="BA869" s="24"/>
      <c r="BC869" s="24">
        <v>46009.548589178237</v>
      </c>
      <c r="BD869" s="24">
        <v>46009.548589178237</v>
      </c>
      <c r="BE869" s="24">
        <v>46057.983988333333</v>
      </c>
      <c r="BF869" s="24">
        <v>46057.983988333333</v>
      </c>
      <c r="BG869">
        <v>1</v>
      </c>
      <c r="BH869" s="24">
        <v>46002.425531516201</v>
      </c>
      <c r="BI869" s="24">
        <v>46002.425531516201</v>
      </c>
      <c r="BJ869" s="24">
        <v>46003.440308784724</v>
      </c>
      <c r="BK869" s="24">
        <v>46003.440308784724</v>
      </c>
      <c r="BL869">
        <v>1</v>
      </c>
      <c r="BM869" s="24"/>
      <c r="BN869" s="24"/>
      <c r="BO869" s="24"/>
      <c r="BP869" s="24"/>
      <c r="BR869" s="24">
        <v>46009.548435879631</v>
      </c>
      <c r="BS869" s="24">
        <v>46009.548435879631</v>
      </c>
      <c r="BT869" s="24">
        <v>46009.548589178237</v>
      </c>
      <c r="BU869" s="24">
        <v>46009.548589178237</v>
      </c>
      <c r="BV869">
        <v>1</v>
      </c>
      <c r="BW869" s="24"/>
      <c r="BX869" s="24"/>
      <c r="BY869" s="24"/>
      <c r="BZ869" s="24"/>
      <c r="CB869" s="24"/>
      <c r="CC869" s="24"/>
      <c r="CE869" s="24">
        <v>46057.983988333333</v>
      </c>
      <c r="CF869" s="24">
        <v>46057.983988333333</v>
      </c>
      <c r="CG869">
        <v>1</v>
      </c>
      <c r="CH869" s="24"/>
      <c r="CI869" s="24"/>
      <c r="CJ869" s="24"/>
      <c r="CK869" s="24"/>
      <c r="DE869" s="24"/>
      <c r="DF869" s="24"/>
      <c r="DG869" s="24"/>
      <c r="DH869" s="24"/>
      <c r="DJ869" t="s">
        <v>149</v>
      </c>
      <c r="DK869" t="s">
        <v>149</v>
      </c>
      <c r="DM869">
        <v>56</v>
      </c>
      <c r="DN869">
        <v>55</v>
      </c>
      <c r="DQ869" t="s">
        <v>1001</v>
      </c>
      <c r="DR869" t="s">
        <v>149</v>
      </c>
      <c r="DS869" s="24">
        <v>46160.384426226854</v>
      </c>
    </row>
    <row r="870" spans="1:123" x14ac:dyDescent="0.3">
      <c r="A870" t="s">
        <v>1353</v>
      </c>
      <c r="D870" t="s">
        <v>225</v>
      </c>
      <c r="E870" s="24">
        <v>45971.499664351853</v>
      </c>
      <c r="G870" t="s">
        <v>90</v>
      </c>
      <c r="H870" t="s">
        <v>155</v>
      </c>
      <c r="I870" s="24"/>
      <c r="J870" s="24"/>
      <c r="K870" s="24"/>
      <c r="L870" s="24"/>
      <c r="N870" s="24"/>
      <c r="O870" s="24"/>
      <c r="P870" s="24"/>
      <c r="Q870" s="24"/>
      <c r="V870" s="24"/>
      <c r="W870" s="24"/>
      <c r="X870" s="24"/>
      <c r="Y870" s="24"/>
      <c r="AA870" s="24">
        <v>45988.846149004632</v>
      </c>
      <c r="AB870" s="24">
        <v>45988.846149004632</v>
      </c>
      <c r="AC870" s="24">
        <v>45988.853053368053</v>
      </c>
      <c r="AD870" s="24">
        <v>45988.853053368053</v>
      </c>
      <c r="AE870">
        <v>1</v>
      </c>
      <c r="AF870" s="24">
        <v>45988.853053368053</v>
      </c>
      <c r="AG870" s="24">
        <v>45988.853053368053</v>
      </c>
      <c r="AH870" s="24">
        <v>45999.51736435185</v>
      </c>
      <c r="AI870" s="24">
        <v>45999.51736435185</v>
      </c>
      <c r="AJ870">
        <v>1</v>
      </c>
      <c r="AK870" s="24">
        <v>45999.51736435185</v>
      </c>
      <c r="AL870" s="24">
        <v>45999.51736435185</v>
      </c>
      <c r="AM870" s="24">
        <v>45999.722480127311</v>
      </c>
      <c r="AN870" s="24">
        <v>45999.722480127311</v>
      </c>
      <c r="AO870">
        <v>1</v>
      </c>
      <c r="AP870" s="24"/>
      <c r="AQ870" s="24"/>
      <c r="AR870" s="24">
        <v>45987.490239814812</v>
      </c>
      <c r="AS870" s="24">
        <v>45987.490239814812</v>
      </c>
      <c r="AX870" s="24"/>
      <c r="AY870" s="24"/>
      <c r="AZ870" s="24"/>
      <c r="BA870" s="24"/>
      <c r="BC870" s="24">
        <v>46001.44181679398</v>
      </c>
      <c r="BD870" s="24">
        <v>46001.44181679398</v>
      </c>
      <c r="BE870" s="24">
        <v>46002.634924641206</v>
      </c>
      <c r="BF870" s="24">
        <v>46002.634924641206</v>
      </c>
      <c r="BG870">
        <v>1</v>
      </c>
      <c r="BH870" s="24">
        <v>45987.490239814812</v>
      </c>
      <c r="BI870" s="24">
        <v>45987.490239814812</v>
      </c>
      <c r="BJ870" s="24">
        <v>45988.846149004632</v>
      </c>
      <c r="BK870" s="24">
        <v>45988.846149004632</v>
      </c>
      <c r="BL870">
        <v>1</v>
      </c>
      <c r="BM870" s="24"/>
      <c r="BN870" s="24"/>
      <c r="BO870" s="24"/>
      <c r="BP870" s="24"/>
      <c r="BR870" s="24">
        <v>45999.722480127311</v>
      </c>
      <c r="BS870" s="24">
        <v>45999.722480127311</v>
      </c>
      <c r="BT870" s="24">
        <v>46001.44181679398</v>
      </c>
      <c r="BU870" s="24">
        <v>46001.44181679398</v>
      </c>
      <c r="BV870">
        <v>1</v>
      </c>
      <c r="BW870" s="24"/>
      <c r="BX870" s="24"/>
      <c r="BY870" s="24"/>
      <c r="BZ870" s="24"/>
      <c r="CB870" s="24"/>
      <c r="CC870" s="24"/>
      <c r="CE870" s="24">
        <v>46002.634924641206</v>
      </c>
      <c r="CF870" s="24">
        <v>46002.634924641206</v>
      </c>
      <c r="CG870">
        <v>1</v>
      </c>
      <c r="CH870" s="24"/>
      <c r="CI870" s="24"/>
      <c r="CJ870" s="24"/>
      <c r="CK870" s="24"/>
      <c r="DE870" s="24"/>
      <c r="DF870" s="24"/>
      <c r="DG870" s="24"/>
      <c r="DH870" s="24"/>
      <c r="DJ870" t="s">
        <v>149</v>
      </c>
      <c r="DK870" t="s">
        <v>149</v>
      </c>
      <c r="DM870">
        <v>16</v>
      </c>
      <c r="DN870">
        <v>14</v>
      </c>
      <c r="DQ870" t="s">
        <v>1001</v>
      </c>
      <c r="DR870" t="s">
        <v>149</v>
      </c>
      <c r="DS870" s="24">
        <v>46160.384426226854</v>
      </c>
    </row>
    <row r="871" spans="1:123" x14ac:dyDescent="0.3">
      <c r="A871" t="s">
        <v>1354</v>
      </c>
      <c r="D871" t="s">
        <v>225</v>
      </c>
      <c r="E871" s="24">
        <v>45971.493252314816</v>
      </c>
      <c r="G871" t="s">
        <v>90</v>
      </c>
      <c r="H871" t="s">
        <v>155</v>
      </c>
      <c r="I871" s="24"/>
      <c r="J871" s="24"/>
      <c r="K871" s="24"/>
      <c r="L871" s="24"/>
      <c r="N871" s="24"/>
      <c r="O871" s="24"/>
      <c r="P871" s="24"/>
      <c r="Q871" s="24"/>
      <c r="V871" s="24"/>
      <c r="W871" s="24"/>
      <c r="X871" s="24"/>
      <c r="Y871" s="24"/>
      <c r="AA871" s="24">
        <v>45978.368408136572</v>
      </c>
      <c r="AB871" s="24">
        <v>45978.368408136572</v>
      </c>
      <c r="AC871" s="24">
        <v>45979.478597546295</v>
      </c>
      <c r="AD871" s="24">
        <v>45979.478597546295</v>
      </c>
      <c r="AE871">
        <v>1</v>
      </c>
      <c r="AF871" s="24">
        <v>45979.478597546295</v>
      </c>
      <c r="AG871" s="24">
        <v>45979.478597546295</v>
      </c>
      <c r="AH871" s="24">
        <v>45980.354737685186</v>
      </c>
      <c r="AI871" s="24">
        <v>45980.354737685186</v>
      </c>
      <c r="AJ871">
        <v>1</v>
      </c>
      <c r="AK871" s="24">
        <v>45980.354737685186</v>
      </c>
      <c r="AL871" s="24">
        <v>45980.354737685186</v>
      </c>
      <c r="AM871" s="24">
        <v>45985.412355972221</v>
      </c>
      <c r="AN871" s="24">
        <v>45985.412355972221</v>
      </c>
      <c r="AO871">
        <v>1</v>
      </c>
      <c r="AP871" s="24"/>
      <c r="AQ871" s="24"/>
      <c r="AR871" s="24">
        <v>45974.457077002313</v>
      </c>
      <c r="AS871" s="24">
        <v>45974.457077002313</v>
      </c>
      <c r="AX871" s="24"/>
      <c r="AY871" s="24"/>
      <c r="AZ871" s="24"/>
      <c r="BA871" s="24"/>
      <c r="BC871" s="24">
        <v>45985.412478287035</v>
      </c>
      <c r="BD871" s="24">
        <v>45985.412478287035</v>
      </c>
      <c r="BE871" s="24">
        <v>46002.63492488426</v>
      </c>
      <c r="BF871" s="24">
        <v>46002.63492488426</v>
      </c>
      <c r="BG871">
        <v>1</v>
      </c>
      <c r="BH871" s="24">
        <v>45974.457077002313</v>
      </c>
      <c r="BI871" s="24">
        <v>45974.457077002313</v>
      </c>
      <c r="BJ871" s="24">
        <v>45978.368408136572</v>
      </c>
      <c r="BK871" s="24">
        <v>45978.368408136572</v>
      </c>
      <c r="BL871">
        <v>1</v>
      </c>
      <c r="BM871" s="24"/>
      <c r="BN871" s="24"/>
      <c r="BO871" s="24"/>
      <c r="BP871" s="24"/>
      <c r="BR871" s="24">
        <v>45985.412355972221</v>
      </c>
      <c r="BS871" s="24">
        <v>45985.412355972221</v>
      </c>
      <c r="BT871" s="24">
        <v>45985.412478287035</v>
      </c>
      <c r="BU871" s="24">
        <v>45985.412478287035</v>
      </c>
      <c r="BV871">
        <v>1</v>
      </c>
      <c r="BW871" s="24"/>
      <c r="BX871" s="24"/>
      <c r="BY871" s="24"/>
      <c r="BZ871" s="24"/>
      <c r="CB871" s="24"/>
      <c r="CC871" s="24"/>
      <c r="CE871" s="24">
        <v>46002.63492488426</v>
      </c>
      <c r="CF871" s="24">
        <v>46002.63492488426</v>
      </c>
      <c r="CG871">
        <v>1</v>
      </c>
      <c r="CH871" s="24"/>
      <c r="CI871" s="24"/>
      <c r="CJ871" s="24"/>
      <c r="CK871" s="24"/>
      <c r="DE871" s="24"/>
      <c r="DF871" s="24"/>
      <c r="DG871" s="24"/>
      <c r="DH871" s="24"/>
      <c r="DJ871" t="s">
        <v>149</v>
      </c>
      <c r="DK871" t="s">
        <v>149</v>
      </c>
      <c r="DM871">
        <v>29</v>
      </c>
      <c r="DN871">
        <v>25</v>
      </c>
      <c r="DQ871" t="s">
        <v>1001</v>
      </c>
      <c r="DR871" t="s">
        <v>149</v>
      </c>
      <c r="DS871" s="24">
        <v>46160.384426226854</v>
      </c>
    </row>
    <row r="872" spans="1:123" x14ac:dyDescent="0.3">
      <c r="A872" t="s">
        <v>1355</v>
      </c>
      <c r="D872" t="s">
        <v>225</v>
      </c>
      <c r="E872" s="24">
        <v>45971.485277777778</v>
      </c>
      <c r="G872" t="s">
        <v>90</v>
      </c>
      <c r="H872" t="s">
        <v>155</v>
      </c>
      <c r="I872" s="24"/>
      <c r="J872" s="24"/>
      <c r="K872" s="24"/>
      <c r="L872" s="24"/>
      <c r="N872" s="24"/>
      <c r="O872" s="24"/>
      <c r="P872" s="24"/>
      <c r="Q872" s="24"/>
      <c r="V872" s="24"/>
      <c r="W872" s="24"/>
      <c r="X872" s="24"/>
      <c r="Y872" s="24"/>
      <c r="AA872" s="24">
        <v>45979.478630879632</v>
      </c>
      <c r="AB872" s="24">
        <v>45979.478630879632</v>
      </c>
      <c r="AC872" s="24">
        <v>45980.539032581015</v>
      </c>
      <c r="AD872" s="24">
        <v>45980.539032581015</v>
      </c>
      <c r="AE872">
        <v>1</v>
      </c>
      <c r="AF872" s="24">
        <v>45980.539032581015</v>
      </c>
      <c r="AG872" s="24">
        <v>45980.539032581015</v>
      </c>
      <c r="AH872" s="24">
        <v>45981.428278055559</v>
      </c>
      <c r="AI872" s="24">
        <v>45981.428278055559</v>
      </c>
      <c r="AJ872">
        <v>1</v>
      </c>
      <c r="AK872" s="24">
        <v>45981.428278055559</v>
      </c>
      <c r="AL872" s="24">
        <v>45981.428278055559</v>
      </c>
      <c r="AM872" s="24">
        <v>45985.409080185185</v>
      </c>
      <c r="AN872" s="24">
        <v>45985.409080185185</v>
      </c>
      <c r="AO872">
        <v>1</v>
      </c>
      <c r="AP872" s="24"/>
      <c r="AQ872" s="24"/>
      <c r="AR872" s="24">
        <v>45974.458606469911</v>
      </c>
      <c r="AS872" s="24">
        <v>45974.458606469911</v>
      </c>
      <c r="AX872" s="24"/>
      <c r="AY872" s="24"/>
      <c r="AZ872" s="24"/>
      <c r="BA872" s="24"/>
      <c r="BC872" s="24">
        <v>45985.410149918978</v>
      </c>
      <c r="BD872" s="24">
        <v>45985.410149918978</v>
      </c>
      <c r="BE872" s="24">
        <v>46002.634925902777</v>
      </c>
      <c r="BF872" s="24">
        <v>46002.634925902777</v>
      </c>
      <c r="BG872">
        <v>1</v>
      </c>
      <c r="BH872" s="24">
        <v>45974.458606469911</v>
      </c>
      <c r="BI872" s="24">
        <v>45974.458606469911</v>
      </c>
      <c r="BJ872" s="24">
        <v>45979.478630879632</v>
      </c>
      <c r="BK872" s="24">
        <v>45979.478630879632</v>
      </c>
      <c r="BL872">
        <v>1</v>
      </c>
      <c r="BM872" s="24"/>
      <c r="BN872" s="24"/>
      <c r="BO872" s="24"/>
      <c r="BP872" s="24"/>
      <c r="BR872" s="24">
        <v>45985.409080185185</v>
      </c>
      <c r="BS872" s="24">
        <v>45985.409080185185</v>
      </c>
      <c r="BT872" s="24">
        <v>45985.410149918978</v>
      </c>
      <c r="BU872" s="24">
        <v>45985.410149918978</v>
      </c>
      <c r="BV872">
        <v>1</v>
      </c>
      <c r="BW872" s="24"/>
      <c r="BX872" s="24"/>
      <c r="BY872" s="24"/>
      <c r="BZ872" s="24"/>
      <c r="CB872" s="24"/>
      <c r="CC872" s="24"/>
      <c r="CE872" s="24">
        <v>46002.634925902777</v>
      </c>
      <c r="CF872" s="24">
        <v>46002.634925902777</v>
      </c>
      <c r="CG872">
        <v>1</v>
      </c>
      <c r="CH872" s="24"/>
      <c r="CI872" s="24"/>
      <c r="CJ872" s="24"/>
      <c r="CK872" s="24"/>
      <c r="DE872" s="24"/>
      <c r="DF872" s="24"/>
      <c r="DG872" s="24"/>
      <c r="DH872" s="24"/>
      <c r="DJ872" t="s">
        <v>149</v>
      </c>
      <c r="DK872" t="s">
        <v>149</v>
      </c>
      <c r="DM872">
        <v>29</v>
      </c>
      <c r="DN872">
        <v>24</v>
      </c>
      <c r="DQ872" t="s">
        <v>1001</v>
      </c>
      <c r="DR872" t="s">
        <v>149</v>
      </c>
      <c r="DS872" s="24">
        <v>46160.384426226854</v>
      </c>
    </row>
    <row r="873" spans="1:123" x14ac:dyDescent="0.3">
      <c r="A873" t="s">
        <v>1356</v>
      </c>
      <c r="D873" t="s">
        <v>225</v>
      </c>
      <c r="E873" s="24">
        <v>45971.474618055552</v>
      </c>
      <c r="G873" t="s">
        <v>90</v>
      </c>
      <c r="H873" t="s">
        <v>155</v>
      </c>
      <c r="I873" s="24"/>
      <c r="J873" s="24"/>
      <c r="K873" s="24"/>
      <c r="L873" s="24"/>
      <c r="N873" s="24"/>
      <c r="O873" s="24"/>
      <c r="P873" s="24"/>
      <c r="Q873" s="24"/>
      <c r="V873" s="24"/>
      <c r="W873" s="24"/>
      <c r="X873" s="24"/>
      <c r="Y873" s="24"/>
      <c r="AA873" s="24">
        <v>45992.367878437501</v>
      </c>
      <c r="AB873" s="24">
        <v>45992.367878437501</v>
      </c>
      <c r="AC873" s="24">
        <v>45992.432821736111</v>
      </c>
      <c r="AD873" s="24">
        <v>45992.432821736111</v>
      </c>
      <c r="AE873">
        <v>1</v>
      </c>
      <c r="AF873" s="24">
        <v>45992.432821736111</v>
      </c>
      <c r="AG873" s="24">
        <v>45992.432821736111</v>
      </c>
      <c r="AH873" s="24">
        <v>45993.442124340276</v>
      </c>
      <c r="AI873" s="24">
        <v>45993.442124340276</v>
      </c>
      <c r="AJ873">
        <v>1</v>
      </c>
      <c r="AK873" s="24">
        <v>45993.442124340276</v>
      </c>
      <c r="AL873" s="24">
        <v>45993.442124340276</v>
      </c>
      <c r="AM873" s="24">
        <v>45994.336517592594</v>
      </c>
      <c r="AN873" s="24">
        <v>45994.336517592594</v>
      </c>
      <c r="AO873">
        <v>1</v>
      </c>
      <c r="AP873" s="24"/>
      <c r="AQ873" s="24"/>
      <c r="AR873" s="24">
        <v>45974.460019074075</v>
      </c>
      <c r="AS873" s="24">
        <v>45974.460019074075</v>
      </c>
      <c r="AX873" s="24"/>
      <c r="AY873" s="24"/>
      <c r="AZ873" s="24"/>
      <c r="BA873" s="24"/>
      <c r="BC873" s="24">
        <v>45994.336632442129</v>
      </c>
      <c r="BD873" s="24">
        <v>45994.336632442129</v>
      </c>
      <c r="BE873" s="24">
        <v>46044.369980243056</v>
      </c>
      <c r="BF873" s="24">
        <v>46044.369980243056</v>
      </c>
      <c r="BG873">
        <v>1</v>
      </c>
      <c r="BH873" s="24">
        <v>45974.460019074075</v>
      </c>
      <c r="BI873" s="24">
        <v>45974.460019074075</v>
      </c>
      <c r="BJ873" s="24">
        <v>45992.367878437501</v>
      </c>
      <c r="BK873" s="24">
        <v>45992.367878437501</v>
      </c>
      <c r="BL873">
        <v>1</v>
      </c>
      <c r="BM873" s="24"/>
      <c r="BN873" s="24"/>
      <c r="BO873" s="24"/>
      <c r="BP873" s="24"/>
      <c r="BR873" s="24">
        <v>45994.336517592594</v>
      </c>
      <c r="BS873" s="24">
        <v>45994.336517592594</v>
      </c>
      <c r="BT873" s="24">
        <v>45994.336632442129</v>
      </c>
      <c r="BU873" s="24">
        <v>45994.336632442129</v>
      </c>
      <c r="BV873">
        <v>1</v>
      </c>
      <c r="BW873" s="24"/>
      <c r="BX873" s="24"/>
      <c r="BY873" s="24"/>
      <c r="BZ873" s="24"/>
      <c r="CB873" s="24"/>
      <c r="CC873" s="24"/>
      <c r="CE873" s="24">
        <v>46044.369980243056</v>
      </c>
      <c r="CF873" s="24">
        <v>46044.369980243056</v>
      </c>
      <c r="CG873">
        <v>1</v>
      </c>
      <c r="CH873" s="24"/>
      <c r="CI873" s="24"/>
      <c r="CJ873" s="24"/>
      <c r="CK873" s="24"/>
      <c r="DE873" s="24"/>
      <c r="DF873" s="24"/>
      <c r="DG873" s="24"/>
      <c r="DH873" s="24"/>
      <c r="DJ873" t="s">
        <v>149</v>
      </c>
      <c r="DK873" t="s">
        <v>149</v>
      </c>
      <c r="DM873">
        <v>70</v>
      </c>
      <c r="DN873">
        <v>53</v>
      </c>
      <c r="DQ873" t="s">
        <v>1001</v>
      </c>
      <c r="DR873" t="s">
        <v>149</v>
      </c>
      <c r="DS873" s="24">
        <v>46160.384426226854</v>
      </c>
    </row>
    <row r="874" spans="1:123" x14ac:dyDescent="0.3">
      <c r="A874" t="s">
        <v>1357</v>
      </c>
      <c r="D874" t="s">
        <v>225</v>
      </c>
      <c r="E874" s="24">
        <v>45971.474363425928</v>
      </c>
      <c r="G874" t="s">
        <v>90</v>
      </c>
      <c r="H874" t="s">
        <v>155</v>
      </c>
      <c r="I874" s="24"/>
      <c r="J874" s="24"/>
      <c r="K874" s="24"/>
      <c r="L874" s="24"/>
      <c r="N874" s="24"/>
      <c r="O874" s="24"/>
      <c r="P874" s="24"/>
      <c r="Q874" s="24"/>
      <c r="V874" s="24"/>
      <c r="W874" s="24"/>
      <c r="X874" s="24"/>
      <c r="Y874" s="24"/>
      <c r="AA874" s="24">
        <v>45994.374941458336</v>
      </c>
      <c r="AB874" s="24">
        <v>45992.332557037036</v>
      </c>
      <c r="AC874" s="24">
        <v>45992.367828182869</v>
      </c>
      <c r="AD874" s="24">
        <v>45994.425760162034</v>
      </c>
      <c r="AE874">
        <v>2</v>
      </c>
      <c r="AF874" s="24">
        <v>45994.425760162034</v>
      </c>
      <c r="AG874" s="24">
        <v>45992.367828182869</v>
      </c>
      <c r="AH874" s="24">
        <v>45994.374941458336</v>
      </c>
      <c r="AI874" s="24">
        <v>45994.456190937497</v>
      </c>
      <c r="AJ874">
        <v>2</v>
      </c>
      <c r="AK874" s="24">
        <v>45994.456190937497</v>
      </c>
      <c r="AL874" s="24">
        <v>45994.456190937497</v>
      </c>
      <c r="AM874" s="24">
        <v>45995.579934837966</v>
      </c>
      <c r="AN874" s="24">
        <v>45995.579934837966</v>
      </c>
      <c r="AO874">
        <v>1</v>
      </c>
      <c r="AP874" s="24"/>
      <c r="AQ874" s="24"/>
      <c r="AR874" s="24">
        <v>45974.459383460649</v>
      </c>
      <c r="AS874" s="24">
        <v>45974.459383460649</v>
      </c>
      <c r="AX874" s="24"/>
      <c r="AY874" s="24"/>
      <c r="AZ874" s="24"/>
      <c r="BA874" s="24"/>
      <c r="BC874" s="24">
        <v>45995.580202546298</v>
      </c>
      <c r="BD874" s="24">
        <v>45995.580202546298</v>
      </c>
      <c r="BE874" s="24">
        <v>46002.634925891201</v>
      </c>
      <c r="BF874" s="24">
        <v>46002.634925891201</v>
      </c>
      <c r="BG874">
        <v>1</v>
      </c>
      <c r="BH874" s="24">
        <v>45974.459383460649</v>
      </c>
      <c r="BI874" s="24">
        <v>45974.459383460649</v>
      </c>
      <c r="BJ874" s="24">
        <v>45992.332557037036</v>
      </c>
      <c r="BK874" s="24">
        <v>45992.332557037036</v>
      </c>
      <c r="BL874">
        <v>1</v>
      </c>
      <c r="BM874" s="24"/>
      <c r="BN874" s="24"/>
      <c r="BO874" s="24"/>
      <c r="BP874" s="24"/>
      <c r="BR874" s="24">
        <v>45995.579934837966</v>
      </c>
      <c r="BS874" s="24">
        <v>45995.579934837966</v>
      </c>
      <c r="BT874" s="24">
        <v>45995.580202546298</v>
      </c>
      <c r="BU874" s="24">
        <v>45995.580202546298</v>
      </c>
      <c r="BV874">
        <v>1</v>
      </c>
      <c r="BW874" s="24"/>
      <c r="BX874" s="24"/>
      <c r="BY874" s="24"/>
      <c r="BZ874" s="24"/>
      <c r="CB874" s="24"/>
      <c r="CC874" s="24"/>
      <c r="CE874" s="24">
        <v>46002.634925891201</v>
      </c>
      <c r="CF874" s="24">
        <v>46002.634925891201</v>
      </c>
      <c r="CG874">
        <v>1</v>
      </c>
      <c r="CH874" s="24"/>
      <c r="CI874" s="24"/>
      <c r="CJ874" s="24"/>
      <c r="CK874" s="24"/>
      <c r="DE874" s="24"/>
      <c r="DF874" s="24"/>
      <c r="DG874" s="24"/>
      <c r="DH874" s="24"/>
      <c r="DJ874" t="s">
        <v>149</v>
      </c>
      <c r="DK874" t="s">
        <v>149</v>
      </c>
      <c r="DM874">
        <v>29</v>
      </c>
      <c r="DN874">
        <v>11</v>
      </c>
      <c r="DQ874" t="s">
        <v>1001</v>
      </c>
      <c r="DR874" t="s">
        <v>149</v>
      </c>
      <c r="DS874" s="24">
        <v>46160.384426226854</v>
      </c>
    </row>
    <row r="875" spans="1:123" x14ac:dyDescent="0.3">
      <c r="A875" t="s">
        <v>1358</v>
      </c>
      <c r="D875" t="s">
        <v>225</v>
      </c>
      <c r="E875" s="24">
        <v>45971.434560185182</v>
      </c>
      <c r="G875" t="s">
        <v>90</v>
      </c>
      <c r="H875" t="s">
        <v>155</v>
      </c>
      <c r="I875" s="24"/>
      <c r="J875" s="24"/>
      <c r="K875" s="24"/>
      <c r="L875" s="24"/>
      <c r="N875" s="24"/>
      <c r="O875" s="24"/>
      <c r="P875" s="24"/>
      <c r="Q875" s="24"/>
      <c r="V875" s="24"/>
      <c r="W875" s="24"/>
      <c r="X875" s="24"/>
      <c r="Y875" s="24"/>
      <c r="AA875" s="24">
        <v>45971.435986643519</v>
      </c>
      <c r="AB875" s="24">
        <v>45971.435986643519</v>
      </c>
      <c r="AC875" s="24">
        <v>45972.283167905094</v>
      </c>
      <c r="AD875" s="24">
        <v>45972.283167905094</v>
      </c>
      <c r="AE875">
        <v>1</v>
      </c>
      <c r="AF875" s="24">
        <v>45972.283167905094</v>
      </c>
      <c r="AG875" s="24">
        <v>45972.283167905094</v>
      </c>
      <c r="AH875" s="24">
        <v>45972.43761241898</v>
      </c>
      <c r="AI875" s="24">
        <v>45972.43761241898</v>
      </c>
      <c r="AJ875">
        <v>1</v>
      </c>
      <c r="AK875" s="24">
        <v>45972.43761241898</v>
      </c>
      <c r="AL875" s="24">
        <v>45972.43761241898</v>
      </c>
      <c r="AM875" s="24">
        <v>45972.438914814818</v>
      </c>
      <c r="AN875" s="24">
        <v>45972.438914814818</v>
      </c>
      <c r="AO875">
        <v>1</v>
      </c>
      <c r="AP875" s="24"/>
      <c r="AQ875" s="24"/>
      <c r="AR875" s="24">
        <v>45971.435891400462</v>
      </c>
      <c r="AS875" s="24">
        <v>45971.435891400462</v>
      </c>
      <c r="AX875" s="24"/>
      <c r="AY875" s="24"/>
      <c r="AZ875" s="24"/>
      <c r="BA875" s="24"/>
      <c r="BC875" s="24">
        <v>45972.438980023151</v>
      </c>
      <c r="BD875" s="24">
        <v>45972.438980023151</v>
      </c>
      <c r="BE875" s="24">
        <v>45985.40987265046</v>
      </c>
      <c r="BF875" s="24">
        <v>45985.40987265046</v>
      </c>
      <c r="BG875">
        <v>1</v>
      </c>
      <c r="BH875" s="24">
        <v>45971.435891400462</v>
      </c>
      <c r="BI875" s="24">
        <v>45971.435891400462</v>
      </c>
      <c r="BJ875" s="24">
        <v>45971.435986643519</v>
      </c>
      <c r="BK875" s="24">
        <v>45971.435986643519</v>
      </c>
      <c r="BL875">
        <v>1</v>
      </c>
      <c r="BM875" s="24"/>
      <c r="BN875" s="24"/>
      <c r="BO875" s="24"/>
      <c r="BP875" s="24"/>
      <c r="BR875" s="24">
        <v>45972.438914814818</v>
      </c>
      <c r="BS875" s="24">
        <v>45972.438914814818</v>
      </c>
      <c r="BT875" s="24">
        <v>45972.438980023151</v>
      </c>
      <c r="BU875" s="24">
        <v>45972.438980023151</v>
      </c>
      <c r="BV875">
        <v>1</v>
      </c>
      <c r="BW875" s="24"/>
      <c r="BX875" s="24"/>
      <c r="BY875" s="24"/>
      <c r="BZ875" s="24"/>
      <c r="CB875" s="24"/>
      <c r="CC875" s="24"/>
      <c r="CE875" s="24">
        <v>45985.40987265046</v>
      </c>
      <c r="CF875" s="24">
        <v>45985.40987265046</v>
      </c>
      <c r="CG875">
        <v>1</v>
      </c>
      <c r="CH875" s="24"/>
      <c r="CI875" s="24"/>
      <c r="CJ875" s="24"/>
      <c r="CK875" s="24"/>
      <c r="DE875" s="24"/>
      <c r="DF875" s="24"/>
      <c r="DG875" s="24"/>
      <c r="DH875" s="24"/>
      <c r="DJ875" t="s">
        <v>149</v>
      </c>
      <c r="DK875" t="s">
        <v>149</v>
      </c>
      <c r="DM875">
        <v>14</v>
      </c>
      <c r="DN875">
        <v>14</v>
      </c>
      <c r="DQ875" t="s">
        <v>1001</v>
      </c>
      <c r="DR875" t="s">
        <v>149</v>
      </c>
      <c r="DS875" s="24">
        <v>46160.384426226854</v>
      </c>
    </row>
    <row r="876" spans="1:123" x14ac:dyDescent="0.3">
      <c r="A876" t="s">
        <v>1359</v>
      </c>
      <c r="D876" t="s">
        <v>223</v>
      </c>
      <c r="E876" s="24">
        <v>45966.446597222224</v>
      </c>
      <c r="G876" t="s">
        <v>90</v>
      </c>
      <c r="H876" t="s">
        <v>155</v>
      </c>
      <c r="I876" s="24"/>
      <c r="J876" s="24"/>
      <c r="K876" s="24"/>
      <c r="L876" s="24"/>
      <c r="N876" s="24"/>
      <c r="O876" s="24"/>
      <c r="P876" s="24"/>
      <c r="Q876" s="24"/>
      <c r="V876" s="24"/>
      <c r="W876" s="24"/>
      <c r="X876" s="24"/>
      <c r="Y876" s="24"/>
      <c r="AA876" s="24">
        <v>46037.448637743058</v>
      </c>
      <c r="AB876" s="24">
        <v>46037.448637743058</v>
      </c>
      <c r="AC876" s="24">
        <v>46038.359289918983</v>
      </c>
      <c r="AD876" s="24">
        <v>46038.359289918983</v>
      </c>
      <c r="AE876">
        <v>1</v>
      </c>
      <c r="AF876" s="24">
        <v>46038.359289918983</v>
      </c>
      <c r="AG876" s="24">
        <v>46038.359289918983</v>
      </c>
      <c r="AH876" s="24">
        <v>46042.692619988426</v>
      </c>
      <c r="AI876" s="24">
        <v>46042.692619988426</v>
      </c>
      <c r="AJ876">
        <v>1</v>
      </c>
      <c r="AK876" s="24"/>
      <c r="AL876" s="24"/>
      <c r="AM876" s="24"/>
      <c r="AN876" s="24"/>
      <c r="AP876" s="24"/>
      <c r="AQ876" s="24"/>
      <c r="AR876" s="24">
        <v>46002.436065624999</v>
      </c>
      <c r="AS876" s="24">
        <v>46002.436065624999</v>
      </c>
      <c r="AX876" s="24"/>
      <c r="AY876" s="24"/>
      <c r="AZ876" s="24"/>
      <c r="BA876" s="24"/>
      <c r="BC876" s="24"/>
      <c r="BD876" s="24"/>
      <c r="BE876" s="24"/>
      <c r="BF876" s="24"/>
      <c r="BH876" s="24">
        <v>46002.436065624999</v>
      </c>
      <c r="BI876" s="24">
        <v>46002.436065624999</v>
      </c>
      <c r="BJ876" s="24">
        <v>46037.448637743058</v>
      </c>
      <c r="BK876" s="24">
        <v>46037.448637743058</v>
      </c>
      <c r="BL876">
        <v>1</v>
      </c>
      <c r="BM876" s="24"/>
      <c r="BN876" s="24"/>
      <c r="BO876" s="24"/>
      <c r="BP876" s="24"/>
      <c r="BR876" s="24"/>
      <c r="BS876" s="24"/>
      <c r="BT876" s="24"/>
      <c r="BU876" s="24"/>
      <c r="BW876" s="24"/>
      <c r="BX876" s="24"/>
      <c r="BY876" s="24"/>
      <c r="BZ876" s="24"/>
      <c r="CB876" s="24"/>
      <c r="CC876" s="24"/>
      <c r="CE876" s="24">
        <v>46042.692619988426</v>
      </c>
      <c r="CF876" s="24">
        <v>46042.692619988426</v>
      </c>
      <c r="CG876">
        <v>1</v>
      </c>
      <c r="CH876" s="24"/>
      <c r="CI876" s="24"/>
      <c r="CJ876" s="24"/>
      <c r="CK876" s="24"/>
      <c r="DE876" s="24"/>
      <c r="DF876" s="24"/>
      <c r="DG876" s="24"/>
      <c r="DH876" s="24"/>
      <c r="DJ876" t="s">
        <v>149</v>
      </c>
      <c r="DK876" t="s">
        <v>149</v>
      </c>
      <c r="DM876">
        <v>41</v>
      </c>
      <c r="DN876">
        <v>6</v>
      </c>
      <c r="DQ876" t="s">
        <v>1001</v>
      </c>
      <c r="DR876" t="s">
        <v>149</v>
      </c>
      <c r="DS876" s="24">
        <v>46160.384426226854</v>
      </c>
    </row>
    <row r="877" spans="1:123" x14ac:dyDescent="0.3">
      <c r="A877" t="s">
        <v>1360</v>
      </c>
      <c r="D877" t="s">
        <v>223</v>
      </c>
      <c r="E877" s="24">
        <v>45966.443981481483</v>
      </c>
      <c r="G877" t="s">
        <v>90</v>
      </c>
      <c r="H877" t="s">
        <v>155</v>
      </c>
      <c r="I877" s="24"/>
      <c r="J877" s="24"/>
      <c r="K877" s="24"/>
      <c r="L877" s="24"/>
      <c r="N877" s="24"/>
      <c r="O877" s="24"/>
      <c r="P877" s="24"/>
      <c r="Q877" s="24"/>
      <c r="V877" s="24"/>
      <c r="W877" s="24"/>
      <c r="X877" s="24"/>
      <c r="Y877" s="24"/>
      <c r="AA877" s="24">
        <v>45994.495838402778</v>
      </c>
      <c r="AB877" s="24">
        <v>45994.495838402778</v>
      </c>
      <c r="AC877" s="24">
        <v>46001.397545370368</v>
      </c>
      <c r="AD877" s="24">
        <v>46001.397545370368</v>
      </c>
      <c r="AE877">
        <v>1</v>
      </c>
      <c r="AF877" s="24">
        <v>46001.397545370368</v>
      </c>
      <c r="AG877" s="24">
        <v>46001.397545370368</v>
      </c>
      <c r="AH877" s="24">
        <v>46001.397606724538</v>
      </c>
      <c r="AI877" s="24">
        <v>46001.397606724538</v>
      </c>
      <c r="AJ877">
        <v>1</v>
      </c>
      <c r="AK877" s="24"/>
      <c r="AL877" s="24"/>
      <c r="AM877" s="24"/>
      <c r="AN877" s="24"/>
      <c r="AP877" s="24"/>
      <c r="AQ877" s="24"/>
      <c r="AR877" s="24">
        <v>45974.458391481479</v>
      </c>
      <c r="AS877" s="24">
        <v>45974.458391481479</v>
      </c>
      <c r="AX877" s="24"/>
      <c r="AY877" s="24"/>
      <c r="AZ877" s="24"/>
      <c r="BA877" s="24"/>
      <c r="BC877" s="24"/>
      <c r="BD877" s="24"/>
      <c r="BE877" s="24"/>
      <c r="BF877" s="24"/>
      <c r="BH877" s="24">
        <v>45974.458391481479</v>
      </c>
      <c r="BI877" s="24">
        <v>45974.458391481479</v>
      </c>
      <c r="BJ877" s="24">
        <v>45994.495838402778</v>
      </c>
      <c r="BK877" s="24">
        <v>45994.495838402778</v>
      </c>
      <c r="BL877">
        <v>1</v>
      </c>
      <c r="BM877" s="24"/>
      <c r="BN877" s="24"/>
      <c r="BO877" s="24"/>
      <c r="BP877" s="24"/>
      <c r="BR877" s="24">
        <v>46001.397606724538</v>
      </c>
      <c r="BS877" s="24">
        <v>46001.397606724538</v>
      </c>
      <c r="BT877" s="24">
        <v>46001.397649826387</v>
      </c>
      <c r="BU877" s="24">
        <v>46001.397649826387</v>
      </c>
      <c r="BV877">
        <v>1</v>
      </c>
      <c r="BW877" s="24"/>
      <c r="BX877" s="24"/>
      <c r="BY877" s="24"/>
      <c r="BZ877" s="24"/>
      <c r="CB877" s="24"/>
      <c r="CC877" s="24"/>
      <c r="CE877" s="24">
        <v>46001.397649826387</v>
      </c>
      <c r="CF877" s="24">
        <v>46001.397649826387</v>
      </c>
      <c r="CG877">
        <v>1</v>
      </c>
      <c r="CH877" s="24"/>
      <c r="CI877" s="24"/>
      <c r="CJ877" s="24"/>
      <c r="CK877" s="24"/>
      <c r="DE877" s="24"/>
      <c r="DF877" s="24"/>
      <c r="DG877" s="24"/>
      <c r="DH877" s="24"/>
      <c r="DJ877" t="s">
        <v>149</v>
      </c>
      <c r="DK877" t="s">
        <v>149</v>
      </c>
      <c r="DM877">
        <v>27</v>
      </c>
      <c r="DN877">
        <v>7</v>
      </c>
      <c r="DQ877" t="s">
        <v>1001</v>
      </c>
      <c r="DR877" t="s">
        <v>149</v>
      </c>
      <c r="DS877" s="24">
        <v>46160.384426226854</v>
      </c>
    </row>
    <row r="878" spans="1:123" x14ac:dyDescent="0.3">
      <c r="A878" t="s">
        <v>1361</v>
      </c>
      <c r="D878" t="s">
        <v>223</v>
      </c>
      <c r="E878" s="24">
        <v>45966.402465277781</v>
      </c>
      <c r="G878" t="s">
        <v>90</v>
      </c>
      <c r="H878" t="s">
        <v>155</v>
      </c>
      <c r="I878" s="24"/>
      <c r="J878" s="24"/>
      <c r="K878" s="24"/>
      <c r="L878" s="24"/>
      <c r="N878" s="24"/>
      <c r="O878" s="24"/>
      <c r="P878" s="24"/>
      <c r="Q878" s="24"/>
      <c r="V878" s="24"/>
      <c r="W878" s="24"/>
      <c r="X878" s="24"/>
      <c r="Y878" s="24"/>
      <c r="AA878" s="24">
        <v>45968.44270673611</v>
      </c>
      <c r="AB878" s="24">
        <v>45968.44270673611</v>
      </c>
      <c r="AC878" s="24">
        <v>45968.475552928241</v>
      </c>
      <c r="AD878" s="24">
        <v>45968.475552928241</v>
      </c>
      <c r="AE878">
        <v>1</v>
      </c>
      <c r="AF878" s="24">
        <v>45968.475552928241</v>
      </c>
      <c r="AG878" s="24">
        <v>45968.475552928241</v>
      </c>
      <c r="AH878" s="24">
        <v>45968.4755874537</v>
      </c>
      <c r="AI878" s="24">
        <v>45968.4755874537</v>
      </c>
      <c r="AJ878">
        <v>1</v>
      </c>
      <c r="AK878" s="24">
        <v>45968.4755874537</v>
      </c>
      <c r="AL878" s="24">
        <v>45968.4755874537</v>
      </c>
      <c r="AM878" s="24">
        <v>45968.475622650461</v>
      </c>
      <c r="AN878" s="24">
        <v>45968.475622650461</v>
      </c>
      <c r="AO878">
        <v>1</v>
      </c>
      <c r="AP878" s="24"/>
      <c r="AQ878" s="24"/>
      <c r="AR878" s="24">
        <v>45966.408286423612</v>
      </c>
      <c r="AS878" s="24">
        <v>45966.408286423612</v>
      </c>
      <c r="AX878" s="24"/>
      <c r="AY878" s="24"/>
      <c r="AZ878" s="24"/>
      <c r="BA878" s="24"/>
      <c r="BC878" s="24"/>
      <c r="BD878" s="24"/>
      <c r="BE878" s="24"/>
      <c r="BF878" s="24"/>
      <c r="BH878" s="24">
        <v>45966.408286423612</v>
      </c>
      <c r="BI878" s="24">
        <v>45966.408286423612</v>
      </c>
      <c r="BJ878" s="24">
        <v>45968.44270673611</v>
      </c>
      <c r="BK878" s="24">
        <v>45968.44270673611</v>
      </c>
      <c r="BL878">
        <v>1</v>
      </c>
      <c r="BM878" s="24"/>
      <c r="BN878" s="24"/>
      <c r="BO878" s="24"/>
      <c r="BP878" s="24"/>
      <c r="BR878" s="24">
        <v>45968.475622650461</v>
      </c>
      <c r="BS878" s="24">
        <v>45968.475622650461</v>
      </c>
      <c r="BT878" s="24">
        <v>45973.396914710647</v>
      </c>
      <c r="BU878" s="24">
        <v>45973.396914710647</v>
      </c>
      <c r="BV878">
        <v>1</v>
      </c>
      <c r="BW878" s="24"/>
      <c r="BX878" s="24"/>
      <c r="BY878" s="24"/>
      <c r="BZ878" s="24"/>
      <c r="CB878" s="24"/>
      <c r="CC878" s="24"/>
      <c r="CE878" s="24">
        <v>45973.396914710647</v>
      </c>
      <c r="CF878" s="24">
        <v>45973.396914710647</v>
      </c>
      <c r="CG878">
        <v>1</v>
      </c>
      <c r="CH878" s="24"/>
      <c r="CI878" s="24"/>
      <c r="CJ878" s="24"/>
      <c r="CK878" s="24"/>
      <c r="DE878" s="24"/>
      <c r="DF878" s="24"/>
      <c r="DG878" s="24"/>
      <c r="DH878" s="24"/>
      <c r="DJ878" t="s">
        <v>149</v>
      </c>
      <c r="DK878" t="s">
        <v>149</v>
      </c>
      <c r="DM878">
        <v>7</v>
      </c>
      <c r="DN878">
        <v>5</v>
      </c>
      <c r="DQ878" t="s">
        <v>1001</v>
      </c>
      <c r="DR878" t="s">
        <v>149</v>
      </c>
      <c r="DS878" s="24">
        <v>46160.384426226854</v>
      </c>
    </row>
    <row r="879" spans="1:123" x14ac:dyDescent="0.3">
      <c r="A879" t="s">
        <v>1362</v>
      </c>
      <c r="D879" t="s">
        <v>223</v>
      </c>
      <c r="E879" s="24">
        <v>45966.398333333331</v>
      </c>
      <c r="G879" t="s">
        <v>90</v>
      </c>
      <c r="H879" t="s">
        <v>155</v>
      </c>
      <c r="I879" s="24"/>
      <c r="J879" s="24"/>
      <c r="K879" s="24"/>
      <c r="L879" s="24"/>
      <c r="N879" s="24"/>
      <c r="O879" s="24"/>
      <c r="P879" s="24"/>
      <c r="Q879" s="24"/>
      <c r="V879" s="24"/>
      <c r="W879" s="24"/>
      <c r="X879" s="24"/>
      <c r="Y879" s="24"/>
      <c r="AA879" s="24">
        <v>45966.400488298612</v>
      </c>
      <c r="AB879" s="24">
        <v>45966.400488298612</v>
      </c>
      <c r="AC879" s="24">
        <v>45966.400541643517</v>
      </c>
      <c r="AD879" s="24">
        <v>45966.400541643517</v>
      </c>
      <c r="AE879">
        <v>1</v>
      </c>
      <c r="AF879" s="24">
        <v>45966.400541643517</v>
      </c>
      <c r="AG879" s="24">
        <v>45966.400541643517</v>
      </c>
      <c r="AH879" s="24">
        <v>45966.400590902776</v>
      </c>
      <c r="AI879" s="24">
        <v>45966.400590902776</v>
      </c>
      <c r="AJ879">
        <v>1</v>
      </c>
      <c r="AK879" s="24"/>
      <c r="AL879" s="24"/>
      <c r="AM879" s="24"/>
      <c r="AN879" s="24"/>
      <c r="AP879" s="24"/>
      <c r="AQ879" s="24"/>
      <c r="AR879" s="24">
        <v>45966.400222476848</v>
      </c>
      <c r="AS879" s="24">
        <v>45966.400222476848</v>
      </c>
      <c r="AX879" s="24"/>
      <c r="AY879" s="24"/>
      <c r="AZ879" s="24"/>
      <c r="BA879" s="24"/>
      <c r="BC879" s="24"/>
      <c r="BD879" s="24"/>
      <c r="BE879" s="24"/>
      <c r="BF879" s="24"/>
      <c r="BH879" s="24">
        <v>45966.400222476848</v>
      </c>
      <c r="BI879" s="24">
        <v>45966.400222476848</v>
      </c>
      <c r="BJ879" s="24">
        <v>45966.400488298612</v>
      </c>
      <c r="BK879" s="24">
        <v>45966.400488298612</v>
      </c>
      <c r="BL879">
        <v>1</v>
      </c>
      <c r="BM879" s="24"/>
      <c r="BN879" s="24"/>
      <c r="BO879" s="24"/>
      <c r="BP879" s="24"/>
      <c r="BR879" s="24">
        <v>45966.400590902776</v>
      </c>
      <c r="BS879" s="24">
        <v>45966.400590902776</v>
      </c>
      <c r="BT879" s="24">
        <v>45966.440767395834</v>
      </c>
      <c r="BU879" s="24">
        <v>45966.440767395834</v>
      </c>
      <c r="BV879">
        <v>1</v>
      </c>
      <c r="BW879" s="24"/>
      <c r="BX879" s="24"/>
      <c r="BY879" s="24"/>
      <c r="BZ879" s="24"/>
      <c r="CB879" s="24"/>
      <c r="CC879" s="24"/>
      <c r="CE879" s="24">
        <v>45966.440767395834</v>
      </c>
      <c r="CF879" s="24">
        <v>45966.440767395834</v>
      </c>
      <c r="CG879">
        <v>1</v>
      </c>
      <c r="CH879" s="24"/>
      <c r="CI879" s="24"/>
      <c r="CJ879" s="24"/>
      <c r="CK879" s="24"/>
      <c r="DE879" s="24"/>
      <c r="DF879" s="24"/>
      <c r="DG879" s="24"/>
      <c r="DH879" s="24"/>
      <c r="DJ879" t="s">
        <v>149</v>
      </c>
      <c r="DK879" t="s">
        <v>149</v>
      </c>
      <c r="DM879">
        <v>1</v>
      </c>
      <c r="DN879">
        <v>1</v>
      </c>
      <c r="DQ879" t="s">
        <v>1001</v>
      </c>
      <c r="DR879" t="s">
        <v>149</v>
      </c>
      <c r="DS879" s="24">
        <v>46160.384426226854</v>
      </c>
    </row>
    <row r="880" spans="1:123" x14ac:dyDescent="0.3">
      <c r="A880" t="s">
        <v>1363</v>
      </c>
      <c r="D880" t="s">
        <v>225</v>
      </c>
      <c r="E880" s="24">
        <v>45959.48810185185</v>
      </c>
      <c r="G880" t="s">
        <v>90</v>
      </c>
      <c r="H880" t="s">
        <v>155</v>
      </c>
      <c r="I880" s="24"/>
      <c r="J880" s="24"/>
      <c r="K880" s="24"/>
      <c r="L880" s="24"/>
      <c r="N880" s="24"/>
      <c r="O880" s="24"/>
      <c r="P880" s="24"/>
      <c r="Q880" s="24"/>
      <c r="V880" s="24"/>
      <c r="W880" s="24"/>
      <c r="X880" s="24"/>
      <c r="Y880" s="24"/>
      <c r="AA880" s="24">
        <v>45959.958339652774</v>
      </c>
      <c r="AB880" s="24">
        <v>45959.958339652774</v>
      </c>
      <c r="AC880" s="24">
        <v>45966.440253761575</v>
      </c>
      <c r="AD880" s="24">
        <v>45966.440253761575</v>
      </c>
      <c r="AE880">
        <v>1</v>
      </c>
      <c r="AF880" s="24">
        <v>45966.440253761575</v>
      </c>
      <c r="AG880" s="24">
        <v>45966.440253761575</v>
      </c>
      <c r="AH880" s="24">
        <v>45966.62758364583</v>
      </c>
      <c r="AI880" s="24">
        <v>45966.62758364583</v>
      </c>
      <c r="AJ880">
        <v>1</v>
      </c>
      <c r="AK880" s="24">
        <v>45966.62758364583</v>
      </c>
      <c r="AL880" s="24">
        <v>45966.62758364583</v>
      </c>
      <c r="AM880" s="24">
        <v>45972.443196898152</v>
      </c>
      <c r="AN880" s="24">
        <v>45972.443196898152</v>
      </c>
      <c r="AO880">
        <v>1</v>
      </c>
      <c r="AP880" s="24"/>
      <c r="AQ880" s="24"/>
      <c r="AR880" s="24">
        <v>45959.958276238423</v>
      </c>
      <c r="AS880" s="24">
        <v>45959.958276238423</v>
      </c>
      <c r="AX880" s="24"/>
      <c r="AY880" s="24"/>
      <c r="AZ880" s="24"/>
      <c r="BA880" s="24"/>
      <c r="BC880" s="24">
        <v>45972.443317060184</v>
      </c>
      <c r="BD880" s="24">
        <v>45972.443317060184</v>
      </c>
      <c r="BE880" s="24">
        <v>46002.634929282409</v>
      </c>
      <c r="BF880" s="24">
        <v>46002.634929282409</v>
      </c>
      <c r="BG880">
        <v>1</v>
      </c>
      <c r="BH880" s="24">
        <v>45959.958276238423</v>
      </c>
      <c r="BI880" s="24">
        <v>45959.958276238423</v>
      </c>
      <c r="BJ880" s="24">
        <v>45959.958339652774</v>
      </c>
      <c r="BK880" s="24">
        <v>45959.958339652774</v>
      </c>
      <c r="BL880">
        <v>1</v>
      </c>
      <c r="BM880" s="24"/>
      <c r="BN880" s="24"/>
      <c r="BO880" s="24"/>
      <c r="BP880" s="24"/>
      <c r="BR880" s="24">
        <v>45972.443196898152</v>
      </c>
      <c r="BS880" s="24">
        <v>45972.443196898152</v>
      </c>
      <c r="BT880" s="24">
        <v>45972.443317060184</v>
      </c>
      <c r="BU880" s="24">
        <v>45972.443317060184</v>
      </c>
      <c r="BV880">
        <v>1</v>
      </c>
      <c r="BW880" s="24"/>
      <c r="BX880" s="24"/>
      <c r="BY880" s="24"/>
      <c r="BZ880" s="24"/>
      <c r="CB880" s="24"/>
      <c r="CC880" s="24"/>
      <c r="CE880" s="24">
        <v>46002.634929282409</v>
      </c>
      <c r="CF880" s="24">
        <v>46002.634929282409</v>
      </c>
      <c r="CG880">
        <v>1</v>
      </c>
      <c r="CH880" s="24"/>
      <c r="CI880" s="24"/>
      <c r="CJ880" s="24"/>
      <c r="CK880" s="24"/>
      <c r="DE880" s="24"/>
      <c r="DF880" s="24"/>
      <c r="DG880" s="24"/>
      <c r="DH880" s="24"/>
      <c r="DJ880" t="s">
        <v>149</v>
      </c>
      <c r="DK880" t="s">
        <v>149</v>
      </c>
      <c r="DM880">
        <v>43</v>
      </c>
      <c r="DN880">
        <v>43</v>
      </c>
      <c r="DQ880" t="s">
        <v>1001</v>
      </c>
      <c r="DR880" t="s">
        <v>149</v>
      </c>
      <c r="DS880" s="24">
        <v>46160.384426226854</v>
      </c>
    </row>
    <row r="881" spans="1:123" x14ac:dyDescent="0.3">
      <c r="A881" t="s">
        <v>1364</v>
      </c>
      <c r="D881" t="s">
        <v>223</v>
      </c>
      <c r="E881" s="24">
        <v>45959.476689814815</v>
      </c>
      <c r="G881" t="s">
        <v>90</v>
      </c>
      <c r="H881" t="s">
        <v>155</v>
      </c>
      <c r="I881" s="24"/>
      <c r="J881" s="24"/>
      <c r="K881" s="24"/>
      <c r="L881" s="24"/>
      <c r="N881" s="24"/>
      <c r="O881" s="24"/>
      <c r="P881" s="24"/>
      <c r="Q881" s="24"/>
      <c r="V881" s="24"/>
      <c r="W881" s="24"/>
      <c r="X881" s="24"/>
      <c r="Y881" s="24"/>
      <c r="AA881" s="24">
        <v>45961.445198159723</v>
      </c>
      <c r="AB881" s="24">
        <v>45961.445198159723</v>
      </c>
      <c r="AC881" s="24">
        <v>45973.398954247685</v>
      </c>
      <c r="AD881" s="24">
        <v>45973.398954247685</v>
      </c>
      <c r="AE881">
        <v>1</v>
      </c>
      <c r="AF881" s="24">
        <v>45973.398954247685</v>
      </c>
      <c r="AG881" s="24">
        <v>45973.398954247685</v>
      </c>
      <c r="AH881" s="24">
        <v>45973.399002199076</v>
      </c>
      <c r="AI881" s="24">
        <v>45973.399002199076</v>
      </c>
      <c r="AJ881">
        <v>1</v>
      </c>
      <c r="AK881" s="24"/>
      <c r="AL881" s="24"/>
      <c r="AM881" s="24"/>
      <c r="AN881" s="24"/>
      <c r="AP881" s="24"/>
      <c r="AQ881" s="24"/>
      <c r="AR881" s="24">
        <v>45960.446809027781</v>
      </c>
      <c r="AS881" s="24">
        <v>45960.446809027781</v>
      </c>
      <c r="AX881" s="24"/>
      <c r="AY881" s="24"/>
      <c r="AZ881" s="24"/>
      <c r="BA881" s="24"/>
      <c r="BC881" s="24"/>
      <c r="BD881" s="24"/>
      <c r="BE881" s="24"/>
      <c r="BF881" s="24"/>
      <c r="BH881" s="24">
        <v>45960.446809027781</v>
      </c>
      <c r="BI881" s="24">
        <v>45960.446809027781</v>
      </c>
      <c r="BJ881" s="24">
        <v>45961.445198159723</v>
      </c>
      <c r="BK881" s="24">
        <v>45961.445198159723</v>
      </c>
      <c r="BL881">
        <v>1</v>
      </c>
      <c r="BM881" s="24"/>
      <c r="BN881" s="24"/>
      <c r="BO881" s="24"/>
      <c r="BP881" s="24"/>
      <c r="BR881" s="24">
        <v>45973.399002199076</v>
      </c>
      <c r="BS881" s="24">
        <v>45973.399002199076</v>
      </c>
      <c r="BT881" s="24">
        <v>45973.399049467589</v>
      </c>
      <c r="BU881" s="24">
        <v>45973.399049467589</v>
      </c>
      <c r="BV881">
        <v>1</v>
      </c>
      <c r="BW881" s="24"/>
      <c r="BX881" s="24"/>
      <c r="BY881" s="24"/>
      <c r="BZ881" s="24"/>
      <c r="CB881" s="24"/>
      <c r="CC881" s="24"/>
      <c r="CE881" s="24">
        <v>45973.399049467589</v>
      </c>
      <c r="CF881" s="24">
        <v>45973.399049467589</v>
      </c>
      <c r="CG881">
        <v>1</v>
      </c>
      <c r="CH881" s="24"/>
      <c r="CI881" s="24"/>
      <c r="CJ881" s="24"/>
      <c r="CK881" s="24"/>
      <c r="DE881" s="24"/>
      <c r="DF881" s="24"/>
      <c r="DG881" s="24"/>
      <c r="DH881" s="24"/>
      <c r="DJ881" t="s">
        <v>149</v>
      </c>
      <c r="DK881" t="s">
        <v>149</v>
      </c>
      <c r="DM881">
        <v>13</v>
      </c>
      <c r="DN881">
        <v>12</v>
      </c>
      <c r="DQ881" t="s">
        <v>1001</v>
      </c>
      <c r="DR881" t="s">
        <v>149</v>
      </c>
      <c r="DS881" s="24">
        <v>46160.384426226854</v>
      </c>
    </row>
    <row r="882" spans="1:123" x14ac:dyDescent="0.3">
      <c r="A882" t="s">
        <v>1365</v>
      </c>
      <c r="D882" t="s">
        <v>225</v>
      </c>
      <c r="E882" s="24">
        <v>45959.475451388891</v>
      </c>
      <c r="G882" t="s">
        <v>90</v>
      </c>
      <c r="H882" t="s">
        <v>155</v>
      </c>
      <c r="I882" s="24"/>
      <c r="J882" s="24"/>
      <c r="K882" s="24"/>
      <c r="L882" s="24"/>
      <c r="N882" s="24"/>
      <c r="O882" s="24"/>
      <c r="P882" s="24"/>
      <c r="Q882" s="24"/>
      <c r="V882" s="24"/>
      <c r="W882" s="24"/>
      <c r="X882" s="24"/>
      <c r="Y882" s="24"/>
      <c r="AA882" s="24">
        <v>46059.408634027779</v>
      </c>
      <c r="AB882" s="24">
        <v>46059.408634027779</v>
      </c>
      <c r="AC882" s="24">
        <v>46073.628692638886</v>
      </c>
      <c r="AD882" s="24">
        <v>46073.628692638886</v>
      </c>
      <c r="AE882">
        <v>1</v>
      </c>
      <c r="AF882" s="24">
        <v>46073.628692638886</v>
      </c>
      <c r="AG882" s="24">
        <v>46073.628692638886</v>
      </c>
      <c r="AH882" s="24">
        <v>46076.926485393516</v>
      </c>
      <c r="AI882" s="24">
        <v>46076.926485393516</v>
      </c>
      <c r="AJ882">
        <v>1</v>
      </c>
      <c r="AK882" s="24">
        <v>46076.926485393516</v>
      </c>
      <c r="AL882" s="24">
        <v>46076.926485393516</v>
      </c>
      <c r="AM882" s="24">
        <v>46085.442722372682</v>
      </c>
      <c r="AN882" s="24">
        <v>46085.442722372682</v>
      </c>
      <c r="AO882">
        <v>1</v>
      </c>
      <c r="AP882" s="24"/>
      <c r="AQ882" s="24"/>
      <c r="AR882" s="24">
        <v>46029.590895972222</v>
      </c>
      <c r="AS882" s="24">
        <v>46029.590895972222</v>
      </c>
      <c r="AX882" s="24"/>
      <c r="AY882" s="24"/>
      <c r="AZ882" s="24"/>
      <c r="BA882" s="24"/>
      <c r="BC882" s="24">
        <v>46085.444267453706</v>
      </c>
      <c r="BD882" s="24">
        <v>46085.444267453706</v>
      </c>
      <c r="BE882" s="24">
        <v>46141.465484675929</v>
      </c>
      <c r="BF882" s="24">
        <v>46141.465484675929</v>
      </c>
      <c r="BG882">
        <v>1</v>
      </c>
      <c r="BH882" s="24">
        <v>46029.590895972222</v>
      </c>
      <c r="BI882" s="24">
        <v>46029.590895972222</v>
      </c>
      <c r="BJ882" s="24">
        <v>46059.408634027779</v>
      </c>
      <c r="BK882" s="24">
        <v>46059.408634027779</v>
      </c>
      <c r="BL882">
        <v>1</v>
      </c>
      <c r="BM882" s="24"/>
      <c r="BN882" s="24"/>
      <c r="BO882" s="24"/>
      <c r="BP882" s="24"/>
      <c r="BR882" s="24">
        <v>46085.442722372682</v>
      </c>
      <c r="BS882" s="24">
        <v>46085.442722372682</v>
      </c>
      <c r="BT882" s="24">
        <v>46085.444267453706</v>
      </c>
      <c r="BU882" s="24">
        <v>46085.444267453706</v>
      </c>
      <c r="BV882">
        <v>1</v>
      </c>
      <c r="BW882" s="24"/>
      <c r="BX882" s="24"/>
      <c r="BY882" s="24"/>
      <c r="BZ882" s="24"/>
      <c r="CB882" s="24"/>
      <c r="CC882" s="24"/>
      <c r="CE882" s="24">
        <v>46141.465484675929</v>
      </c>
      <c r="CF882" s="24">
        <v>46141.465484675929</v>
      </c>
      <c r="CG882">
        <v>1</v>
      </c>
      <c r="CH882" s="24"/>
      <c r="CI882" s="24"/>
      <c r="CJ882" s="24"/>
      <c r="CK882" s="24"/>
      <c r="DE882" s="24"/>
      <c r="DF882" s="24"/>
      <c r="DG882" s="24"/>
      <c r="DH882" s="24"/>
      <c r="DJ882" t="s">
        <v>149</v>
      </c>
      <c r="DK882" t="s">
        <v>149</v>
      </c>
      <c r="DM882">
        <v>112</v>
      </c>
      <c r="DN882">
        <v>83</v>
      </c>
      <c r="DQ882" t="s">
        <v>1001</v>
      </c>
      <c r="DR882" t="s">
        <v>149</v>
      </c>
      <c r="DS882" s="24">
        <v>46160.384426226854</v>
      </c>
    </row>
    <row r="883" spans="1:123" x14ac:dyDescent="0.3">
      <c r="A883" t="s">
        <v>1366</v>
      </c>
      <c r="D883" t="s">
        <v>225</v>
      </c>
      <c r="E883" s="24">
        <v>45959.47451388889</v>
      </c>
      <c r="G883" t="s">
        <v>90</v>
      </c>
      <c r="H883" t="s">
        <v>155</v>
      </c>
      <c r="I883" s="24"/>
      <c r="J883" s="24"/>
      <c r="K883" s="24"/>
      <c r="L883" s="24"/>
      <c r="N883" s="24"/>
      <c r="O883" s="24"/>
      <c r="P883" s="24"/>
      <c r="Q883" s="24"/>
      <c r="V883" s="24"/>
      <c r="W883" s="24"/>
      <c r="X883" s="24"/>
      <c r="Y883" s="24"/>
      <c r="AA883" s="24">
        <v>45961.29956634259</v>
      </c>
      <c r="AB883" s="24">
        <v>45961.29956634259</v>
      </c>
      <c r="AC883" s="24">
        <v>45961.306095601853</v>
      </c>
      <c r="AD883" s="24">
        <v>45961.306095601853</v>
      </c>
      <c r="AE883">
        <v>1</v>
      </c>
      <c r="AF883" s="24">
        <v>45961.306095601853</v>
      </c>
      <c r="AG883" s="24">
        <v>45961.306095601853</v>
      </c>
      <c r="AH883" s="24">
        <v>45961.306125138886</v>
      </c>
      <c r="AI883" s="24">
        <v>45961.306125138886</v>
      </c>
      <c r="AJ883">
        <v>1</v>
      </c>
      <c r="AK883" s="24">
        <v>45961.306125138886</v>
      </c>
      <c r="AL883" s="24">
        <v>45961.306125138886</v>
      </c>
      <c r="AM883" s="24">
        <v>45961.306167592593</v>
      </c>
      <c r="AN883" s="24">
        <v>45961.306167592593</v>
      </c>
      <c r="AO883">
        <v>1</v>
      </c>
      <c r="AP883" s="24"/>
      <c r="AQ883" s="24"/>
      <c r="AR883" s="24">
        <v>45960.447529166668</v>
      </c>
      <c r="AS883" s="24">
        <v>45960.447529166668</v>
      </c>
      <c r="AX883" s="24"/>
      <c r="AY883" s="24"/>
      <c r="AZ883" s="24"/>
      <c r="BA883" s="24"/>
      <c r="BC883" s="24">
        <v>45967.470953703705</v>
      </c>
      <c r="BD883" s="24">
        <v>45967.470953703705</v>
      </c>
      <c r="BE883" s="24">
        <v>45985.410094641207</v>
      </c>
      <c r="BF883" s="24">
        <v>45985.410094641207</v>
      </c>
      <c r="BG883">
        <v>1</v>
      </c>
      <c r="BH883" s="24">
        <v>45960.447529166668</v>
      </c>
      <c r="BI883" s="24">
        <v>45960.447529166668</v>
      </c>
      <c r="BJ883" s="24">
        <v>45961.29956634259</v>
      </c>
      <c r="BK883" s="24">
        <v>45961.29956634259</v>
      </c>
      <c r="BL883">
        <v>1</v>
      </c>
      <c r="BM883" s="24"/>
      <c r="BN883" s="24"/>
      <c r="BO883" s="24"/>
      <c r="BP883" s="24"/>
      <c r="BR883" s="24">
        <v>45961.306167592593</v>
      </c>
      <c r="BS883" s="24">
        <v>45961.306167592593</v>
      </c>
      <c r="BT883" s="24">
        <v>45967.470953703705</v>
      </c>
      <c r="BU883" s="24">
        <v>45967.470953703705</v>
      </c>
      <c r="BV883">
        <v>1</v>
      </c>
      <c r="BW883" s="24"/>
      <c r="BX883" s="24"/>
      <c r="BY883" s="24"/>
      <c r="BZ883" s="24"/>
      <c r="CB883" s="24"/>
      <c r="CC883" s="24"/>
      <c r="CE883" s="24">
        <v>45985.410094641207</v>
      </c>
      <c r="CF883" s="24">
        <v>45985.410094641207</v>
      </c>
      <c r="CG883">
        <v>1</v>
      </c>
      <c r="CH883" s="24"/>
      <c r="CI883" s="24"/>
      <c r="CJ883" s="24"/>
      <c r="CK883" s="24"/>
      <c r="DE883" s="24"/>
      <c r="DF883" s="24"/>
      <c r="DG883" s="24"/>
      <c r="DH883" s="24"/>
      <c r="DJ883" t="s">
        <v>149</v>
      </c>
      <c r="DK883" t="s">
        <v>149</v>
      </c>
      <c r="DM883">
        <v>25</v>
      </c>
      <c r="DN883">
        <v>25</v>
      </c>
      <c r="DQ883" t="s">
        <v>1001</v>
      </c>
      <c r="DR883" t="s">
        <v>149</v>
      </c>
      <c r="DS883" s="24">
        <v>46160.384426226854</v>
      </c>
    </row>
    <row r="884" spans="1:123" x14ac:dyDescent="0.3">
      <c r="A884" t="s">
        <v>1367</v>
      </c>
      <c r="D884" t="s">
        <v>223</v>
      </c>
      <c r="E884" s="24">
        <v>45959.454247685186</v>
      </c>
      <c r="G884" t="s">
        <v>90</v>
      </c>
      <c r="H884" t="s">
        <v>155</v>
      </c>
      <c r="I884" s="24"/>
      <c r="J884" s="24"/>
      <c r="K884" s="24"/>
      <c r="L884" s="24"/>
      <c r="N884" s="24"/>
      <c r="O884" s="24"/>
      <c r="P884" s="24"/>
      <c r="Q884" s="24"/>
      <c r="V884" s="24"/>
      <c r="W884" s="24"/>
      <c r="X884" s="24"/>
      <c r="Y884" s="24"/>
      <c r="AA884" s="24">
        <v>45973.458646643521</v>
      </c>
      <c r="AB884" s="24">
        <v>45973.458646643521</v>
      </c>
      <c r="AC884" s="24">
        <v>45973.458723391203</v>
      </c>
      <c r="AD884" s="24">
        <v>45973.458723391203</v>
      </c>
      <c r="AE884">
        <v>1</v>
      </c>
      <c r="AF884" s="24"/>
      <c r="AG884" s="24"/>
      <c r="AH884" s="24"/>
      <c r="AI884" s="24"/>
      <c r="AK884" s="24"/>
      <c r="AL884" s="24"/>
      <c r="AM884" s="24"/>
      <c r="AN884" s="24"/>
      <c r="AP884" s="24"/>
      <c r="AQ884" s="24"/>
      <c r="AR884" s="24">
        <v>45973.457910555553</v>
      </c>
      <c r="AS884" s="24">
        <v>45973.457910555553</v>
      </c>
      <c r="AX884" s="24"/>
      <c r="AY884" s="24"/>
      <c r="AZ884" s="24"/>
      <c r="BA884" s="24"/>
      <c r="BC884" s="24"/>
      <c r="BD884" s="24"/>
      <c r="BE884" s="24"/>
      <c r="BF884" s="24"/>
      <c r="BH884" s="24">
        <v>45973.457910555553</v>
      </c>
      <c r="BI884" s="24">
        <v>45973.457910555553</v>
      </c>
      <c r="BJ884" s="24">
        <v>45973.458646643521</v>
      </c>
      <c r="BK884" s="24">
        <v>45973.458646643521</v>
      </c>
      <c r="BL884">
        <v>1</v>
      </c>
      <c r="BM884" s="24"/>
      <c r="BN884" s="24"/>
      <c r="BO884" s="24"/>
      <c r="BP884" s="24"/>
      <c r="BR884" s="24"/>
      <c r="BS884" s="24"/>
      <c r="BT884" s="24"/>
      <c r="BU884" s="24"/>
      <c r="BW884" s="24"/>
      <c r="BX884" s="24"/>
      <c r="BY884" s="24"/>
      <c r="BZ884" s="24"/>
      <c r="CB884" s="24"/>
      <c r="CC884" s="24"/>
      <c r="CE884" s="24">
        <v>45973.458723391203</v>
      </c>
      <c r="CF884" s="24">
        <v>45973.458723391203</v>
      </c>
      <c r="CG884">
        <v>1</v>
      </c>
      <c r="CH884" s="24"/>
      <c r="CI884" s="24"/>
      <c r="CJ884" s="24"/>
      <c r="CK884" s="24"/>
      <c r="DE884" s="24"/>
      <c r="DF884" s="24"/>
      <c r="DG884" s="24"/>
      <c r="DH884" s="24"/>
      <c r="DJ884" t="s">
        <v>149</v>
      </c>
      <c r="DK884" t="s">
        <v>149</v>
      </c>
      <c r="DM884">
        <v>1</v>
      </c>
      <c r="DN884">
        <v>1</v>
      </c>
      <c r="DQ884" t="s">
        <v>1001</v>
      </c>
      <c r="DR884" t="s">
        <v>149</v>
      </c>
      <c r="DS884" s="24">
        <v>46160.384426226854</v>
      </c>
    </row>
    <row r="885" spans="1:123" x14ac:dyDescent="0.3">
      <c r="A885" t="s">
        <v>1368</v>
      </c>
      <c r="D885" t="s">
        <v>225</v>
      </c>
      <c r="E885" s="24">
        <v>45959.45417824074</v>
      </c>
      <c r="G885" t="s">
        <v>150</v>
      </c>
      <c r="H885" t="s">
        <v>155</v>
      </c>
      <c r="I885" s="24"/>
      <c r="J885" s="24"/>
      <c r="K885" s="24"/>
      <c r="L885" s="24"/>
      <c r="N885" s="24"/>
      <c r="O885" s="24"/>
      <c r="P885" s="24"/>
      <c r="Q885" s="24"/>
      <c r="V885" s="24"/>
      <c r="W885" s="24"/>
      <c r="X885" s="24"/>
      <c r="Y885" s="24"/>
      <c r="AA885" s="24"/>
      <c r="AB885" s="24"/>
      <c r="AC885" s="24"/>
      <c r="AD885" s="24"/>
      <c r="AF885" s="24"/>
      <c r="AG885" s="24"/>
      <c r="AH885" s="24"/>
      <c r="AI885" s="24"/>
      <c r="AK885" s="24"/>
      <c r="AL885" s="24"/>
      <c r="AM885" s="24"/>
      <c r="AN885" s="24"/>
      <c r="AP885" s="24"/>
      <c r="AQ885" s="24"/>
      <c r="AR885" s="24">
        <v>45971.484447256946</v>
      </c>
      <c r="AS885" s="24">
        <v>45971.484447256946</v>
      </c>
      <c r="AX885" s="24"/>
      <c r="AY885" s="24"/>
      <c r="AZ885" s="24"/>
      <c r="BA885" s="24"/>
      <c r="BC885" s="24"/>
      <c r="BD885" s="24"/>
      <c r="BE885" s="24"/>
      <c r="BF885" s="24"/>
      <c r="BH885" s="24"/>
      <c r="BI885" s="24"/>
      <c r="BJ885" s="24"/>
      <c r="BK885" s="24"/>
      <c r="BM885" s="24"/>
      <c r="BN885" s="24"/>
      <c r="BO885" s="24"/>
      <c r="BP885" s="24"/>
      <c r="BR885" s="24"/>
      <c r="BS885" s="24"/>
      <c r="BT885" s="24"/>
      <c r="BU885" s="24"/>
      <c r="BW885" s="24"/>
      <c r="BX885" s="24"/>
      <c r="BY885" s="24"/>
      <c r="BZ885" s="24"/>
      <c r="CB885" s="24">
        <v>45971.484447256946</v>
      </c>
      <c r="CC885" s="24">
        <v>45971.484447256946</v>
      </c>
      <c r="CD885">
        <v>1</v>
      </c>
      <c r="CE885" s="24"/>
      <c r="CF885" s="24"/>
      <c r="CH885" s="24"/>
      <c r="CI885" s="24"/>
      <c r="CJ885" s="24"/>
      <c r="CK885" s="24"/>
      <c r="DE885" s="24"/>
      <c r="DF885" s="24"/>
      <c r="DG885" s="24"/>
      <c r="DH885" s="24"/>
      <c r="DJ885" t="s">
        <v>149</v>
      </c>
      <c r="DK885" t="s">
        <v>149</v>
      </c>
      <c r="DQ885" t="s">
        <v>1001</v>
      </c>
      <c r="DR885" t="s">
        <v>149</v>
      </c>
      <c r="DS885" s="24">
        <v>46160.384426226854</v>
      </c>
    </row>
    <row r="886" spans="1:123" x14ac:dyDescent="0.3">
      <c r="A886" t="s">
        <v>1369</v>
      </c>
      <c r="D886" t="s">
        <v>225</v>
      </c>
      <c r="E886" s="24">
        <v>45957.474259259259</v>
      </c>
      <c r="G886" t="s">
        <v>90</v>
      </c>
      <c r="H886" t="s">
        <v>155</v>
      </c>
      <c r="I886" s="24"/>
      <c r="J886" s="24"/>
      <c r="K886" s="24"/>
      <c r="L886" s="24"/>
      <c r="N886" s="24"/>
      <c r="O886" s="24"/>
      <c r="P886" s="24"/>
      <c r="Q886" s="24"/>
      <c r="V886" s="24"/>
      <c r="W886" s="24"/>
      <c r="X886" s="24"/>
      <c r="Y886" s="24"/>
      <c r="AA886" s="24">
        <v>46006.707734374999</v>
      </c>
      <c r="AB886" s="24">
        <v>45966.451635185185</v>
      </c>
      <c r="AC886" s="24">
        <v>45978.366988506947</v>
      </c>
      <c r="AD886" s="24">
        <v>46008.445542002315</v>
      </c>
      <c r="AE886">
        <v>2</v>
      </c>
      <c r="AF886" s="24">
        <v>46008.445542002315</v>
      </c>
      <c r="AG886" s="24">
        <v>45978.366988506947</v>
      </c>
      <c r="AH886" s="24">
        <v>46006.707734374999</v>
      </c>
      <c r="AI886" s="24">
        <v>46028.667298969907</v>
      </c>
      <c r="AJ886">
        <v>2</v>
      </c>
      <c r="AK886" s="24">
        <v>46028.667298969907</v>
      </c>
      <c r="AL886" s="24">
        <v>46028.667298969907</v>
      </c>
      <c r="AM886" s="24">
        <v>46028.667345011578</v>
      </c>
      <c r="AN886" s="24">
        <v>46028.667345011578</v>
      </c>
      <c r="AO886">
        <v>1</v>
      </c>
      <c r="AP886" s="24"/>
      <c r="AQ886" s="24"/>
      <c r="AR886" s="24">
        <v>45960.447067800924</v>
      </c>
      <c r="AS886" s="24">
        <v>45960.447067800924</v>
      </c>
      <c r="AX886" s="24"/>
      <c r="AY886" s="24"/>
      <c r="AZ886" s="24"/>
      <c r="BA886" s="24"/>
      <c r="BC886" s="24">
        <v>46029.437748969911</v>
      </c>
      <c r="BD886" s="24">
        <v>46029.437748969911</v>
      </c>
      <c r="BE886" s="24">
        <v>46057.983988506945</v>
      </c>
      <c r="BF886" s="24">
        <v>46057.983988506945</v>
      </c>
      <c r="BG886">
        <v>1</v>
      </c>
      <c r="BH886" s="24">
        <v>45960.447067800924</v>
      </c>
      <c r="BI886" s="24">
        <v>45960.447067800924</v>
      </c>
      <c r="BJ886" s="24">
        <v>45966.451635185185</v>
      </c>
      <c r="BK886" s="24">
        <v>45966.451635185185</v>
      </c>
      <c r="BL886">
        <v>1</v>
      </c>
      <c r="BM886" s="24"/>
      <c r="BN886" s="24"/>
      <c r="BO886" s="24"/>
      <c r="BP886" s="24"/>
      <c r="BR886" s="24">
        <v>46028.667345011578</v>
      </c>
      <c r="BS886" s="24">
        <v>46028.667345011578</v>
      </c>
      <c r="BT886" s="24">
        <v>46029.437748969911</v>
      </c>
      <c r="BU886" s="24">
        <v>46029.437748969911</v>
      </c>
      <c r="BV886">
        <v>1</v>
      </c>
      <c r="BW886" s="24"/>
      <c r="BX886" s="24"/>
      <c r="BY886" s="24"/>
      <c r="BZ886" s="24"/>
      <c r="CB886" s="24"/>
      <c r="CC886" s="24"/>
      <c r="CE886" s="24">
        <v>46057.983988506945</v>
      </c>
      <c r="CF886" s="24">
        <v>46057.983988506945</v>
      </c>
      <c r="CG886">
        <v>1</v>
      </c>
      <c r="CH886" s="24"/>
      <c r="CI886" s="24"/>
      <c r="CJ886" s="24"/>
      <c r="CK886" s="24"/>
      <c r="DE886" s="24"/>
      <c r="DF886" s="24"/>
      <c r="DG886" s="24"/>
      <c r="DH886" s="24"/>
      <c r="DJ886" t="s">
        <v>149</v>
      </c>
      <c r="DK886" t="s">
        <v>149</v>
      </c>
      <c r="DM886">
        <v>98</v>
      </c>
      <c r="DN886">
        <v>92</v>
      </c>
      <c r="DQ886" t="s">
        <v>1001</v>
      </c>
      <c r="DR886" t="s">
        <v>149</v>
      </c>
      <c r="DS886" s="24">
        <v>46160.384426226854</v>
      </c>
    </row>
    <row r="887" spans="1:123" x14ac:dyDescent="0.3">
      <c r="A887" t="s">
        <v>1370</v>
      </c>
      <c r="D887" t="s">
        <v>225</v>
      </c>
      <c r="E887" s="24">
        <v>45945.600474537037</v>
      </c>
      <c r="G887" t="s">
        <v>90</v>
      </c>
      <c r="H887" t="s">
        <v>155</v>
      </c>
      <c r="I887" s="24"/>
      <c r="J887" s="24"/>
      <c r="K887" s="24"/>
      <c r="L887" s="24"/>
      <c r="N887" s="24"/>
      <c r="O887" s="24"/>
      <c r="P887" s="24"/>
      <c r="Q887" s="24"/>
      <c r="V887" s="24"/>
      <c r="W887" s="24"/>
      <c r="X887" s="24"/>
      <c r="Y887" s="24"/>
      <c r="AA887" s="24">
        <v>45946.449299456021</v>
      </c>
      <c r="AB887" s="24">
        <v>45946.449299456021</v>
      </c>
      <c r="AC887" s="24">
        <v>45947.62043357639</v>
      </c>
      <c r="AD887" s="24">
        <v>45947.62043357639</v>
      </c>
      <c r="AE887">
        <v>1</v>
      </c>
      <c r="AF887" s="24">
        <v>45947.62043357639</v>
      </c>
      <c r="AG887" s="24">
        <v>45947.62043357639</v>
      </c>
      <c r="AH887" s="24">
        <v>45951.463326469908</v>
      </c>
      <c r="AI887" s="24">
        <v>45951.463326469908</v>
      </c>
      <c r="AJ887">
        <v>1</v>
      </c>
      <c r="AK887" s="24">
        <v>45951.463326469908</v>
      </c>
      <c r="AL887" s="24">
        <v>45951.463326469908</v>
      </c>
      <c r="AM887" s="24">
        <v>45957.448994791666</v>
      </c>
      <c r="AN887" s="24">
        <v>45957.448994791666</v>
      </c>
      <c r="AO887">
        <v>1</v>
      </c>
      <c r="AP887" s="24"/>
      <c r="AQ887" s="24"/>
      <c r="AR887" s="24">
        <v>45945.605891701387</v>
      </c>
      <c r="AS887" s="24">
        <v>45945.605891701387</v>
      </c>
      <c r="AX887" s="24"/>
      <c r="AY887" s="24"/>
      <c r="AZ887" s="24"/>
      <c r="BA887" s="24"/>
      <c r="BC887" s="24">
        <v>45957.449133622686</v>
      </c>
      <c r="BD887" s="24">
        <v>45957.449133622686</v>
      </c>
      <c r="BE887" s="24">
        <v>45961.414392037041</v>
      </c>
      <c r="BF887" s="24">
        <v>45961.414392037041</v>
      </c>
      <c r="BG887">
        <v>1</v>
      </c>
      <c r="BH887" s="24">
        <v>45945.605891701387</v>
      </c>
      <c r="BI887" s="24">
        <v>45945.605891701387</v>
      </c>
      <c r="BJ887" s="24">
        <v>45946.449299456021</v>
      </c>
      <c r="BK887" s="24">
        <v>45946.449299456021</v>
      </c>
      <c r="BL887">
        <v>1</v>
      </c>
      <c r="BM887" s="24"/>
      <c r="BN887" s="24"/>
      <c r="BO887" s="24"/>
      <c r="BP887" s="24"/>
      <c r="BR887" s="24">
        <v>45957.448994791666</v>
      </c>
      <c r="BS887" s="24">
        <v>45957.448994791666</v>
      </c>
      <c r="BT887" s="24">
        <v>45957.449133622686</v>
      </c>
      <c r="BU887" s="24">
        <v>45957.449133622686</v>
      </c>
      <c r="BV887">
        <v>1</v>
      </c>
      <c r="BW887" s="24"/>
      <c r="BX887" s="24"/>
      <c r="BY887" s="24"/>
      <c r="BZ887" s="24"/>
      <c r="CB887" s="24"/>
      <c r="CC887" s="24"/>
      <c r="CE887" s="24">
        <v>45961.414392037041</v>
      </c>
      <c r="CF887" s="24">
        <v>45961.414392037041</v>
      </c>
      <c r="CG887">
        <v>1</v>
      </c>
      <c r="CH887" s="24"/>
      <c r="CI887" s="24"/>
      <c r="CJ887" s="24"/>
      <c r="CK887" s="24"/>
      <c r="DE887" s="24"/>
      <c r="DF887" s="24"/>
      <c r="DG887" s="24"/>
      <c r="DH887" s="24"/>
      <c r="DJ887" t="s">
        <v>149</v>
      </c>
      <c r="DK887" t="s">
        <v>149</v>
      </c>
      <c r="DM887">
        <v>16</v>
      </c>
      <c r="DN887">
        <v>15</v>
      </c>
      <c r="DQ887" t="s">
        <v>1001</v>
      </c>
      <c r="DR887" t="s">
        <v>149</v>
      </c>
      <c r="DS887" s="24">
        <v>46160.384426226854</v>
      </c>
    </row>
    <row r="888" spans="1:123" x14ac:dyDescent="0.3">
      <c r="A888" t="s">
        <v>1371</v>
      </c>
      <c r="D888" t="s">
        <v>225</v>
      </c>
      <c r="E888" s="24">
        <v>45945.588020833333</v>
      </c>
      <c r="G888" t="s">
        <v>90</v>
      </c>
      <c r="H888" t="s">
        <v>155</v>
      </c>
      <c r="I888" s="24"/>
      <c r="J888" s="24"/>
      <c r="K888" s="24"/>
      <c r="L888" s="24"/>
      <c r="N888" s="24"/>
      <c r="O888" s="24"/>
      <c r="P888" s="24"/>
      <c r="Q888" s="24"/>
      <c r="V888" s="24"/>
      <c r="W888" s="24"/>
      <c r="X888" s="24"/>
      <c r="Y888" s="24"/>
      <c r="AA888" s="24">
        <v>45957.309494421293</v>
      </c>
      <c r="AB888" s="24">
        <v>45957.309494421293</v>
      </c>
      <c r="AC888" s="24">
        <v>45959.465051562504</v>
      </c>
      <c r="AD888" s="24">
        <v>45959.465051562504</v>
      </c>
      <c r="AE888">
        <v>1</v>
      </c>
      <c r="AF888" s="24">
        <v>45959.465051562504</v>
      </c>
      <c r="AG888" s="24">
        <v>45959.465051562504</v>
      </c>
      <c r="AH888" s="24">
        <v>45959.465676284723</v>
      </c>
      <c r="AI888" s="24">
        <v>45959.465676284723</v>
      </c>
      <c r="AJ888">
        <v>1</v>
      </c>
      <c r="AK888" s="24">
        <v>45959.465676284723</v>
      </c>
      <c r="AL888" s="24">
        <v>45959.465676284723</v>
      </c>
      <c r="AM888" s="24">
        <v>45959.46572270833</v>
      </c>
      <c r="AN888" s="24">
        <v>45959.46572270833</v>
      </c>
      <c r="AO888">
        <v>1</v>
      </c>
      <c r="AP888" s="24"/>
      <c r="AQ888" s="24"/>
      <c r="AR888" s="24">
        <v>45945.62802708333</v>
      </c>
      <c r="AS888" s="24">
        <v>45945.62802708333</v>
      </c>
      <c r="AX888" s="24"/>
      <c r="AY888" s="24"/>
      <c r="AZ888" s="24"/>
      <c r="BA888" s="24"/>
      <c r="BC888" s="24">
        <v>45959.466009687501</v>
      </c>
      <c r="BD888" s="24">
        <v>45959.466009687501</v>
      </c>
      <c r="BE888" s="24">
        <v>45985.410094328705</v>
      </c>
      <c r="BF888" s="24">
        <v>45985.410094328705</v>
      </c>
      <c r="BG888">
        <v>1</v>
      </c>
      <c r="BH888" s="24">
        <v>45945.62802708333</v>
      </c>
      <c r="BI888" s="24">
        <v>45945.62802708333</v>
      </c>
      <c r="BJ888" s="24">
        <v>45957.309494421293</v>
      </c>
      <c r="BK888" s="24">
        <v>45957.309494421293</v>
      </c>
      <c r="BL888">
        <v>1</v>
      </c>
      <c r="BM888" s="24"/>
      <c r="BN888" s="24"/>
      <c r="BO888" s="24"/>
      <c r="BP888" s="24"/>
      <c r="BR888" s="24">
        <v>45959.46572270833</v>
      </c>
      <c r="BS888" s="24">
        <v>45959.46572270833</v>
      </c>
      <c r="BT888" s="24">
        <v>45959.466009687501</v>
      </c>
      <c r="BU888" s="24">
        <v>45959.466009687501</v>
      </c>
      <c r="BV888">
        <v>1</v>
      </c>
      <c r="BW888" s="24"/>
      <c r="BX888" s="24"/>
      <c r="BY888" s="24"/>
      <c r="BZ888" s="24"/>
      <c r="CB888" s="24"/>
      <c r="CC888" s="24"/>
      <c r="CE888" s="24">
        <v>45985.410094328705</v>
      </c>
      <c r="CF888" s="24">
        <v>45985.410094328705</v>
      </c>
      <c r="CG888">
        <v>1</v>
      </c>
      <c r="CH888" s="24"/>
      <c r="CI888" s="24"/>
      <c r="CJ888" s="24"/>
      <c r="CK888" s="24"/>
      <c r="DE888" s="24"/>
      <c r="DF888" s="24"/>
      <c r="DG888" s="24"/>
      <c r="DH888" s="24"/>
      <c r="DJ888" t="s">
        <v>149</v>
      </c>
      <c r="DK888" t="s">
        <v>149</v>
      </c>
      <c r="DM888">
        <v>40</v>
      </c>
      <c r="DN888">
        <v>29</v>
      </c>
      <c r="DQ888" t="s">
        <v>1001</v>
      </c>
      <c r="DR888" t="s">
        <v>149</v>
      </c>
      <c r="DS888" s="24">
        <v>46160.384426226854</v>
      </c>
    </row>
    <row r="889" spans="1:123" x14ac:dyDescent="0.3">
      <c r="A889" t="s">
        <v>1372</v>
      </c>
      <c r="D889" t="s">
        <v>223</v>
      </c>
      <c r="E889" s="24">
        <v>45945.424375000002</v>
      </c>
      <c r="G889" t="s">
        <v>90</v>
      </c>
      <c r="H889" t="s">
        <v>155</v>
      </c>
      <c r="I889" s="24"/>
      <c r="J889" s="24"/>
      <c r="K889" s="24"/>
      <c r="L889" s="24"/>
      <c r="N889" s="24"/>
      <c r="O889" s="24"/>
      <c r="P889" s="24"/>
      <c r="Q889" s="24"/>
      <c r="V889" s="24"/>
      <c r="W889" s="24"/>
      <c r="X889" s="24"/>
      <c r="Y889" s="24"/>
      <c r="AA889" s="24">
        <v>45947.472341145833</v>
      </c>
      <c r="AB889" s="24">
        <v>45947.472341145833</v>
      </c>
      <c r="AC889" s="24">
        <v>45947.487945312503</v>
      </c>
      <c r="AD889" s="24">
        <v>45947.487945312503</v>
      </c>
      <c r="AE889">
        <v>1</v>
      </c>
      <c r="AF889" s="24">
        <v>45947.487945312503</v>
      </c>
      <c r="AG889" s="24">
        <v>45947.487945312503</v>
      </c>
      <c r="AH889" s="24">
        <v>45959.456884965279</v>
      </c>
      <c r="AI889" s="24">
        <v>45959.456884965279</v>
      </c>
      <c r="AJ889">
        <v>1</v>
      </c>
      <c r="AK889" s="24"/>
      <c r="AL889" s="24"/>
      <c r="AM889" s="24"/>
      <c r="AN889" s="24"/>
      <c r="AP889" s="24"/>
      <c r="AQ889" s="24"/>
      <c r="AR889" s="24">
        <v>45945.589262650465</v>
      </c>
      <c r="AS889" s="24">
        <v>45945.589262650465</v>
      </c>
      <c r="AX889" s="24"/>
      <c r="AY889" s="24"/>
      <c r="AZ889" s="24"/>
      <c r="BA889" s="24"/>
      <c r="BC889" s="24"/>
      <c r="BD889" s="24"/>
      <c r="BE889" s="24"/>
      <c r="BF889" s="24"/>
      <c r="BH889" s="24">
        <v>45945.589262650465</v>
      </c>
      <c r="BI889" s="24">
        <v>45945.589262650465</v>
      </c>
      <c r="BJ889" s="24">
        <v>45947.472341145833</v>
      </c>
      <c r="BK889" s="24">
        <v>45947.472341145833</v>
      </c>
      <c r="BL889">
        <v>1</v>
      </c>
      <c r="BM889" s="24"/>
      <c r="BN889" s="24"/>
      <c r="BO889" s="24"/>
      <c r="BP889" s="24"/>
      <c r="BR889" s="24"/>
      <c r="BS889" s="24"/>
      <c r="BT889" s="24"/>
      <c r="BU889" s="24"/>
      <c r="BW889" s="24"/>
      <c r="BX889" s="24"/>
      <c r="BY889" s="24"/>
      <c r="BZ889" s="24"/>
      <c r="CB889" s="24"/>
      <c r="CC889" s="24"/>
      <c r="CE889" s="24">
        <v>45959.456884965279</v>
      </c>
      <c r="CF889" s="24">
        <v>45959.456884965279</v>
      </c>
      <c r="CG889">
        <v>1</v>
      </c>
      <c r="CH889" s="24"/>
      <c r="CI889" s="24"/>
      <c r="CJ889" s="24"/>
      <c r="CK889" s="24"/>
      <c r="DE889" s="24"/>
      <c r="DF889" s="24"/>
      <c r="DG889" s="24"/>
      <c r="DH889" s="24"/>
      <c r="DJ889" t="s">
        <v>149</v>
      </c>
      <c r="DK889" t="s">
        <v>149</v>
      </c>
      <c r="DM889">
        <v>14</v>
      </c>
      <c r="DN889">
        <v>12</v>
      </c>
      <c r="DQ889" t="s">
        <v>1001</v>
      </c>
      <c r="DR889" t="s">
        <v>149</v>
      </c>
      <c r="DS889" s="24">
        <v>46160.384426226854</v>
      </c>
    </row>
    <row r="890" spans="1:123" x14ac:dyDescent="0.3">
      <c r="A890" t="s">
        <v>1373</v>
      </c>
      <c r="D890" t="s">
        <v>225</v>
      </c>
      <c r="E890" s="24">
        <v>45943.478368055556</v>
      </c>
      <c r="G890" t="s">
        <v>90</v>
      </c>
      <c r="H890" t="s">
        <v>155</v>
      </c>
      <c r="I890" s="24"/>
      <c r="J890" s="24"/>
      <c r="K890" s="24"/>
      <c r="L890" s="24"/>
      <c r="N890" s="24"/>
      <c r="O890" s="24"/>
      <c r="P890" s="24"/>
      <c r="Q890" s="24"/>
      <c r="V890" s="24"/>
      <c r="W890" s="24"/>
      <c r="X890" s="24"/>
      <c r="Y890" s="24"/>
      <c r="AA890" s="24">
        <v>45946.654411516203</v>
      </c>
      <c r="AB890" s="24">
        <v>45946.654411516203</v>
      </c>
      <c r="AC890" s="24">
        <v>45952.644104687497</v>
      </c>
      <c r="AD890" s="24">
        <v>45952.644104687497</v>
      </c>
      <c r="AE890">
        <v>1</v>
      </c>
      <c r="AF890" s="24">
        <v>45952.644104687497</v>
      </c>
      <c r="AG890" s="24">
        <v>45952.644104687497</v>
      </c>
      <c r="AH890" s="24">
        <v>45973.471572499999</v>
      </c>
      <c r="AI890" s="24">
        <v>45973.471572499999</v>
      </c>
      <c r="AJ890">
        <v>1</v>
      </c>
      <c r="AK890" s="24">
        <v>45973.471572499999</v>
      </c>
      <c r="AL890" s="24">
        <v>45973.471572499999</v>
      </c>
      <c r="AM890" s="24">
        <v>45973.471913761576</v>
      </c>
      <c r="AN890" s="24">
        <v>45973.471913761576</v>
      </c>
      <c r="AO890">
        <v>1</v>
      </c>
      <c r="AP890" s="24"/>
      <c r="AQ890" s="24"/>
      <c r="AR890" s="24">
        <v>45945.590953657411</v>
      </c>
      <c r="AS890" s="24">
        <v>45945.590953657411</v>
      </c>
      <c r="AX890" s="24"/>
      <c r="AY890" s="24"/>
      <c r="AZ890" s="24"/>
      <c r="BA890" s="24"/>
      <c r="BC890" s="24">
        <v>45973.472828969905</v>
      </c>
      <c r="BD890" s="24">
        <v>45973.472828969905</v>
      </c>
      <c r="BE890" s="24">
        <v>46002.63492945602</v>
      </c>
      <c r="BF890" s="24">
        <v>46002.63492945602</v>
      </c>
      <c r="BG890">
        <v>1</v>
      </c>
      <c r="BH890" s="24">
        <v>45945.590953657411</v>
      </c>
      <c r="BI890" s="24">
        <v>45945.590953657411</v>
      </c>
      <c r="BJ890" s="24">
        <v>45946.654411516203</v>
      </c>
      <c r="BK890" s="24">
        <v>45946.654411516203</v>
      </c>
      <c r="BL890">
        <v>1</v>
      </c>
      <c r="BM890" s="24"/>
      <c r="BN890" s="24"/>
      <c r="BO890" s="24"/>
      <c r="BP890" s="24"/>
      <c r="BR890" s="24">
        <v>45973.471913761576</v>
      </c>
      <c r="BS890" s="24">
        <v>45973.471913761576</v>
      </c>
      <c r="BT890" s="24">
        <v>45973.472828969905</v>
      </c>
      <c r="BU890" s="24">
        <v>45973.472828969905</v>
      </c>
      <c r="BV890">
        <v>1</v>
      </c>
      <c r="BW890" s="24"/>
      <c r="BX890" s="24"/>
      <c r="BY890" s="24"/>
      <c r="BZ890" s="24"/>
      <c r="CB890" s="24"/>
      <c r="CC890" s="24"/>
      <c r="CE890" s="24">
        <v>46002.63492945602</v>
      </c>
      <c r="CF890" s="24">
        <v>46002.63492945602</v>
      </c>
      <c r="CG890">
        <v>1</v>
      </c>
      <c r="CH890" s="24"/>
      <c r="CI890" s="24"/>
      <c r="CJ890" s="24"/>
      <c r="CK890" s="24"/>
      <c r="DE890" s="24"/>
      <c r="DF890" s="24"/>
      <c r="DG890" s="24"/>
      <c r="DH890" s="24"/>
      <c r="DJ890" t="s">
        <v>149</v>
      </c>
      <c r="DK890" t="s">
        <v>149</v>
      </c>
      <c r="DM890">
        <v>58</v>
      </c>
      <c r="DN890">
        <v>56</v>
      </c>
      <c r="DQ890" t="s">
        <v>1001</v>
      </c>
      <c r="DR890" t="s">
        <v>149</v>
      </c>
      <c r="DS890" s="24">
        <v>46160.384426226854</v>
      </c>
    </row>
    <row r="891" spans="1:123" x14ac:dyDescent="0.3">
      <c r="A891" t="s">
        <v>1374</v>
      </c>
      <c r="D891" t="s">
        <v>225</v>
      </c>
      <c r="E891" s="24">
        <v>45943.476423611108</v>
      </c>
      <c r="G891" t="s">
        <v>90</v>
      </c>
      <c r="H891" t="s">
        <v>155</v>
      </c>
      <c r="I891" s="24"/>
      <c r="J891" s="24"/>
      <c r="K891" s="24"/>
      <c r="L891" s="24"/>
      <c r="N891" s="24"/>
      <c r="O891" s="24"/>
      <c r="P891" s="24"/>
      <c r="Q891" s="24"/>
      <c r="V891" s="24"/>
      <c r="W891" s="24"/>
      <c r="X891" s="24"/>
      <c r="Y891" s="24"/>
      <c r="AA891" s="24">
        <v>45947.709342418981</v>
      </c>
      <c r="AB891" s="24">
        <v>45947.709342418981</v>
      </c>
      <c r="AC891" s="24">
        <v>45947.710815254628</v>
      </c>
      <c r="AD891" s="24">
        <v>45947.710815254628</v>
      </c>
      <c r="AE891">
        <v>1</v>
      </c>
      <c r="AF891" s="24">
        <v>45947.710815254628</v>
      </c>
      <c r="AG891" s="24">
        <v>45947.710815254628</v>
      </c>
      <c r="AH891" s="24">
        <v>45958.403800902779</v>
      </c>
      <c r="AI891" s="24">
        <v>45958.403800902779</v>
      </c>
      <c r="AJ891">
        <v>1</v>
      </c>
      <c r="AK891" s="24">
        <v>45958.403800902779</v>
      </c>
      <c r="AL891" s="24">
        <v>45958.403800902779</v>
      </c>
      <c r="AM891" s="24">
        <v>45958.403862511572</v>
      </c>
      <c r="AN891" s="24">
        <v>45958.403862511572</v>
      </c>
      <c r="AO891">
        <v>1</v>
      </c>
      <c r="AP891" s="24"/>
      <c r="AQ891" s="24"/>
      <c r="AR891" s="24">
        <v>45945.606455127316</v>
      </c>
      <c r="AS891" s="24">
        <v>45945.606455127316</v>
      </c>
      <c r="AX891" s="24"/>
      <c r="AY891" s="24"/>
      <c r="AZ891" s="24"/>
      <c r="BA891" s="24"/>
      <c r="BC891" s="24">
        <v>45959.456801203705</v>
      </c>
      <c r="BD891" s="24">
        <v>45959.456801203705</v>
      </c>
      <c r="BE891" s="24">
        <v>45961.414392326391</v>
      </c>
      <c r="BF891" s="24">
        <v>45961.414392326391</v>
      </c>
      <c r="BG891">
        <v>1</v>
      </c>
      <c r="BH891" s="24">
        <v>45945.606455127316</v>
      </c>
      <c r="BI891" s="24">
        <v>45945.606455127316</v>
      </c>
      <c r="BJ891" s="24">
        <v>45947.709342418981</v>
      </c>
      <c r="BK891" s="24">
        <v>45947.709342418981</v>
      </c>
      <c r="BL891">
        <v>1</v>
      </c>
      <c r="BM891" s="24"/>
      <c r="BN891" s="24"/>
      <c r="BO891" s="24"/>
      <c r="BP891" s="24"/>
      <c r="BR891" s="24">
        <v>45958.403862511572</v>
      </c>
      <c r="BS891" s="24">
        <v>45958.403862511572</v>
      </c>
      <c r="BT891" s="24">
        <v>45959.456801203705</v>
      </c>
      <c r="BU891" s="24">
        <v>45959.456801203705</v>
      </c>
      <c r="BV891">
        <v>1</v>
      </c>
      <c r="BW891" s="24"/>
      <c r="BX891" s="24"/>
      <c r="BY891" s="24"/>
      <c r="BZ891" s="24"/>
      <c r="CB891" s="24"/>
      <c r="CC891" s="24"/>
      <c r="CE891" s="24">
        <v>45961.414392326391</v>
      </c>
      <c r="CF891" s="24">
        <v>45961.414392326391</v>
      </c>
      <c r="CG891">
        <v>1</v>
      </c>
      <c r="CH891" s="24"/>
      <c r="CI891" s="24"/>
      <c r="CJ891" s="24"/>
      <c r="CK891" s="24"/>
      <c r="DE891" s="24"/>
      <c r="DF891" s="24"/>
      <c r="DG891" s="24"/>
      <c r="DH891" s="24"/>
      <c r="DJ891" t="s">
        <v>149</v>
      </c>
      <c r="DK891" t="s">
        <v>149</v>
      </c>
      <c r="DM891">
        <v>16</v>
      </c>
      <c r="DN891">
        <v>14</v>
      </c>
      <c r="DQ891" t="s">
        <v>1001</v>
      </c>
      <c r="DR891" t="s">
        <v>149</v>
      </c>
      <c r="DS891" s="24">
        <v>46160.384426226854</v>
      </c>
    </row>
    <row r="892" spans="1:123" x14ac:dyDescent="0.3">
      <c r="A892" t="s">
        <v>1375</v>
      </c>
      <c r="D892" t="s">
        <v>225</v>
      </c>
      <c r="E892" s="24">
        <v>45939.449699074074</v>
      </c>
      <c r="G892" t="s">
        <v>150</v>
      </c>
      <c r="H892" t="s">
        <v>155</v>
      </c>
      <c r="I892" s="24"/>
      <c r="J892" s="24"/>
      <c r="K892" s="24"/>
      <c r="L892" s="24"/>
      <c r="N892" s="24"/>
      <c r="O892" s="24"/>
      <c r="P892" s="24"/>
      <c r="Q892" s="24"/>
      <c r="V892" s="24"/>
      <c r="W892" s="24"/>
      <c r="X892" s="24"/>
      <c r="Y892" s="24"/>
      <c r="AA892" s="24"/>
      <c r="AB892" s="24"/>
      <c r="AC892" s="24"/>
      <c r="AD892" s="24"/>
      <c r="AF892" s="24"/>
      <c r="AG892" s="24"/>
      <c r="AH892" s="24"/>
      <c r="AI892" s="24"/>
      <c r="AK892" s="24"/>
      <c r="AL892" s="24"/>
      <c r="AM892" s="24"/>
      <c r="AN892" s="24"/>
      <c r="AP892" s="24"/>
      <c r="AQ892" s="24"/>
      <c r="AR892" s="24">
        <v>45939.459894305553</v>
      </c>
      <c r="AS892" s="24">
        <v>45939.459894305553</v>
      </c>
      <c r="AX892" s="24"/>
      <c r="AY892" s="24"/>
      <c r="AZ892" s="24"/>
      <c r="BA892" s="24"/>
      <c r="BC892" s="24"/>
      <c r="BD892" s="24"/>
      <c r="BE892" s="24"/>
      <c r="BF892" s="24"/>
      <c r="BH892" s="24"/>
      <c r="BI892" s="24"/>
      <c r="BJ892" s="24"/>
      <c r="BK892" s="24"/>
      <c r="BM892" s="24"/>
      <c r="BN892" s="24"/>
      <c r="BO892" s="24"/>
      <c r="BP892" s="24"/>
      <c r="BR892" s="24"/>
      <c r="BS892" s="24"/>
      <c r="BT892" s="24"/>
      <c r="BU892" s="24"/>
      <c r="BW892" s="24"/>
      <c r="BX892" s="24"/>
      <c r="BY892" s="24"/>
      <c r="BZ892" s="24"/>
      <c r="CB892" s="24">
        <v>45939.459894305553</v>
      </c>
      <c r="CC892" s="24">
        <v>45939.459894305553</v>
      </c>
      <c r="CD892">
        <v>1</v>
      </c>
      <c r="CE892" s="24"/>
      <c r="CF892" s="24"/>
      <c r="CH892" s="24"/>
      <c r="CI892" s="24"/>
      <c r="CJ892" s="24"/>
      <c r="CK892" s="24"/>
      <c r="DE892" s="24"/>
      <c r="DF892" s="24"/>
      <c r="DG892" s="24"/>
      <c r="DH892" s="24"/>
      <c r="DJ892" t="s">
        <v>149</v>
      </c>
      <c r="DK892" t="s">
        <v>149</v>
      </c>
      <c r="DQ892" t="s">
        <v>1001</v>
      </c>
      <c r="DR892" t="s">
        <v>149</v>
      </c>
      <c r="DS892" s="24">
        <v>46160.384426226854</v>
      </c>
    </row>
    <row r="893" spans="1:123" x14ac:dyDescent="0.3">
      <c r="A893" t="s">
        <v>1376</v>
      </c>
      <c r="D893" t="s">
        <v>223</v>
      </c>
      <c r="E893" s="24">
        <v>45931.479050925926</v>
      </c>
      <c r="G893" t="s">
        <v>90</v>
      </c>
      <c r="H893" t="s">
        <v>155</v>
      </c>
      <c r="I893" s="24"/>
      <c r="J893" s="24"/>
      <c r="K893" s="24"/>
      <c r="L893" s="24"/>
      <c r="N893" s="24"/>
      <c r="O893" s="24"/>
      <c r="P893" s="24"/>
      <c r="Q893" s="24"/>
      <c r="V893" s="24"/>
      <c r="W893" s="24"/>
      <c r="X893" s="24"/>
      <c r="Y893" s="24"/>
      <c r="AA893" s="24">
        <v>45932.654289918981</v>
      </c>
      <c r="AB893" s="24">
        <v>45932.654289918981</v>
      </c>
      <c r="AC893" s="24">
        <v>45944.417289641206</v>
      </c>
      <c r="AD893" s="24">
        <v>45944.417289641206</v>
      </c>
      <c r="AE893">
        <v>1</v>
      </c>
      <c r="AF893" s="24">
        <v>45944.417289641206</v>
      </c>
      <c r="AG893" s="24">
        <v>45944.417289641206</v>
      </c>
      <c r="AH893" s="24">
        <v>45944.418495914353</v>
      </c>
      <c r="AI893" s="24">
        <v>45944.418495914353</v>
      </c>
      <c r="AJ893">
        <v>1</v>
      </c>
      <c r="AK893" s="24"/>
      <c r="AL893" s="24"/>
      <c r="AM893" s="24"/>
      <c r="AN893" s="24"/>
      <c r="AP893" s="24"/>
      <c r="AQ893" s="24"/>
      <c r="AR893" s="24">
        <v>45931.480072928243</v>
      </c>
      <c r="AS893" s="24">
        <v>45931.480072928243</v>
      </c>
      <c r="AX893" s="24"/>
      <c r="AY893" s="24"/>
      <c r="AZ893" s="24"/>
      <c r="BA893" s="24"/>
      <c r="BC893" s="24"/>
      <c r="BD893" s="24"/>
      <c r="BE893" s="24"/>
      <c r="BF893" s="24"/>
      <c r="BH893" s="24">
        <v>45931.480072928243</v>
      </c>
      <c r="BI893" s="24">
        <v>45931.480072928243</v>
      </c>
      <c r="BJ893" s="24">
        <v>45932.654289918981</v>
      </c>
      <c r="BK893" s="24">
        <v>45932.654289918981</v>
      </c>
      <c r="BL893">
        <v>1</v>
      </c>
      <c r="BM893" s="24"/>
      <c r="BN893" s="24"/>
      <c r="BO893" s="24"/>
      <c r="BP893" s="24"/>
      <c r="BR893" s="24">
        <v>45944.418495914353</v>
      </c>
      <c r="BS893" s="24">
        <v>45944.418495914353</v>
      </c>
      <c r="BT893" s="24">
        <v>45944.418556180557</v>
      </c>
      <c r="BU893" s="24">
        <v>45944.418556180557</v>
      </c>
      <c r="BV893">
        <v>1</v>
      </c>
      <c r="BW893" s="24"/>
      <c r="BX893" s="24"/>
      <c r="BY893" s="24"/>
      <c r="BZ893" s="24"/>
      <c r="CB893" s="24"/>
      <c r="CC893" s="24"/>
      <c r="CE893" s="24">
        <v>45944.418556180557</v>
      </c>
      <c r="CF893" s="24">
        <v>45944.418556180557</v>
      </c>
      <c r="CG893">
        <v>1</v>
      </c>
      <c r="CH893" s="24"/>
      <c r="CI893" s="24"/>
      <c r="CJ893" s="24"/>
      <c r="CK893" s="24"/>
      <c r="DE893" s="24"/>
      <c r="DF893" s="24"/>
      <c r="DG893" s="24"/>
      <c r="DH893" s="24"/>
      <c r="DJ893" t="s">
        <v>149</v>
      </c>
      <c r="DK893" t="s">
        <v>149</v>
      </c>
      <c r="DM893">
        <v>13</v>
      </c>
      <c r="DN893">
        <v>12</v>
      </c>
      <c r="DQ893" t="s">
        <v>1001</v>
      </c>
      <c r="DR893" t="s">
        <v>149</v>
      </c>
      <c r="DS893" s="24">
        <v>46160.384426226854</v>
      </c>
    </row>
    <row r="894" spans="1:123" x14ac:dyDescent="0.3">
      <c r="A894" t="s">
        <v>1377</v>
      </c>
      <c r="D894" t="s">
        <v>223</v>
      </c>
      <c r="E894" s="24">
        <v>45931.434571759259</v>
      </c>
      <c r="G894" t="s">
        <v>90</v>
      </c>
      <c r="H894" t="s">
        <v>155</v>
      </c>
      <c r="I894" s="24"/>
      <c r="J894" s="24"/>
      <c r="K894" s="24"/>
      <c r="L894" s="24"/>
      <c r="N894" s="24"/>
      <c r="O894" s="24"/>
      <c r="P894" s="24"/>
      <c r="Q894" s="24"/>
      <c r="V894" s="24"/>
      <c r="W894" s="24"/>
      <c r="X894" s="24"/>
      <c r="Y894" s="24"/>
      <c r="AA894" s="24">
        <v>45945.426088784719</v>
      </c>
      <c r="AB894" s="24">
        <v>45945.426088784719</v>
      </c>
      <c r="AC894" s="24">
        <v>45945.426237395834</v>
      </c>
      <c r="AD894" s="24">
        <v>45945.426237395834</v>
      </c>
      <c r="AE894">
        <v>1</v>
      </c>
      <c r="AF894" s="24"/>
      <c r="AG894" s="24"/>
      <c r="AH894" s="24"/>
      <c r="AI894" s="24"/>
      <c r="AK894" s="24"/>
      <c r="AL894" s="24"/>
      <c r="AM894" s="24"/>
      <c r="AN894" s="24"/>
      <c r="AP894" s="24"/>
      <c r="AQ894" s="24"/>
      <c r="AR894" s="24">
        <v>45943.474185833336</v>
      </c>
      <c r="AS894" s="24">
        <v>45943.474185833336</v>
      </c>
      <c r="AX894" s="24"/>
      <c r="AY894" s="24"/>
      <c r="AZ894" s="24"/>
      <c r="BA894" s="24"/>
      <c r="BC894" s="24"/>
      <c r="BD894" s="24"/>
      <c r="BE894" s="24"/>
      <c r="BF894" s="24"/>
      <c r="BH894" s="24">
        <v>45943.474185833336</v>
      </c>
      <c r="BI894" s="24">
        <v>45943.474185833336</v>
      </c>
      <c r="BJ894" s="24">
        <v>45945.426088784719</v>
      </c>
      <c r="BK894" s="24">
        <v>45945.426088784719</v>
      </c>
      <c r="BL894">
        <v>1</v>
      </c>
      <c r="BM894" s="24"/>
      <c r="BN894" s="24"/>
      <c r="BO894" s="24"/>
      <c r="BP894" s="24"/>
      <c r="BR894" s="24"/>
      <c r="BS894" s="24"/>
      <c r="BT894" s="24"/>
      <c r="BU894" s="24"/>
      <c r="BW894" s="24"/>
      <c r="BX894" s="24"/>
      <c r="BY894" s="24"/>
      <c r="BZ894" s="24"/>
      <c r="CB894" s="24"/>
      <c r="CC894" s="24"/>
      <c r="CE894" s="24">
        <v>45945.426237395834</v>
      </c>
      <c r="CF894" s="24">
        <v>45945.426237395834</v>
      </c>
      <c r="CG894">
        <v>1</v>
      </c>
      <c r="CH894" s="24"/>
      <c r="CI894" s="24"/>
      <c r="CJ894" s="24"/>
      <c r="CK894" s="24"/>
      <c r="DE894" s="24"/>
      <c r="DF894" s="24"/>
      <c r="DG894" s="24"/>
      <c r="DH894" s="24"/>
      <c r="DJ894" t="s">
        <v>149</v>
      </c>
      <c r="DK894" t="s">
        <v>149</v>
      </c>
      <c r="DM894">
        <v>2</v>
      </c>
      <c r="DN894">
        <v>1</v>
      </c>
      <c r="DQ894" t="s">
        <v>1001</v>
      </c>
      <c r="DR894" t="s">
        <v>149</v>
      </c>
      <c r="DS894" s="24">
        <v>46160.384426226854</v>
      </c>
    </row>
    <row r="895" spans="1:123" x14ac:dyDescent="0.3">
      <c r="A895" t="s">
        <v>1378</v>
      </c>
      <c r="D895" t="s">
        <v>223</v>
      </c>
      <c r="E895" s="24">
        <v>45930.673703703702</v>
      </c>
      <c r="G895" t="s">
        <v>90</v>
      </c>
      <c r="H895" t="s">
        <v>155</v>
      </c>
      <c r="I895" s="24"/>
      <c r="J895" s="24"/>
      <c r="K895" s="24"/>
      <c r="L895" s="24"/>
      <c r="N895" s="24"/>
      <c r="O895" s="24"/>
      <c r="P895" s="24"/>
      <c r="Q895" s="24"/>
      <c r="V895" s="24"/>
      <c r="W895" s="24"/>
      <c r="X895" s="24"/>
      <c r="Y895" s="24"/>
      <c r="AA895" s="24">
        <v>45930.673976666665</v>
      </c>
      <c r="AB895" s="24">
        <v>45930.673976666665</v>
      </c>
      <c r="AC895" s="24">
        <v>45930.674070567133</v>
      </c>
      <c r="AD895" s="24">
        <v>45930.674070567133</v>
      </c>
      <c r="AE895">
        <v>1</v>
      </c>
      <c r="AF895" s="24"/>
      <c r="AG895" s="24"/>
      <c r="AH895" s="24"/>
      <c r="AI895" s="24"/>
      <c r="AK895" s="24"/>
      <c r="AL895" s="24"/>
      <c r="AM895" s="24"/>
      <c r="AN895" s="24"/>
      <c r="AP895" s="24"/>
      <c r="AQ895" s="24"/>
      <c r="AR895" s="24">
        <v>45930.673914583334</v>
      </c>
      <c r="AS895" s="24">
        <v>45930.673914583334</v>
      </c>
      <c r="AX895" s="24"/>
      <c r="AY895" s="24"/>
      <c r="AZ895" s="24"/>
      <c r="BA895" s="24"/>
      <c r="BC895" s="24"/>
      <c r="BD895" s="24"/>
      <c r="BE895" s="24"/>
      <c r="BF895" s="24"/>
      <c r="BH895" s="24">
        <v>45930.673914583334</v>
      </c>
      <c r="BI895" s="24">
        <v>45930.673914583334</v>
      </c>
      <c r="BJ895" s="24">
        <v>45930.673976666665</v>
      </c>
      <c r="BK895" s="24">
        <v>45930.673976666665</v>
      </c>
      <c r="BL895">
        <v>1</v>
      </c>
      <c r="BM895" s="24"/>
      <c r="BN895" s="24"/>
      <c r="BO895" s="24"/>
      <c r="BP895" s="24"/>
      <c r="BR895" s="24"/>
      <c r="BS895" s="24"/>
      <c r="BT895" s="24"/>
      <c r="BU895" s="24"/>
      <c r="BW895" s="24"/>
      <c r="BX895" s="24"/>
      <c r="BY895" s="24"/>
      <c r="BZ895" s="24"/>
      <c r="CB895" s="24"/>
      <c r="CC895" s="24"/>
      <c r="CE895" s="24">
        <v>45930.674070567133</v>
      </c>
      <c r="CF895" s="24">
        <v>45930.674070567133</v>
      </c>
      <c r="CG895">
        <v>1</v>
      </c>
      <c r="CH895" s="24"/>
      <c r="CI895" s="24"/>
      <c r="CJ895" s="24"/>
      <c r="CK895" s="24"/>
      <c r="DE895" s="24"/>
      <c r="DF895" s="24"/>
      <c r="DG895" s="24"/>
      <c r="DH895" s="24"/>
      <c r="DJ895" t="s">
        <v>149</v>
      </c>
      <c r="DK895" t="s">
        <v>149</v>
      </c>
      <c r="DM895">
        <v>1</v>
      </c>
      <c r="DN895">
        <v>1</v>
      </c>
      <c r="DQ895" t="s">
        <v>1001</v>
      </c>
      <c r="DR895" t="s">
        <v>149</v>
      </c>
      <c r="DS895" s="24">
        <v>46160.384426226854</v>
      </c>
    </row>
    <row r="896" spans="1:123" x14ac:dyDescent="0.3">
      <c r="A896" t="s">
        <v>1379</v>
      </c>
      <c r="D896" t="s">
        <v>223</v>
      </c>
      <c r="E896" s="24">
        <v>45930.668078703704</v>
      </c>
      <c r="G896" t="s">
        <v>90</v>
      </c>
      <c r="H896" t="s">
        <v>155</v>
      </c>
      <c r="I896" s="24"/>
      <c r="J896" s="24"/>
      <c r="K896" s="24"/>
      <c r="L896" s="24"/>
      <c r="N896" s="24"/>
      <c r="O896" s="24"/>
      <c r="P896" s="24"/>
      <c r="Q896" s="24"/>
      <c r="V896" s="24"/>
      <c r="W896" s="24"/>
      <c r="X896" s="24"/>
      <c r="Y896" s="24"/>
      <c r="AA896" s="24">
        <v>45930.668616655094</v>
      </c>
      <c r="AB896" s="24">
        <v>45930.668616655094</v>
      </c>
      <c r="AC896" s="24">
        <v>45930.668694548614</v>
      </c>
      <c r="AD896" s="24">
        <v>45930.668694548614</v>
      </c>
      <c r="AE896">
        <v>1</v>
      </c>
      <c r="AF896" s="24"/>
      <c r="AG896" s="24"/>
      <c r="AH896" s="24"/>
      <c r="AI896" s="24"/>
      <c r="AK896" s="24"/>
      <c r="AL896" s="24"/>
      <c r="AM896" s="24"/>
      <c r="AN896" s="24"/>
      <c r="AP896" s="24"/>
      <c r="AQ896" s="24"/>
      <c r="AR896" s="24">
        <v>45930.668573310184</v>
      </c>
      <c r="AS896" s="24">
        <v>45930.668573310184</v>
      </c>
      <c r="AX896" s="24"/>
      <c r="AY896" s="24"/>
      <c r="AZ896" s="24"/>
      <c r="BA896" s="24"/>
      <c r="BC896" s="24"/>
      <c r="BD896" s="24"/>
      <c r="BE896" s="24"/>
      <c r="BF896" s="24"/>
      <c r="BH896" s="24">
        <v>45930.668573310184</v>
      </c>
      <c r="BI896" s="24">
        <v>45930.668573310184</v>
      </c>
      <c r="BJ896" s="24">
        <v>45930.668616655094</v>
      </c>
      <c r="BK896" s="24">
        <v>45930.668616655094</v>
      </c>
      <c r="BL896">
        <v>1</v>
      </c>
      <c r="BM896" s="24"/>
      <c r="BN896" s="24"/>
      <c r="BO896" s="24"/>
      <c r="BP896" s="24"/>
      <c r="BR896" s="24"/>
      <c r="BS896" s="24"/>
      <c r="BT896" s="24"/>
      <c r="BU896" s="24"/>
      <c r="BW896" s="24"/>
      <c r="BX896" s="24"/>
      <c r="BY896" s="24"/>
      <c r="BZ896" s="24"/>
      <c r="CB896" s="24"/>
      <c r="CC896" s="24"/>
      <c r="CE896" s="24">
        <v>45930.668694548614</v>
      </c>
      <c r="CF896" s="24">
        <v>45930.668694548614</v>
      </c>
      <c r="CG896">
        <v>1</v>
      </c>
      <c r="CH896" s="24"/>
      <c r="CI896" s="24"/>
      <c r="CJ896" s="24"/>
      <c r="CK896" s="24"/>
      <c r="DE896" s="24"/>
      <c r="DF896" s="24"/>
      <c r="DG896" s="24"/>
      <c r="DH896" s="24"/>
      <c r="DJ896" t="s">
        <v>149</v>
      </c>
      <c r="DK896" t="s">
        <v>149</v>
      </c>
      <c r="DM896">
        <v>1</v>
      </c>
      <c r="DN896">
        <v>1</v>
      </c>
      <c r="DQ896" t="s">
        <v>1001</v>
      </c>
      <c r="DR896" t="s">
        <v>149</v>
      </c>
      <c r="DS896" s="24">
        <v>46160.384426226854</v>
      </c>
    </row>
    <row r="897" spans="1:123" x14ac:dyDescent="0.3">
      <c r="A897" t="s">
        <v>1380</v>
      </c>
      <c r="D897" t="s">
        <v>223</v>
      </c>
      <c r="E897" s="24">
        <v>45930.666516203702</v>
      </c>
      <c r="G897" t="s">
        <v>90</v>
      </c>
      <c r="H897" t="s">
        <v>155</v>
      </c>
      <c r="I897" s="24"/>
      <c r="J897" s="24"/>
      <c r="K897" s="24"/>
      <c r="L897" s="24"/>
      <c r="N897" s="24"/>
      <c r="O897" s="24"/>
      <c r="P897" s="24"/>
      <c r="Q897" s="24"/>
      <c r="V897" s="24"/>
      <c r="W897" s="24"/>
      <c r="X897" s="24"/>
      <c r="Y897" s="24"/>
      <c r="AA897" s="24">
        <v>45930.666850312497</v>
      </c>
      <c r="AB897" s="24">
        <v>45930.666850312497</v>
      </c>
      <c r="AC897" s="24">
        <v>45930.666953356478</v>
      </c>
      <c r="AD897" s="24">
        <v>45930.666953356478</v>
      </c>
      <c r="AE897">
        <v>1</v>
      </c>
      <c r="AF897" s="24"/>
      <c r="AG897" s="24"/>
      <c r="AH897" s="24"/>
      <c r="AI897" s="24"/>
      <c r="AK897" s="24"/>
      <c r="AL897" s="24"/>
      <c r="AM897" s="24"/>
      <c r="AN897" s="24"/>
      <c r="AP897" s="24"/>
      <c r="AQ897" s="24"/>
      <c r="AR897" s="24">
        <v>45930.666805740744</v>
      </c>
      <c r="AS897" s="24">
        <v>45930.666805740744</v>
      </c>
      <c r="AX897" s="24"/>
      <c r="AY897" s="24"/>
      <c r="AZ897" s="24"/>
      <c r="BA897" s="24"/>
      <c r="BC897" s="24"/>
      <c r="BD897" s="24"/>
      <c r="BE897" s="24"/>
      <c r="BF897" s="24"/>
      <c r="BH897" s="24">
        <v>45930.666805740744</v>
      </c>
      <c r="BI897" s="24">
        <v>45930.666805740744</v>
      </c>
      <c r="BJ897" s="24">
        <v>45930.666850312497</v>
      </c>
      <c r="BK897" s="24">
        <v>45930.666850312497</v>
      </c>
      <c r="BL897">
        <v>1</v>
      </c>
      <c r="BM897" s="24"/>
      <c r="BN897" s="24"/>
      <c r="BO897" s="24"/>
      <c r="BP897" s="24"/>
      <c r="BR897" s="24"/>
      <c r="BS897" s="24"/>
      <c r="BT897" s="24"/>
      <c r="BU897" s="24"/>
      <c r="BW897" s="24"/>
      <c r="BX897" s="24"/>
      <c r="BY897" s="24"/>
      <c r="BZ897" s="24"/>
      <c r="CB897" s="24"/>
      <c r="CC897" s="24"/>
      <c r="CE897" s="24">
        <v>45930.666953356478</v>
      </c>
      <c r="CF897" s="24">
        <v>45930.666953356478</v>
      </c>
      <c r="CG897">
        <v>1</v>
      </c>
      <c r="CH897" s="24"/>
      <c r="CI897" s="24"/>
      <c r="CJ897" s="24"/>
      <c r="CK897" s="24"/>
      <c r="DE897" s="24"/>
      <c r="DF897" s="24"/>
      <c r="DG897" s="24"/>
      <c r="DH897" s="24"/>
      <c r="DJ897" t="s">
        <v>149</v>
      </c>
      <c r="DK897" t="s">
        <v>149</v>
      </c>
      <c r="DM897">
        <v>1</v>
      </c>
      <c r="DN897">
        <v>1</v>
      </c>
      <c r="DQ897" t="s">
        <v>1001</v>
      </c>
      <c r="DR897" t="s">
        <v>149</v>
      </c>
      <c r="DS897" s="24">
        <v>46160.384426226854</v>
      </c>
    </row>
    <row r="898" spans="1:123" x14ac:dyDescent="0.3">
      <c r="A898" t="s">
        <v>1381</v>
      </c>
      <c r="D898" t="s">
        <v>223</v>
      </c>
      <c r="E898" s="24">
        <v>45930.616851851853</v>
      </c>
      <c r="G898" t="s">
        <v>90</v>
      </c>
      <c r="H898" t="s">
        <v>155</v>
      </c>
      <c r="I898" s="24"/>
      <c r="J898" s="24"/>
      <c r="K898" s="24"/>
      <c r="L898" s="24"/>
      <c r="N898" s="24"/>
      <c r="O898" s="24"/>
      <c r="P898" s="24"/>
      <c r="Q898" s="24"/>
      <c r="V898" s="24"/>
      <c r="W898" s="24"/>
      <c r="X898" s="24"/>
      <c r="Y898" s="24"/>
      <c r="AA898" s="24">
        <v>45930.617736863423</v>
      </c>
      <c r="AB898" s="24">
        <v>45930.617736863423</v>
      </c>
      <c r="AC898" s="24">
        <v>45930.617795416663</v>
      </c>
      <c r="AD898" s="24">
        <v>45930.617795416663</v>
      </c>
      <c r="AE898">
        <v>1</v>
      </c>
      <c r="AF898" s="24"/>
      <c r="AG898" s="24"/>
      <c r="AH898" s="24"/>
      <c r="AI898" s="24"/>
      <c r="AK898" s="24"/>
      <c r="AL898" s="24"/>
      <c r="AM898" s="24"/>
      <c r="AN898" s="24"/>
      <c r="AP898" s="24"/>
      <c r="AQ898" s="24"/>
      <c r="AR898" s="24">
        <v>45930.617064108796</v>
      </c>
      <c r="AS898" s="24">
        <v>45930.617064108796</v>
      </c>
      <c r="AX898" s="24"/>
      <c r="AY898" s="24"/>
      <c r="AZ898" s="24"/>
      <c r="BA898" s="24"/>
      <c r="BC898" s="24"/>
      <c r="BD898" s="24"/>
      <c r="BE898" s="24"/>
      <c r="BF898" s="24"/>
      <c r="BH898" s="24">
        <v>45930.617064108796</v>
      </c>
      <c r="BI898" s="24">
        <v>45930.617064108796</v>
      </c>
      <c r="BJ898" s="24">
        <v>45930.617736863423</v>
      </c>
      <c r="BK898" s="24">
        <v>45930.617736863423</v>
      </c>
      <c r="BL898">
        <v>1</v>
      </c>
      <c r="BM898" s="24"/>
      <c r="BN898" s="24"/>
      <c r="BO898" s="24"/>
      <c r="BP898" s="24"/>
      <c r="BR898" s="24"/>
      <c r="BS898" s="24"/>
      <c r="BT898" s="24"/>
      <c r="BU898" s="24"/>
      <c r="BW898" s="24"/>
      <c r="BX898" s="24"/>
      <c r="BY898" s="24"/>
      <c r="BZ898" s="24"/>
      <c r="CB898" s="24"/>
      <c r="CC898" s="24"/>
      <c r="CE898" s="24">
        <v>45930.617795416663</v>
      </c>
      <c r="CF898" s="24">
        <v>45930.617795416663</v>
      </c>
      <c r="CG898">
        <v>1</v>
      </c>
      <c r="CH898" s="24"/>
      <c r="CI898" s="24"/>
      <c r="CJ898" s="24"/>
      <c r="CK898" s="24"/>
      <c r="DE898" s="24"/>
      <c r="DF898" s="24"/>
      <c r="DG898" s="24"/>
      <c r="DH898" s="24"/>
      <c r="DJ898" t="s">
        <v>149</v>
      </c>
      <c r="DK898" t="s">
        <v>149</v>
      </c>
      <c r="DM898">
        <v>1</v>
      </c>
      <c r="DN898">
        <v>1</v>
      </c>
      <c r="DQ898" t="s">
        <v>1001</v>
      </c>
      <c r="DR898" t="s">
        <v>149</v>
      </c>
      <c r="DS898" s="24">
        <v>46160.384426226854</v>
      </c>
    </row>
    <row r="899" spans="1:123" x14ac:dyDescent="0.3">
      <c r="A899" t="s">
        <v>1382</v>
      </c>
      <c r="D899" t="s">
        <v>223</v>
      </c>
      <c r="E899" s="24">
        <v>45930.613078703704</v>
      </c>
      <c r="G899" t="s">
        <v>90</v>
      </c>
      <c r="H899" t="s">
        <v>155</v>
      </c>
      <c r="I899" s="24"/>
      <c r="J899" s="24"/>
      <c r="K899" s="24"/>
      <c r="L899" s="24"/>
      <c r="N899" s="24"/>
      <c r="O899" s="24"/>
      <c r="P899" s="24"/>
      <c r="Q899" s="24"/>
      <c r="V899" s="24"/>
      <c r="W899" s="24"/>
      <c r="X899" s="24"/>
      <c r="Y899" s="24"/>
      <c r="AA899" s="24">
        <v>45930.613573530092</v>
      </c>
      <c r="AB899" s="24">
        <v>45930.613573530092</v>
      </c>
      <c r="AC899" s="24">
        <v>45930.613743518516</v>
      </c>
      <c r="AD899" s="24">
        <v>45930.613743518516</v>
      </c>
      <c r="AE899">
        <v>1</v>
      </c>
      <c r="AF899" s="24"/>
      <c r="AG899" s="24"/>
      <c r="AH899" s="24"/>
      <c r="AI899" s="24"/>
      <c r="AK899" s="24"/>
      <c r="AL899" s="24"/>
      <c r="AM899" s="24"/>
      <c r="AN899" s="24"/>
      <c r="AP899" s="24"/>
      <c r="AQ899" s="24"/>
      <c r="AR899" s="24">
        <v>45930.613517361111</v>
      </c>
      <c r="AS899" s="24">
        <v>45930.613517361111</v>
      </c>
      <c r="AX899" s="24"/>
      <c r="AY899" s="24"/>
      <c r="AZ899" s="24"/>
      <c r="BA899" s="24"/>
      <c r="BC899" s="24"/>
      <c r="BD899" s="24"/>
      <c r="BE899" s="24"/>
      <c r="BF899" s="24"/>
      <c r="BH899" s="24">
        <v>45930.613517361111</v>
      </c>
      <c r="BI899" s="24">
        <v>45930.613517361111</v>
      </c>
      <c r="BJ899" s="24">
        <v>45930.613573530092</v>
      </c>
      <c r="BK899" s="24">
        <v>45930.613573530092</v>
      </c>
      <c r="BL899">
        <v>1</v>
      </c>
      <c r="BM899" s="24"/>
      <c r="BN899" s="24"/>
      <c r="BO899" s="24"/>
      <c r="BP899" s="24"/>
      <c r="BR899" s="24"/>
      <c r="BS899" s="24"/>
      <c r="BT899" s="24"/>
      <c r="BU899" s="24"/>
      <c r="BW899" s="24"/>
      <c r="BX899" s="24"/>
      <c r="BY899" s="24"/>
      <c r="BZ899" s="24"/>
      <c r="CB899" s="24"/>
      <c r="CC899" s="24"/>
      <c r="CE899" s="24">
        <v>45930.613743518516</v>
      </c>
      <c r="CF899" s="24">
        <v>45930.613743518516</v>
      </c>
      <c r="CG899">
        <v>1</v>
      </c>
      <c r="CH899" s="24"/>
      <c r="CI899" s="24"/>
      <c r="CJ899" s="24"/>
      <c r="CK899" s="24"/>
      <c r="DE899" s="24"/>
      <c r="DF899" s="24"/>
      <c r="DG899" s="24"/>
      <c r="DH899" s="24"/>
      <c r="DJ899" t="s">
        <v>149</v>
      </c>
      <c r="DK899" t="s">
        <v>149</v>
      </c>
      <c r="DM899">
        <v>1</v>
      </c>
      <c r="DN899">
        <v>1</v>
      </c>
      <c r="DQ899" t="s">
        <v>1001</v>
      </c>
      <c r="DR899" t="s">
        <v>149</v>
      </c>
      <c r="DS899" s="24">
        <v>46160.384426226854</v>
      </c>
    </row>
    <row r="900" spans="1:123" x14ac:dyDescent="0.3">
      <c r="A900" t="s">
        <v>1383</v>
      </c>
      <c r="D900" t="s">
        <v>223</v>
      </c>
      <c r="E900" s="24">
        <v>45930.607164351852</v>
      </c>
      <c r="G900" t="s">
        <v>90</v>
      </c>
      <c r="H900" t="s">
        <v>155</v>
      </c>
      <c r="I900" s="24"/>
      <c r="J900" s="24"/>
      <c r="K900" s="24"/>
      <c r="L900" s="24"/>
      <c r="N900" s="24"/>
      <c r="O900" s="24"/>
      <c r="P900" s="24"/>
      <c r="Q900" s="24"/>
      <c r="V900" s="24"/>
      <c r="W900" s="24"/>
      <c r="X900" s="24"/>
      <c r="Y900" s="24"/>
      <c r="AA900" s="24">
        <v>45930.61109849537</v>
      </c>
      <c r="AB900" s="24">
        <v>45930.61109849537</v>
      </c>
      <c r="AC900" s="24">
        <v>45930.611150833334</v>
      </c>
      <c r="AD900" s="24">
        <v>45930.611150833334</v>
      </c>
      <c r="AE900">
        <v>1</v>
      </c>
      <c r="AF900" s="24"/>
      <c r="AG900" s="24"/>
      <c r="AH900" s="24"/>
      <c r="AI900" s="24"/>
      <c r="AK900" s="24"/>
      <c r="AL900" s="24"/>
      <c r="AM900" s="24"/>
      <c r="AN900" s="24"/>
      <c r="AP900" s="24"/>
      <c r="AQ900" s="24"/>
      <c r="AR900" s="24">
        <v>45930.611071516207</v>
      </c>
      <c r="AS900" s="24">
        <v>45930.611071516207</v>
      </c>
      <c r="AX900" s="24"/>
      <c r="AY900" s="24"/>
      <c r="AZ900" s="24"/>
      <c r="BA900" s="24"/>
      <c r="BC900" s="24"/>
      <c r="BD900" s="24"/>
      <c r="BE900" s="24"/>
      <c r="BF900" s="24"/>
      <c r="BH900" s="24">
        <v>45930.611071516207</v>
      </c>
      <c r="BI900" s="24">
        <v>45930.611071516207</v>
      </c>
      <c r="BJ900" s="24">
        <v>45930.61109849537</v>
      </c>
      <c r="BK900" s="24">
        <v>45930.61109849537</v>
      </c>
      <c r="BL900">
        <v>1</v>
      </c>
      <c r="BM900" s="24"/>
      <c r="BN900" s="24"/>
      <c r="BO900" s="24"/>
      <c r="BP900" s="24"/>
      <c r="BR900" s="24"/>
      <c r="BS900" s="24"/>
      <c r="BT900" s="24"/>
      <c r="BU900" s="24"/>
      <c r="BW900" s="24"/>
      <c r="BX900" s="24"/>
      <c r="BY900" s="24"/>
      <c r="BZ900" s="24"/>
      <c r="CB900" s="24"/>
      <c r="CC900" s="24"/>
      <c r="CE900" s="24">
        <v>45930.611150833334</v>
      </c>
      <c r="CF900" s="24">
        <v>45930.611150833334</v>
      </c>
      <c r="CG900">
        <v>1</v>
      </c>
      <c r="CH900" s="24"/>
      <c r="CI900" s="24"/>
      <c r="CJ900" s="24"/>
      <c r="CK900" s="24"/>
      <c r="DE900" s="24"/>
      <c r="DF900" s="24"/>
      <c r="DG900" s="24"/>
      <c r="DH900" s="24"/>
      <c r="DJ900" t="s">
        <v>149</v>
      </c>
      <c r="DK900" t="s">
        <v>149</v>
      </c>
      <c r="DM900">
        <v>1</v>
      </c>
      <c r="DN900">
        <v>1</v>
      </c>
      <c r="DQ900" t="s">
        <v>1001</v>
      </c>
      <c r="DR900" t="s">
        <v>149</v>
      </c>
      <c r="DS900" s="24">
        <v>46160.384426226854</v>
      </c>
    </row>
    <row r="901" spans="1:123" x14ac:dyDescent="0.3">
      <c r="A901" t="s">
        <v>1384</v>
      </c>
      <c r="D901" t="s">
        <v>225</v>
      </c>
      <c r="E901" s="24">
        <v>45929.506539351853</v>
      </c>
      <c r="G901" t="s">
        <v>90</v>
      </c>
      <c r="H901" t="s">
        <v>155</v>
      </c>
      <c r="I901" s="24"/>
      <c r="J901" s="24"/>
      <c r="K901" s="24"/>
      <c r="L901" s="24"/>
      <c r="N901" s="24"/>
      <c r="O901" s="24"/>
      <c r="P901" s="24"/>
      <c r="Q901" s="24"/>
      <c r="V901" s="24"/>
      <c r="W901" s="24"/>
      <c r="X901" s="24"/>
      <c r="Y901" s="24"/>
      <c r="AA901" s="24">
        <v>45950.4205205787</v>
      </c>
      <c r="AB901" s="24">
        <v>45950.4205205787</v>
      </c>
      <c r="AC901" s="24">
        <v>45966.650716493059</v>
      </c>
      <c r="AD901" s="24">
        <v>45966.650716493059</v>
      </c>
      <c r="AE901">
        <v>1</v>
      </c>
      <c r="AF901" s="24">
        <v>45966.650716493059</v>
      </c>
      <c r="AG901" s="24">
        <v>45966.650716493059</v>
      </c>
      <c r="AH901" s="24">
        <v>45971.313398599537</v>
      </c>
      <c r="AI901" s="24">
        <v>45971.313398599537</v>
      </c>
      <c r="AJ901">
        <v>1</v>
      </c>
      <c r="AK901" s="24">
        <v>45971.313398599537</v>
      </c>
      <c r="AL901" s="24">
        <v>45971.313398599537</v>
      </c>
      <c r="AM901" s="24">
        <v>45971.419615069448</v>
      </c>
      <c r="AN901" s="24">
        <v>45971.419615069448</v>
      </c>
      <c r="AO901">
        <v>1</v>
      </c>
      <c r="AP901" s="24"/>
      <c r="AQ901" s="24"/>
      <c r="AR901" s="24">
        <v>45945.626743125002</v>
      </c>
      <c r="AS901" s="24">
        <v>45945.626743125002</v>
      </c>
      <c r="AX901" s="24"/>
      <c r="AY901" s="24"/>
      <c r="AZ901" s="24"/>
      <c r="BA901" s="24"/>
      <c r="BC901" s="24">
        <v>45971.647864027778</v>
      </c>
      <c r="BD901" s="24">
        <v>45971.647864027778</v>
      </c>
      <c r="BE901" s="24">
        <v>46002.63492989583</v>
      </c>
      <c r="BF901" s="24">
        <v>46002.63492989583</v>
      </c>
      <c r="BG901">
        <v>1</v>
      </c>
      <c r="BH901" s="24">
        <v>45945.626743125002</v>
      </c>
      <c r="BI901" s="24">
        <v>45945.626743125002</v>
      </c>
      <c r="BJ901" s="24">
        <v>45950.4205205787</v>
      </c>
      <c r="BK901" s="24">
        <v>45950.4205205787</v>
      </c>
      <c r="BL901">
        <v>1</v>
      </c>
      <c r="BM901" s="24"/>
      <c r="BN901" s="24"/>
      <c r="BO901" s="24"/>
      <c r="BP901" s="24"/>
      <c r="BR901" s="24">
        <v>45971.419615069448</v>
      </c>
      <c r="BS901" s="24">
        <v>45971.419615069448</v>
      </c>
      <c r="BT901" s="24">
        <v>45971.647864027778</v>
      </c>
      <c r="BU901" s="24">
        <v>45971.647864027778</v>
      </c>
      <c r="BV901">
        <v>1</v>
      </c>
      <c r="BW901" s="24"/>
      <c r="BX901" s="24"/>
      <c r="BY901" s="24"/>
      <c r="BZ901" s="24"/>
      <c r="CB901" s="24"/>
      <c r="CC901" s="24"/>
      <c r="CE901" s="24">
        <v>46002.63492989583</v>
      </c>
      <c r="CF901" s="24">
        <v>46002.63492989583</v>
      </c>
      <c r="CG901">
        <v>1</v>
      </c>
      <c r="CH901" s="24"/>
      <c r="CI901" s="24"/>
      <c r="CJ901" s="24"/>
      <c r="CK901" s="24"/>
      <c r="DE901" s="24"/>
      <c r="DF901" s="24"/>
      <c r="DG901" s="24"/>
      <c r="DH901" s="24"/>
      <c r="DJ901" t="s">
        <v>149</v>
      </c>
      <c r="DK901" t="s">
        <v>149</v>
      </c>
      <c r="DM901">
        <v>58</v>
      </c>
      <c r="DN901">
        <v>53</v>
      </c>
      <c r="DQ901" t="s">
        <v>1001</v>
      </c>
      <c r="DR901" t="s">
        <v>149</v>
      </c>
      <c r="DS901" s="24">
        <v>46160.384426226854</v>
      </c>
    </row>
    <row r="902" spans="1:123" x14ac:dyDescent="0.3">
      <c r="A902" t="s">
        <v>1385</v>
      </c>
      <c r="D902" t="s">
        <v>225</v>
      </c>
      <c r="E902" s="24">
        <v>45929.506145833337</v>
      </c>
      <c r="G902" t="s">
        <v>113</v>
      </c>
      <c r="H902" t="s">
        <v>155</v>
      </c>
      <c r="I902" s="24"/>
      <c r="J902" s="24"/>
      <c r="K902" s="24"/>
      <c r="L902" s="24"/>
      <c r="N902" s="24"/>
      <c r="O902" s="24"/>
      <c r="P902" s="24"/>
      <c r="Q902" s="24"/>
      <c r="V902" s="24"/>
      <c r="W902" s="24"/>
      <c r="X902" s="24"/>
      <c r="Y902" s="24"/>
      <c r="AA902" s="24">
        <v>46133.449196296293</v>
      </c>
      <c r="AB902" s="24">
        <v>46132.409293310186</v>
      </c>
      <c r="AC902" s="24">
        <v>46132.685194953701</v>
      </c>
      <c r="AD902" s="24">
        <v>46133.590174803241</v>
      </c>
      <c r="AE902">
        <v>2</v>
      </c>
      <c r="AF902" s="24">
        <v>46133.590174803241</v>
      </c>
      <c r="AG902" s="24">
        <v>46132.685194953701</v>
      </c>
      <c r="AH902" s="24">
        <v>46133.449196296293</v>
      </c>
      <c r="AI902" s="24">
        <v>46139.995333078703</v>
      </c>
      <c r="AJ902">
        <v>2</v>
      </c>
      <c r="AK902" s="24">
        <v>46139.995333078703</v>
      </c>
      <c r="AL902" s="24">
        <v>46139.995333078703</v>
      </c>
      <c r="AM902" s="24">
        <v>46140.661242083333</v>
      </c>
      <c r="AN902" s="24">
        <v>46140.661242083333</v>
      </c>
      <c r="AO902">
        <v>1</v>
      </c>
      <c r="AP902" s="24"/>
      <c r="AQ902" s="24"/>
      <c r="AR902" s="24">
        <v>46097.490683564814</v>
      </c>
      <c r="AS902" s="24">
        <v>46097.490683564814</v>
      </c>
      <c r="AX902" s="24"/>
      <c r="AY902" s="24"/>
      <c r="AZ902" s="24"/>
      <c r="BA902" s="24"/>
      <c r="BC902" s="24">
        <v>46140.661383043982</v>
      </c>
      <c r="BD902" s="24">
        <v>46140.661383043982</v>
      </c>
      <c r="BE902" s="24"/>
      <c r="BF902" s="24"/>
      <c r="BG902">
        <v>1</v>
      </c>
      <c r="BH902" s="24">
        <v>46097.490683564814</v>
      </c>
      <c r="BI902" s="24">
        <v>46097.490683564814</v>
      </c>
      <c r="BJ902" s="24">
        <v>46132.409293310186</v>
      </c>
      <c r="BK902" s="24">
        <v>46132.409293310186</v>
      </c>
      <c r="BL902">
        <v>1</v>
      </c>
      <c r="BM902" s="24"/>
      <c r="BN902" s="24"/>
      <c r="BO902" s="24"/>
      <c r="BP902" s="24"/>
      <c r="BR902" s="24">
        <v>46140.661242083333</v>
      </c>
      <c r="BS902" s="24">
        <v>46140.661242083333</v>
      </c>
      <c r="BT902" s="24">
        <v>46140.661383043982</v>
      </c>
      <c r="BU902" s="24">
        <v>46140.661383043982</v>
      </c>
      <c r="BV902">
        <v>1</v>
      </c>
      <c r="BW902" s="24"/>
      <c r="BX902" s="24"/>
      <c r="BY902" s="24"/>
      <c r="BZ902" s="24"/>
      <c r="CB902" s="24"/>
      <c r="CC902" s="24"/>
      <c r="CE902" s="24"/>
      <c r="CF902" s="24"/>
      <c r="CH902" s="24"/>
      <c r="CI902" s="24"/>
      <c r="CJ902" s="24"/>
      <c r="CK902" s="24"/>
      <c r="DE902" s="24"/>
      <c r="DF902" s="24"/>
      <c r="DG902" s="24"/>
      <c r="DH902" s="24"/>
      <c r="DJ902" t="s">
        <v>149</v>
      </c>
      <c r="DK902" t="s">
        <v>149</v>
      </c>
      <c r="DO902">
        <v>28</v>
      </c>
      <c r="DP902">
        <v>20</v>
      </c>
      <c r="DQ902" t="s">
        <v>1001</v>
      </c>
      <c r="DR902" t="s">
        <v>149</v>
      </c>
      <c r="DS902" s="24">
        <v>46160.384426226854</v>
      </c>
    </row>
    <row r="903" spans="1:123" x14ac:dyDescent="0.3">
      <c r="A903" t="s">
        <v>1386</v>
      </c>
      <c r="D903" t="s">
        <v>225</v>
      </c>
      <c r="E903" s="24">
        <v>45929.471539351849</v>
      </c>
      <c r="G903" t="s">
        <v>90</v>
      </c>
      <c r="H903" t="s">
        <v>155</v>
      </c>
      <c r="I903" s="24"/>
      <c r="J903" s="24"/>
      <c r="K903" s="24"/>
      <c r="L903" s="24"/>
      <c r="N903" s="24"/>
      <c r="O903" s="24"/>
      <c r="P903" s="24"/>
      <c r="Q903" s="24"/>
      <c r="V903" s="24"/>
      <c r="W903" s="24"/>
      <c r="X903" s="24"/>
      <c r="Y903" s="24"/>
      <c r="AA903" s="24">
        <v>46002.38523954861</v>
      </c>
      <c r="AB903" s="24">
        <v>45994.453143587962</v>
      </c>
      <c r="AC903" s="24">
        <v>45999.435175196762</v>
      </c>
      <c r="AD903" s="24">
        <v>46003.438775949071</v>
      </c>
      <c r="AE903">
        <v>3</v>
      </c>
      <c r="AF903" s="24">
        <v>46003.438775949071</v>
      </c>
      <c r="AG903" s="24">
        <v>45999.435175196762</v>
      </c>
      <c r="AH903" s="24">
        <v>45999.451984317129</v>
      </c>
      <c r="AI903" s="24">
        <v>46007.582378032406</v>
      </c>
      <c r="AJ903">
        <v>3</v>
      </c>
      <c r="AK903" s="24">
        <v>46007.582378032406</v>
      </c>
      <c r="AL903" s="24">
        <v>46007.582378032406</v>
      </c>
      <c r="AM903" s="24">
        <v>46009.563022118055</v>
      </c>
      <c r="AN903" s="24">
        <v>46009.563022118055</v>
      </c>
      <c r="AO903">
        <v>1</v>
      </c>
      <c r="AP903" s="24"/>
      <c r="AQ903" s="24"/>
      <c r="AR903" s="24">
        <v>45994.453089317132</v>
      </c>
      <c r="AS903" s="24">
        <v>45994.453089317132</v>
      </c>
      <c r="AX903" s="24"/>
      <c r="AY903" s="24"/>
      <c r="AZ903" s="24"/>
      <c r="BA903" s="24"/>
      <c r="BC903" s="24">
        <v>46009.563125173612</v>
      </c>
      <c r="BD903" s="24">
        <v>46009.563125173612</v>
      </c>
      <c r="BE903" s="24">
        <v>46057.983991018518</v>
      </c>
      <c r="BF903" s="24">
        <v>46057.983991018518</v>
      </c>
      <c r="BG903">
        <v>1</v>
      </c>
      <c r="BH903" s="24">
        <v>45994.453089317132</v>
      </c>
      <c r="BI903" s="24">
        <v>45994.453089317132</v>
      </c>
      <c r="BJ903" s="24">
        <v>45994.453143587962</v>
      </c>
      <c r="BK903" s="24">
        <v>45994.453143587962</v>
      </c>
      <c r="BL903">
        <v>1</v>
      </c>
      <c r="BM903" s="24"/>
      <c r="BN903" s="24"/>
      <c r="BO903" s="24"/>
      <c r="BP903" s="24"/>
      <c r="BR903" s="24">
        <v>46009.563022118055</v>
      </c>
      <c r="BS903" s="24">
        <v>46009.563022118055</v>
      </c>
      <c r="BT903" s="24">
        <v>46009.563125173612</v>
      </c>
      <c r="BU903" s="24">
        <v>46009.563125173612</v>
      </c>
      <c r="BV903">
        <v>1</v>
      </c>
      <c r="BW903" s="24"/>
      <c r="BX903" s="24"/>
      <c r="BY903" s="24"/>
      <c r="BZ903" s="24"/>
      <c r="CB903" s="24"/>
      <c r="CC903" s="24"/>
      <c r="CE903" s="24">
        <v>46057.983991018518</v>
      </c>
      <c r="CF903" s="24">
        <v>46057.983991018518</v>
      </c>
      <c r="CG903">
        <v>1</v>
      </c>
      <c r="CH903" s="24"/>
      <c r="CI903" s="24"/>
      <c r="CJ903" s="24"/>
      <c r="CK903" s="24"/>
      <c r="DE903" s="24"/>
      <c r="DF903" s="24"/>
      <c r="DG903" s="24"/>
      <c r="DH903" s="24"/>
      <c r="DJ903" t="s">
        <v>149</v>
      </c>
      <c r="DK903" t="s">
        <v>149</v>
      </c>
      <c r="DM903">
        <v>64</v>
      </c>
      <c r="DN903">
        <v>64</v>
      </c>
      <c r="DQ903" t="s">
        <v>1001</v>
      </c>
      <c r="DR903" t="s">
        <v>149</v>
      </c>
      <c r="DS903" s="24">
        <v>46160.384426226854</v>
      </c>
    </row>
    <row r="904" spans="1:123" x14ac:dyDescent="0.3">
      <c r="A904" t="s">
        <v>1387</v>
      </c>
      <c r="D904" t="s">
        <v>225</v>
      </c>
      <c r="E904" s="24">
        <v>45929.461145833331</v>
      </c>
      <c r="G904" t="s">
        <v>90</v>
      </c>
      <c r="H904" t="s">
        <v>155</v>
      </c>
      <c r="I904" s="24"/>
      <c r="J904" s="24"/>
      <c r="K904" s="24"/>
      <c r="L904" s="24"/>
      <c r="N904" s="24"/>
      <c r="O904" s="24"/>
      <c r="P904" s="24"/>
      <c r="Q904" s="24"/>
      <c r="V904" s="24"/>
      <c r="W904" s="24"/>
      <c r="X904" s="24"/>
      <c r="Y904" s="24"/>
      <c r="AA904" s="24">
        <v>45940.40476646991</v>
      </c>
      <c r="AB904" s="24">
        <v>45940.40476646991</v>
      </c>
      <c r="AC904" s="24">
        <v>45952.751388472221</v>
      </c>
      <c r="AD904" s="24">
        <v>45952.751388472221</v>
      </c>
      <c r="AE904">
        <v>1</v>
      </c>
      <c r="AF904" s="24"/>
      <c r="AG904" s="24"/>
      <c r="AH904" s="24"/>
      <c r="AI904" s="24"/>
      <c r="AK904" s="24">
        <v>45952.751388472221</v>
      </c>
      <c r="AL904" s="24">
        <v>45952.751388472221</v>
      </c>
      <c r="AM904" s="24">
        <v>45958.441897060184</v>
      </c>
      <c r="AN904" s="24">
        <v>45958.441897060184</v>
      </c>
      <c r="AO904">
        <v>1</v>
      </c>
      <c r="AP904" s="24"/>
      <c r="AQ904" s="24"/>
      <c r="AR904" s="24">
        <v>45929.468199583331</v>
      </c>
      <c r="AS904" s="24">
        <v>45929.468199583331</v>
      </c>
      <c r="AX904" s="24"/>
      <c r="AY904" s="24"/>
      <c r="AZ904" s="24"/>
      <c r="BA904" s="24"/>
      <c r="BC904" s="24">
        <v>45958.647914027781</v>
      </c>
      <c r="BD904" s="24">
        <v>45958.647914027781</v>
      </c>
      <c r="BE904" s="24">
        <v>45961.414392002313</v>
      </c>
      <c r="BF904" s="24">
        <v>45961.414392002313</v>
      </c>
      <c r="BG904">
        <v>1</v>
      </c>
      <c r="BH904" s="24">
        <v>45929.468199583331</v>
      </c>
      <c r="BI904" s="24">
        <v>45929.468199583331</v>
      </c>
      <c r="BJ904" s="24">
        <v>45940.40476646991</v>
      </c>
      <c r="BK904" s="24">
        <v>45940.40476646991</v>
      </c>
      <c r="BL904">
        <v>1</v>
      </c>
      <c r="BM904" s="24"/>
      <c r="BN904" s="24"/>
      <c r="BO904" s="24"/>
      <c r="BP904" s="24"/>
      <c r="BR904" s="24">
        <v>45958.441897060184</v>
      </c>
      <c r="BS904" s="24">
        <v>45958.441897060184</v>
      </c>
      <c r="BT904" s="24">
        <v>45958.647914027781</v>
      </c>
      <c r="BU904" s="24">
        <v>45958.647914027781</v>
      </c>
      <c r="BV904">
        <v>1</v>
      </c>
      <c r="BW904" s="24"/>
      <c r="BX904" s="24"/>
      <c r="BY904" s="24"/>
      <c r="BZ904" s="24"/>
      <c r="CB904" s="24"/>
      <c r="CC904" s="24"/>
      <c r="CE904" s="24">
        <v>45961.414392002313</v>
      </c>
      <c r="CF904" s="24">
        <v>45961.414392002313</v>
      </c>
      <c r="CG904">
        <v>1</v>
      </c>
      <c r="CH904" s="24"/>
      <c r="CI904" s="24"/>
      <c r="CJ904" s="24"/>
      <c r="CK904" s="24"/>
      <c r="DE904" s="24"/>
      <c r="DF904" s="24"/>
      <c r="DG904" s="24"/>
      <c r="DH904" s="24"/>
      <c r="DJ904" t="s">
        <v>149</v>
      </c>
      <c r="DK904" t="s">
        <v>149</v>
      </c>
      <c r="DM904">
        <v>32</v>
      </c>
      <c r="DN904">
        <v>22</v>
      </c>
      <c r="DQ904" t="s">
        <v>1001</v>
      </c>
      <c r="DR904" t="s">
        <v>149</v>
      </c>
      <c r="DS904" s="24">
        <v>46160.384426226854</v>
      </c>
    </row>
    <row r="905" spans="1:123" x14ac:dyDescent="0.3">
      <c r="A905" t="s">
        <v>1388</v>
      </c>
      <c r="D905" t="s">
        <v>225</v>
      </c>
      <c r="E905" s="24">
        <v>45929.458379629628</v>
      </c>
      <c r="G905" t="s">
        <v>90</v>
      </c>
      <c r="H905" t="s">
        <v>155</v>
      </c>
      <c r="I905" s="24"/>
      <c r="J905" s="24"/>
      <c r="K905" s="24"/>
      <c r="L905" s="24"/>
      <c r="N905" s="24"/>
      <c r="O905" s="24"/>
      <c r="P905" s="24"/>
      <c r="Q905" s="24"/>
      <c r="V905" s="24"/>
      <c r="W905" s="24"/>
      <c r="X905" s="24"/>
      <c r="Y905" s="24"/>
      <c r="AA905" s="24">
        <v>45937.467370879633</v>
      </c>
      <c r="AB905" s="24">
        <v>45937.467370879633</v>
      </c>
      <c r="AC905" s="24">
        <v>45938.308054293979</v>
      </c>
      <c r="AD905" s="24">
        <v>45938.308054293979</v>
      </c>
      <c r="AE905">
        <v>1</v>
      </c>
      <c r="AF905" s="24">
        <v>45938.308054293979</v>
      </c>
      <c r="AG905" s="24">
        <v>45938.308054293979</v>
      </c>
      <c r="AH905" s="24">
        <v>45938.413227337966</v>
      </c>
      <c r="AI905" s="24">
        <v>45938.413227337966</v>
      </c>
      <c r="AJ905">
        <v>1</v>
      </c>
      <c r="AK905" s="24">
        <v>45938.413227337966</v>
      </c>
      <c r="AL905" s="24">
        <v>45938.413227337966</v>
      </c>
      <c r="AM905" s="24">
        <v>45938.430188032406</v>
      </c>
      <c r="AN905" s="24">
        <v>45938.430188032406</v>
      </c>
      <c r="AO905">
        <v>1</v>
      </c>
      <c r="AP905" s="24"/>
      <c r="AQ905" s="24"/>
      <c r="AR905" s="24">
        <v>45936.286507719909</v>
      </c>
      <c r="AS905" s="24">
        <v>45936.286507719909</v>
      </c>
      <c r="AX905" s="24"/>
      <c r="AY905" s="24"/>
      <c r="AZ905" s="24"/>
      <c r="BA905" s="24"/>
      <c r="BC905" s="24">
        <v>45939.439519444444</v>
      </c>
      <c r="BD905" s="24">
        <v>45939.439519444444</v>
      </c>
      <c r="BE905" s="24">
        <v>45947.703338101855</v>
      </c>
      <c r="BF905" s="24">
        <v>45947.703338101855</v>
      </c>
      <c r="BG905">
        <v>1</v>
      </c>
      <c r="BH905" s="24">
        <v>45936.286507719909</v>
      </c>
      <c r="BI905" s="24">
        <v>45936.286507719909</v>
      </c>
      <c r="BJ905" s="24">
        <v>45937.467370879633</v>
      </c>
      <c r="BK905" s="24">
        <v>45937.467370879633</v>
      </c>
      <c r="BL905">
        <v>1</v>
      </c>
      <c r="BM905" s="24"/>
      <c r="BN905" s="24"/>
      <c r="BO905" s="24"/>
      <c r="BP905" s="24"/>
      <c r="BR905" s="24">
        <v>45938.430188032406</v>
      </c>
      <c r="BS905" s="24">
        <v>45938.430188032406</v>
      </c>
      <c r="BT905" s="24">
        <v>45939.439519444444</v>
      </c>
      <c r="BU905" s="24">
        <v>45939.439519444444</v>
      </c>
      <c r="BV905">
        <v>1</v>
      </c>
      <c r="BW905" s="24"/>
      <c r="BX905" s="24"/>
      <c r="BY905" s="24"/>
      <c r="BZ905" s="24"/>
      <c r="CB905" s="24"/>
      <c r="CC905" s="24"/>
      <c r="CE905" s="24">
        <v>45947.703338101855</v>
      </c>
      <c r="CF905" s="24">
        <v>45947.703338101855</v>
      </c>
      <c r="CG905">
        <v>1</v>
      </c>
      <c r="CH905" s="24"/>
      <c r="CI905" s="24"/>
      <c r="CJ905" s="24"/>
      <c r="CK905" s="24"/>
      <c r="DE905" s="24"/>
      <c r="DF905" s="24"/>
      <c r="DG905" s="24"/>
      <c r="DH905" s="24"/>
      <c r="DJ905" t="s">
        <v>149</v>
      </c>
      <c r="DK905" t="s">
        <v>149</v>
      </c>
      <c r="DM905">
        <v>12</v>
      </c>
      <c r="DN905">
        <v>11</v>
      </c>
      <c r="DQ905" t="s">
        <v>1001</v>
      </c>
      <c r="DR905" t="s">
        <v>149</v>
      </c>
      <c r="DS905" s="24">
        <v>46160.384426226854</v>
      </c>
    </row>
    <row r="906" spans="1:123" x14ac:dyDescent="0.3">
      <c r="A906" t="s">
        <v>1389</v>
      </c>
      <c r="D906" t="s">
        <v>223</v>
      </c>
      <c r="E906" s="24">
        <v>45926.468472222223</v>
      </c>
      <c r="G906" t="s">
        <v>90</v>
      </c>
      <c r="H906" t="s">
        <v>155</v>
      </c>
      <c r="I906" s="24"/>
      <c r="J906" s="24"/>
      <c r="K906" s="24"/>
      <c r="L906" s="24"/>
      <c r="N906" s="24"/>
      <c r="O906" s="24"/>
      <c r="P906" s="24"/>
      <c r="Q906" s="24"/>
      <c r="V906" s="24"/>
      <c r="W906" s="24"/>
      <c r="X906" s="24"/>
      <c r="Y906" s="24"/>
      <c r="AA906" s="24">
        <v>45926.517926655091</v>
      </c>
      <c r="AB906" s="24">
        <v>45926.517926655091</v>
      </c>
      <c r="AC906" s="24">
        <v>45929.359195381941</v>
      </c>
      <c r="AD906" s="24">
        <v>45929.359195381941</v>
      </c>
      <c r="AE906">
        <v>1</v>
      </c>
      <c r="AF906" s="24">
        <v>45929.359195381941</v>
      </c>
      <c r="AG906" s="24">
        <v>45929.359195381941</v>
      </c>
      <c r="AH906" s="24">
        <v>45929.43397878472</v>
      </c>
      <c r="AI906" s="24">
        <v>45929.43397878472</v>
      </c>
      <c r="AJ906">
        <v>1</v>
      </c>
      <c r="AK906" s="24"/>
      <c r="AL906" s="24"/>
      <c r="AM906" s="24"/>
      <c r="AN906" s="24"/>
      <c r="AP906" s="24"/>
      <c r="AQ906" s="24"/>
      <c r="AR906" s="24">
        <v>45926.517863402776</v>
      </c>
      <c r="AS906" s="24">
        <v>45926.517863402776</v>
      </c>
      <c r="AX906" s="24"/>
      <c r="AY906" s="24"/>
      <c r="AZ906" s="24"/>
      <c r="BA906" s="24"/>
      <c r="BC906" s="24"/>
      <c r="BD906" s="24"/>
      <c r="BE906" s="24"/>
      <c r="BF906" s="24"/>
      <c r="BH906" s="24">
        <v>45926.517863402776</v>
      </c>
      <c r="BI906" s="24">
        <v>45926.517863402776</v>
      </c>
      <c r="BJ906" s="24">
        <v>45926.517926655091</v>
      </c>
      <c r="BK906" s="24">
        <v>45926.517926655091</v>
      </c>
      <c r="BL906">
        <v>1</v>
      </c>
      <c r="BM906" s="24"/>
      <c r="BN906" s="24"/>
      <c r="BO906" s="24"/>
      <c r="BP906" s="24"/>
      <c r="BR906" s="24">
        <v>45929.43397878472</v>
      </c>
      <c r="BS906" s="24">
        <v>45929.43397878472</v>
      </c>
      <c r="BT906" s="24">
        <v>45930.284433749999</v>
      </c>
      <c r="BU906" s="24">
        <v>45930.284433749999</v>
      </c>
      <c r="BV906">
        <v>1</v>
      </c>
      <c r="BW906" s="24"/>
      <c r="BX906" s="24"/>
      <c r="BY906" s="24"/>
      <c r="BZ906" s="24"/>
      <c r="CB906" s="24"/>
      <c r="CC906" s="24"/>
      <c r="CE906" s="24">
        <v>45930.284433749999</v>
      </c>
      <c r="CF906" s="24">
        <v>45930.284433749999</v>
      </c>
      <c r="CG906">
        <v>1</v>
      </c>
      <c r="CH906" s="24"/>
      <c r="CI906" s="24"/>
      <c r="CJ906" s="24"/>
      <c r="CK906" s="24"/>
      <c r="DE906" s="24"/>
      <c r="DF906" s="24"/>
      <c r="DG906" s="24"/>
      <c r="DH906" s="24"/>
      <c r="DJ906" t="s">
        <v>149</v>
      </c>
      <c r="DK906" t="s">
        <v>149</v>
      </c>
      <c r="DM906">
        <v>4</v>
      </c>
      <c r="DN906">
        <v>4</v>
      </c>
      <c r="DQ906" t="s">
        <v>1001</v>
      </c>
      <c r="DR906" t="s">
        <v>149</v>
      </c>
      <c r="DS906" s="24">
        <v>46160.384426226854</v>
      </c>
    </row>
    <row r="907" spans="1:123" x14ac:dyDescent="0.3">
      <c r="A907" t="s">
        <v>1390</v>
      </c>
      <c r="D907" t="s">
        <v>223</v>
      </c>
      <c r="E907" s="24">
        <v>45918.391469907408</v>
      </c>
      <c r="G907" t="s">
        <v>90</v>
      </c>
      <c r="H907" t="s">
        <v>155</v>
      </c>
      <c r="I907" s="24"/>
      <c r="J907" s="24"/>
      <c r="K907" s="24"/>
      <c r="L907" s="24"/>
      <c r="N907" s="24"/>
      <c r="O907" s="24"/>
      <c r="P907" s="24"/>
      <c r="Q907" s="24"/>
      <c r="V907" s="24"/>
      <c r="W907" s="24"/>
      <c r="X907" s="24"/>
      <c r="Y907" s="24"/>
      <c r="AA907" s="24">
        <v>45936.481126192128</v>
      </c>
      <c r="AB907" s="24">
        <v>45936.481126192128</v>
      </c>
      <c r="AC907" s="24">
        <v>45945.428171122687</v>
      </c>
      <c r="AD907" s="24">
        <v>45945.428171122687</v>
      </c>
      <c r="AE907">
        <v>1</v>
      </c>
      <c r="AF907" s="24">
        <v>45945.428171122687</v>
      </c>
      <c r="AG907" s="24">
        <v>45945.428171122687</v>
      </c>
      <c r="AH907" s="24">
        <v>45945.428236331019</v>
      </c>
      <c r="AI907" s="24">
        <v>45945.428236331019</v>
      </c>
      <c r="AJ907">
        <v>1</v>
      </c>
      <c r="AK907" s="24"/>
      <c r="AL907" s="24"/>
      <c r="AM907" s="24"/>
      <c r="AN907" s="24"/>
      <c r="AP907" s="24"/>
      <c r="AQ907" s="24"/>
      <c r="AR907" s="24">
        <v>45936.48106903935</v>
      </c>
      <c r="AS907" s="24">
        <v>45936.48106903935</v>
      </c>
      <c r="AX907" s="24"/>
      <c r="AY907" s="24"/>
      <c r="AZ907" s="24"/>
      <c r="BA907" s="24"/>
      <c r="BC907" s="24"/>
      <c r="BD907" s="24"/>
      <c r="BE907" s="24"/>
      <c r="BF907" s="24"/>
      <c r="BH907" s="24">
        <v>45936.48106903935</v>
      </c>
      <c r="BI907" s="24">
        <v>45936.48106903935</v>
      </c>
      <c r="BJ907" s="24">
        <v>45936.481126192128</v>
      </c>
      <c r="BK907" s="24">
        <v>45936.481126192128</v>
      </c>
      <c r="BL907">
        <v>1</v>
      </c>
      <c r="BM907" s="24"/>
      <c r="BN907" s="24"/>
      <c r="BO907" s="24"/>
      <c r="BP907" s="24"/>
      <c r="BR907" s="24">
        <v>45945.428236331019</v>
      </c>
      <c r="BS907" s="24">
        <v>45945.428236331019</v>
      </c>
      <c r="BT907" s="24">
        <v>45945.428290081021</v>
      </c>
      <c r="BU907" s="24">
        <v>45945.428290081021</v>
      </c>
      <c r="BV907">
        <v>1</v>
      </c>
      <c r="BW907" s="24"/>
      <c r="BX907" s="24"/>
      <c r="BY907" s="24"/>
      <c r="BZ907" s="24"/>
      <c r="CB907" s="24"/>
      <c r="CC907" s="24"/>
      <c r="CE907" s="24">
        <v>45945.428290081021</v>
      </c>
      <c r="CF907" s="24">
        <v>45945.428290081021</v>
      </c>
      <c r="CG907">
        <v>1</v>
      </c>
      <c r="CH907" s="24"/>
      <c r="CI907" s="24"/>
      <c r="CJ907" s="24"/>
      <c r="CK907" s="24"/>
      <c r="DE907" s="24"/>
      <c r="DF907" s="24"/>
      <c r="DG907" s="24"/>
      <c r="DH907" s="24"/>
      <c r="DJ907" t="s">
        <v>149</v>
      </c>
      <c r="DK907" t="s">
        <v>149</v>
      </c>
      <c r="DM907">
        <v>9</v>
      </c>
      <c r="DN907">
        <v>9</v>
      </c>
      <c r="DQ907" t="s">
        <v>1001</v>
      </c>
      <c r="DR907" t="s">
        <v>149</v>
      </c>
      <c r="DS907" s="24">
        <v>46160.384426226854</v>
      </c>
    </row>
    <row r="908" spans="1:123" x14ac:dyDescent="0.3">
      <c r="A908" t="s">
        <v>1391</v>
      </c>
      <c r="D908" t="s">
        <v>225</v>
      </c>
      <c r="E908" s="24">
        <v>45917.505219907405</v>
      </c>
      <c r="G908" t="s">
        <v>89</v>
      </c>
      <c r="H908" t="s">
        <v>89</v>
      </c>
      <c r="I908" s="24"/>
      <c r="J908" s="24"/>
      <c r="K908" s="24"/>
      <c r="L908" s="24"/>
      <c r="N908" s="24"/>
      <c r="O908" s="24"/>
      <c r="P908" s="24"/>
      <c r="Q908" s="24"/>
      <c r="V908" s="24"/>
      <c r="W908" s="24"/>
      <c r="X908" s="24"/>
      <c r="Y908" s="24"/>
      <c r="AA908" s="24">
        <v>46155.450458599538</v>
      </c>
      <c r="AB908" s="24">
        <v>46146.642305150461</v>
      </c>
      <c r="AC908" s="24">
        <v>46154.662318287039</v>
      </c>
      <c r="AD908" s="24">
        <v>46154.662318287039</v>
      </c>
      <c r="AE908">
        <v>2</v>
      </c>
      <c r="AF908" s="24">
        <v>46154.662318287039</v>
      </c>
      <c r="AG908" s="24">
        <v>46154.662318287039</v>
      </c>
      <c r="AH908" s="24">
        <v>46155.450458599538</v>
      </c>
      <c r="AI908" s="24">
        <v>46155.450458599538</v>
      </c>
      <c r="AJ908">
        <v>1</v>
      </c>
      <c r="AK908" s="24"/>
      <c r="AL908" s="24"/>
      <c r="AM908" s="24"/>
      <c r="AN908" s="24"/>
      <c r="AP908" s="24"/>
      <c r="AQ908" s="24"/>
      <c r="AR908" s="24">
        <v>45929.504863217589</v>
      </c>
      <c r="AS908" s="24">
        <v>45929.504863217589</v>
      </c>
      <c r="AX908" s="24"/>
      <c r="AY908" s="24"/>
      <c r="AZ908" s="24"/>
      <c r="BA908" s="24"/>
      <c r="BC908" s="24"/>
      <c r="BD908" s="24"/>
      <c r="BE908" s="24"/>
      <c r="BF908" s="24"/>
      <c r="BH908" s="24">
        <v>45929.504863217589</v>
      </c>
      <c r="BI908" s="24">
        <v>45929.504863217589</v>
      </c>
      <c r="BJ908" s="24">
        <v>46146.642305150461</v>
      </c>
      <c r="BK908" s="24">
        <v>46146.642305150461</v>
      </c>
      <c r="BL908">
        <v>1</v>
      </c>
      <c r="BM908" s="24"/>
      <c r="BN908" s="24"/>
      <c r="BO908" s="24"/>
      <c r="BP908" s="24"/>
      <c r="BR908" s="24"/>
      <c r="BS908" s="24"/>
      <c r="BT908" s="24"/>
      <c r="BU908" s="24"/>
      <c r="BW908" s="24"/>
      <c r="BX908" s="24"/>
      <c r="BY908" s="24"/>
      <c r="BZ908" s="24"/>
      <c r="CB908" s="24"/>
      <c r="CC908" s="24"/>
      <c r="CE908" s="24"/>
      <c r="CF908" s="24"/>
      <c r="CH908" s="24"/>
      <c r="CI908" s="24"/>
      <c r="CJ908" s="24"/>
      <c r="CK908" s="24"/>
      <c r="DE908" s="24"/>
      <c r="DF908" s="24"/>
      <c r="DG908" s="24"/>
      <c r="DH908" s="24"/>
      <c r="DJ908" t="s">
        <v>149</v>
      </c>
      <c r="DK908" t="s">
        <v>149</v>
      </c>
      <c r="DO908">
        <v>14</v>
      </c>
      <c r="DP908">
        <v>5</v>
      </c>
      <c r="DQ908" t="s">
        <v>1001</v>
      </c>
      <c r="DR908" t="s">
        <v>149</v>
      </c>
      <c r="DS908" s="24">
        <v>46160.384426226854</v>
      </c>
    </row>
    <row r="909" spans="1:123" x14ac:dyDescent="0.3">
      <c r="A909" t="s">
        <v>1392</v>
      </c>
      <c r="D909" t="s">
        <v>225</v>
      </c>
      <c r="E909" s="24">
        <v>45917.484594907408</v>
      </c>
      <c r="G909" t="s">
        <v>90</v>
      </c>
      <c r="H909" t="s">
        <v>155</v>
      </c>
      <c r="I909" s="24"/>
      <c r="J909" s="24"/>
      <c r="K909" s="24"/>
      <c r="L909" s="24"/>
      <c r="N909" s="24"/>
      <c r="O909" s="24"/>
      <c r="P909" s="24"/>
      <c r="Q909" s="24"/>
      <c r="V909" s="24"/>
      <c r="W909" s="24"/>
      <c r="X909" s="24"/>
      <c r="Y909" s="24"/>
      <c r="AA909" s="24">
        <v>45922.445237060187</v>
      </c>
      <c r="AB909" s="24">
        <v>45922.445237060187</v>
      </c>
      <c r="AC909" s="24">
        <v>45938.429176805555</v>
      </c>
      <c r="AD909" s="24">
        <v>45938.429176805555</v>
      </c>
      <c r="AE909">
        <v>1</v>
      </c>
      <c r="AF909" s="24">
        <v>45938.429176805555</v>
      </c>
      <c r="AG909" s="24">
        <v>45938.429176805555</v>
      </c>
      <c r="AH909" s="24">
        <v>45938.696848333333</v>
      </c>
      <c r="AI909" s="24">
        <v>45938.696848333333</v>
      </c>
      <c r="AJ909">
        <v>1</v>
      </c>
      <c r="AK909" s="24">
        <v>45938.696848333333</v>
      </c>
      <c r="AL909" s="24">
        <v>45938.696848333333</v>
      </c>
      <c r="AM909" s="24">
        <v>45943.59686755787</v>
      </c>
      <c r="AN909" s="24">
        <v>45943.59686755787</v>
      </c>
      <c r="AO909">
        <v>1</v>
      </c>
      <c r="AP909" s="24"/>
      <c r="AQ909" s="24"/>
      <c r="AR909" s="24">
        <v>45917.486605300925</v>
      </c>
      <c r="AS909" s="24">
        <v>45917.486605300925</v>
      </c>
      <c r="AX909" s="24"/>
      <c r="AY909" s="24"/>
      <c r="AZ909" s="24"/>
      <c r="BA909" s="24"/>
      <c r="BC909" s="24">
        <v>45943.59699351852</v>
      </c>
      <c r="BD909" s="24">
        <v>45943.59699351852</v>
      </c>
      <c r="BE909" s="24">
        <v>45961.414391990744</v>
      </c>
      <c r="BF909" s="24">
        <v>45961.414391990744</v>
      </c>
      <c r="BG909">
        <v>1</v>
      </c>
      <c r="BH909" s="24">
        <v>45917.486605300925</v>
      </c>
      <c r="BI909" s="24">
        <v>45917.486605300925</v>
      </c>
      <c r="BJ909" s="24">
        <v>45922.445237060187</v>
      </c>
      <c r="BK909" s="24">
        <v>45922.445237060187</v>
      </c>
      <c r="BL909">
        <v>1</v>
      </c>
      <c r="BM909" s="24"/>
      <c r="BN909" s="24"/>
      <c r="BO909" s="24"/>
      <c r="BP909" s="24"/>
      <c r="BR909" s="24">
        <v>45943.59686755787</v>
      </c>
      <c r="BS909" s="24">
        <v>45943.59686755787</v>
      </c>
      <c r="BT909" s="24">
        <v>45943.59699351852</v>
      </c>
      <c r="BU909" s="24">
        <v>45943.59699351852</v>
      </c>
      <c r="BV909">
        <v>1</v>
      </c>
      <c r="BW909" s="24"/>
      <c r="BX909" s="24"/>
      <c r="BY909" s="24"/>
      <c r="BZ909" s="24"/>
      <c r="CB909" s="24"/>
      <c r="CC909" s="24"/>
      <c r="CE909" s="24">
        <v>45961.414391990744</v>
      </c>
      <c r="CF909" s="24">
        <v>45961.414391990744</v>
      </c>
      <c r="CG909">
        <v>1</v>
      </c>
      <c r="CH909" s="24"/>
      <c r="CI909" s="24"/>
      <c r="CJ909" s="24"/>
      <c r="CK909" s="24"/>
      <c r="DE909" s="24"/>
      <c r="DF909" s="24"/>
      <c r="DG909" s="24"/>
      <c r="DH909" s="24"/>
      <c r="DJ909" t="s">
        <v>149</v>
      </c>
      <c r="DK909" t="s">
        <v>149</v>
      </c>
      <c r="DM909">
        <v>44</v>
      </c>
      <c r="DN909">
        <v>39</v>
      </c>
      <c r="DQ909" t="s">
        <v>1001</v>
      </c>
      <c r="DR909" t="s">
        <v>149</v>
      </c>
      <c r="DS909" s="24">
        <v>46160.384426226854</v>
      </c>
    </row>
    <row r="910" spans="1:123" x14ac:dyDescent="0.3">
      <c r="A910" t="s">
        <v>1393</v>
      </c>
      <c r="D910" t="s">
        <v>225</v>
      </c>
      <c r="E910" s="24">
        <v>45917.481921296298</v>
      </c>
      <c r="G910" t="s">
        <v>102</v>
      </c>
      <c r="H910" t="s">
        <v>154</v>
      </c>
      <c r="I910" s="24"/>
      <c r="J910" s="24"/>
      <c r="K910" s="24"/>
      <c r="L910" s="24"/>
      <c r="N910" s="24"/>
      <c r="O910" s="24"/>
      <c r="P910" s="24"/>
      <c r="Q910" s="24"/>
      <c r="V910" s="24"/>
      <c r="W910" s="24"/>
      <c r="X910" s="24"/>
      <c r="Y910" s="24"/>
      <c r="AA910" s="24"/>
      <c r="AB910" s="24"/>
      <c r="AC910" s="24"/>
      <c r="AD910" s="24"/>
      <c r="AF910" s="24"/>
      <c r="AG910" s="24"/>
      <c r="AH910" s="24"/>
      <c r="AI910" s="24"/>
      <c r="AK910" s="24"/>
      <c r="AL910" s="24"/>
      <c r="AM910" s="24"/>
      <c r="AN910" s="24"/>
      <c r="AP910" s="24"/>
      <c r="AQ910" s="24"/>
      <c r="AR910" s="24"/>
      <c r="AS910" s="24"/>
      <c r="AX910" s="24"/>
      <c r="AY910" s="24"/>
      <c r="AZ910" s="24"/>
      <c r="BA910" s="24"/>
      <c r="BC910" s="24"/>
      <c r="BD910" s="24"/>
      <c r="BE910" s="24"/>
      <c r="BF910" s="24"/>
      <c r="BH910" s="24"/>
      <c r="BI910" s="24"/>
      <c r="BJ910" s="24"/>
      <c r="BK910" s="24"/>
      <c r="BM910" s="24"/>
      <c r="BN910" s="24"/>
      <c r="BO910" s="24"/>
      <c r="BP910" s="24"/>
      <c r="BR910" s="24"/>
      <c r="BS910" s="24"/>
      <c r="BT910" s="24"/>
      <c r="BU910" s="24"/>
      <c r="BW910" s="24"/>
      <c r="BX910" s="24"/>
      <c r="BY910" s="24"/>
      <c r="BZ910" s="24"/>
      <c r="CB910" s="24"/>
      <c r="CC910" s="24"/>
      <c r="CE910" s="24"/>
      <c r="CF910" s="24"/>
      <c r="CH910" s="24"/>
      <c r="CI910" s="24"/>
      <c r="CJ910" s="24"/>
      <c r="CK910" s="24"/>
      <c r="DE910" s="24"/>
      <c r="DF910" s="24"/>
      <c r="DG910" s="24"/>
      <c r="DH910" s="24"/>
      <c r="DJ910" t="s">
        <v>149</v>
      </c>
      <c r="DK910" t="s">
        <v>149</v>
      </c>
      <c r="DQ910" t="s">
        <v>1001</v>
      </c>
      <c r="DR910" t="s">
        <v>149</v>
      </c>
      <c r="DS910" s="24">
        <v>46160.384426226854</v>
      </c>
    </row>
    <row r="911" spans="1:123" x14ac:dyDescent="0.3">
      <c r="A911" t="s">
        <v>1394</v>
      </c>
      <c r="D911" t="s">
        <v>225</v>
      </c>
      <c r="E911" s="24">
        <v>45917.480983796297</v>
      </c>
      <c r="G911" t="s">
        <v>102</v>
      </c>
      <c r="H911" t="s">
        <v>154</v>
      </c>
      <c r="I911" s="24"/>
      <c r="J911" s="24"/>
      <c r="K911" s="24"/>
      <c r="L911" s="24"/>
      <c r="N911" s="24"/>
      <c r="O911" s="24"/>
      <c r="P911" s="24"/>
      <c r="Q911" s="24"/>
      <c r="V911" s="24"/>
      <c r="W911" s="24"/>
      <c r="X911" s="24"/>
      <c r="Y911" s="24"/>
      <c r="AA911" s="24"/>
      <c r="AB911" s="24"/>
      <c r="AC911" s="24"/>
      <c r="AD911" s="24"/>
      <c r="AF911" s="24"/>
      <c r="AG911" s="24"/>
      <c r="AH911" s="24"/>
      <c r="AI911" s="24"/>
      <c r="AK911" s="24"/>
      <c r="AL911" s="24"/>
      <c r="AM911" s="24"/>
      <c r="AN911" s="24"/>
      <c r="AP911" s="24"/>
      <c r="AQ911" s="24"/>
      <c r="AR911" s="24"/>
      <c r="AS911" s="24"/>
      <c r="AX911" s="24"/>
      <c r="AY911" s="24"/>
      <c r="AZ911" s="24"/>
      <c r="BA911" s="24"/>
      <c r="BC911" s="24"/>
      <c r="BD911" s="24"/>
      <c r="BE911" s="24"/>
      <c r="BF911" s="24"/>
      <c r="BH911" s="24"/>
      <c r="BI911" s="24"/>
      <c r="BJ911" s="24"/>
      <c r="BK911" s="24"/>
      <c r="BM911" s="24"/>
      <c r="BN911" s="24"/>
      <c r="BO911" s="24"/>
      <c r="BP911" s="24"/>
      <c r="BR911" s="24"/>
      <c r="BS911" s="24"/>
      <c r="BT911" s="24"/>
      <c r="BU911" s="24"/>
      <c r="BW911" s="24"/>
      <c r="BX911" s="24"/>
      <c r="BY911" s="24"/>
      <c r="BZ911" s="24"/>
      <c r="CB911" s="24"/>
      <c r="CC911" s="24"/>
      <c r="CE911" s="24"/>
      <c r="CF911" s="24"/>
      <c r="CH911" s="24"/>
      <c r="CI911" s="24"/>
      <c r="CJ911" s="24"/>
      <c r="CK911" s="24"/>
      <c r="DE911" s="24"/>
      <c r="DF911" s="24"/>
      <c r="DG911" s="24"/>
      <c r="DH911" s="24"/>
      <c r="DJ911" t="s">
        <v>149</v>
      </c>
      <c r="DK911" t="s">
        <v>149</v>
      </c>
      <c r="DQ911" t="s">
        <v>1001</v>
      </c>
      <c r="DR911" t="s">
        <v>149</v>
      </c>
      <c r="DS911" s="24">
        <v>46160.384426226854</v>
      </c>
    </row>
    <row r="912" spans="1:123" x14ac:dyDescent="0.3">
      <c r="A912" t="s">
        <v>1395</v>
      </c>
      <c r="D912" t="s">
        <v>225</v>
      </c>
      <c r="E912" s="24">
        <v>45917.449803240743</v>
      </c>
      <c r="G912" t="s">
        <v>90</v>
      </c>
      <c r="H912" t="s">
        <v>155</v>
      </c>
      <c r="I912" s="24"/>
      <c r="J912" s="24"/>
      <c r="K912" s="24"/>
      <c r="L912" s="24"/>
      <c r="N912" s="24"/>
      <c r="O912" s="24"/>
      <c r="P912" s="24"/>
      <c r="Q912" s="24"/>
      <c r="V912" s="24"/>
      <c r="W912" s="24"/>
      <c r="X912" s="24"/>
      <c r="Y912" s="24"/>
      <c r="AA912" s="24">
        <v>45925.442854143519</v>
      </c>
      <c r="AB912" s="24">
        <v>45925.442854143519</v>
      </c>
      <c r="AC912" s="24">
        <v>45932.65417765046</v>
      </c>
      <c r="AD912" s="24">
        <v>45932.65417765046</v>
      </c>
      <c r="AE912">
        <v>1</v>
      </c>
      <c r="AF912" s="24">
        <v>45932.65417765046</v>
      </c>
      <c r="AG912" s="24">
        <v>45932.65417765046</v>
      </c>
      <c r="AH912" s="24">
        <v>45938.447452743058</v>
      </c>
      <c r="AI912" s="24">
        <v>45938.447452743058</v>
      </c>
      <c r="AJ912">
        <v>1</v>
      </c>
      <c r="AK912" s="24">
        <v>45938.447452743058</v>
      </c>
      <c r="AL912" s="24">
        <v>45938.447452743058</v>
      </c>
      <c r="AM912" s="24">
        <v>45938.501609236111</v>
      </c>
      <c r="AN912" s="24">
        <v>45938.501609236111</v>
      </c>
      <c r="AO912">
        <v>1</v>
      </c>
      <c r="AP912" s="24"/>
      <c r="AQ912" s="24"/>
      <c r="AR912" s="24">
        <v>45917.496169583334</v>
      </c>
      <c r="AS912" s="24">
        <v>45917.496169583334</v>
      </c>
      <c r="AX912" s="24"/>
      <c r="AY912" s="24"/>
      <c r="AZ912" s="24"/>
      <c r="BA912" s="24"/>
      <c r="BC912" s="24">
        <v>45938.501823854167</v>
      </c>
      <c r="BD912" s="24">
        <v>45938.501823854167</v>
      </c>
      <c r="BE912" s="24">
        <v>45947.703337800929</v>
      </c>
      <c r="BF912" s="24">
        <v>45947.703337800929</v>
      </c>
      <c r="BG912">
        <v>1</v>
      </c>
      <c r="BH912" s="24">
        <v>45917.496169583334</v>
      </c>
      <c r="BI912" s="24">
        <v>45917.496169583334</v>
      </c>
      <c r="BJ912" s="24">
        <v>45925.442854143519</v>
      </c>
      <c r="BK912" s="24">
        <v>45925.442854143519</v>
      </c>
      <c r="BL912">
        <v>1</v>
      </c>
      <c r="BM912" s="24"/>
      <c r="BN912" s="24"/>
      <c r="BO912" s="24"/>
      <c r="BP912" s="24"/>
      <c r="BR912" s="24">
        <v>45938.501609236111</v>
      </c>
      <c r="BS912" s="24">
        <v>45938.501609236111</v>
      </c>
      <c r="BT912" s="24">
        <v>45938.501823854167</v>
      </c>
      <c r="BU912" s="24">
        <v>45938.501823854167</v>
      </c>
      <c r="BV912">
        <v>1</v>
      </c>
      <c r="BW912" s="24"/>
      <c r="BX912" s="24"/>
      <c r="BY912" s="24"/>
      <c r="BZ912" s="24"/>
      <c r="CB912" s="24"/>
      <c r="CC912" s="24"/>
      <c r="CE912" s="24">
        <v>45947.703337800929</v>
      </c>
      <c r="CF912" s="24">
        <v>45947.703337800929</v>
      </c>
      <c r="CG912">
        <v>1</v>
      </c>
      <c r="CH912" s="24"/>
      <c r="CI912" s="24"/>
      <c r="CJ912" s="24"/>
      <c r="CK912" s="24"/>
      <c r="DE912" s="24"/>
      <c r="DF912" s="24"/>
      <c r="DG912" s="24"/>
      <c r="DH912" s="24"/>
      <c r="DJ912" t="s">
        <v>149</v>
      </c>
      <c r="DK912" t="s">
        <v>149</v>
      </c>
      <c r="DM912">
        <v>31</v>
      </c>
      <c r="DN912">
        <v>23</v>
      </c>
      <c r="DQ912" t="s">
        <v>1001</v>
      </c>
      <c r="DR912" t="s">
        <v>149</v>
      </c>
      <c r="DS912" s="24">
        <v>46160.384426226854</v>
      </c>
    </row>
    <row r="913" spans="1:123" x14ac:dyDescent="0.3">
      <c r="A913" t="s">
        <v>1396</v>
      </c>
      <c r="D913" t="s">
        <v>225</v>
      </c>
      <c r="E913" s="24">
        <v>45917.434421296297</v>
      </c>
      <c r="G913" t="s">
        <v>90</v>
      </c>
      <c r="H913" t="s">
        <v>155</v>
      </c>
      <c r="I913" s="24"/>
      <c r="J913" s="24"/>
      <c r="K913" s="24"/>
      <c r="L913" s="24"/>
      <c r="N913" s="24"/>
      <c r="O913" s="24"/>
      <c r="P913" s="24"/>
      <c r="Q913" s="24"/>
      <c r="V913" s="24"/>
      <c r="W913" s="24"/>
      <c r="X913" s="24"/>
      <c r="Y913" s="24"/>
      <c r="AA913" s="24">
        <v>45926.469769097224</v>
      </c>
      <c r="AB913" s="24">
        <v>45926.469769097224</v>
      </c>
      <c r="AC913" s="24">
        <v>45929.397335300928</v>
      </c>
      <c r="AD913" s="24">
        <v>45929.397335300928</v>
      </c>
      <c r="AE913">
        <v>1</v>
      </c>
      <c r="AF913" s="24">
        <v>45929.397335300928</v>
      </c>
      <c r="AG913" s="24">
        <v>45929.397335300928</v>
      </c>
      <c r="AH913" s="24">
        <v>45929.442512245369</v>
      </c>
      <c r="AI913" s="24">
        <v>45929.442512245369</v>
      </c>
      <c r="AJ913">
        <v>1</v>
      </c>
      <c r="AK913" s="24">
        <v>45929.442512245369</v>
      </c>
      <c r="AL913" s="24">
        <v>45929.442512245369</v>
      </c>
      <c r="AM913" s="24">
        <v>45930.871707488426</v>
      </c>
      <c r="AN913" s="24">
        <v>45930.871707488426</v>
      </c>
      <c r="AO913">
        <v>1</v>
      </c>
      <c r="AP913" s="24"/>
      <c r="AQ913" s="24"/>
      <c r="AR913" s="24">
        <v>45917.448093749997</v>
      </c>
      <c r="AS913" s="24">
        <v>45917.448093749997</v>
      </c>
      <c r="AX913" s="24"/>
      <c r="AY913" s="24"/>
      <c r="AZ913" s="24"/>
      <c r="BA913" s="24"/>
      <c r="BC913" s="24">
        <v>45930.872409976851</v>
      </c>
      <c r="BD913" s="24">
        <v>45930.872409976851</v>
      </c>
      <c r="BE913" s="24">
        <v>45985.410094328705</v>
      </c>
      <c r="BF913" s="24">
        <v>45985.410094328705</v>
      </c>
      <c r="BG913">
        <v>1</v>
      </c>
      <c r="BH913" s="24">
        <v>45917.448093749997</v>
      </c>
      <c r="BI913" s="24">
        <v>45917.448093749997</v>
      </c>
      <c r="BJ913" s="24">
        <v>45926.469769097224</v>
      </c>
      <c r="BK913" s="24">
        <v>45926.469769097224</v>
      </c>
      <c r="BL913">
        <v>1</v>
      </c>
      <c r="BM913" s="24"/>
      <c r="BN913" s="24"/>
      <c r="BO913" s="24"/>
      <c r="BP913" s="24"/>
      <c r="BR913" s="24">
        <v>45930.871707488426</v>
      </c>
      <c r="BS913" s="24">
        <v>45930.871707488426</v>
      </c>
      <c r="BT913" s="24">
        <v>45930.872409976851</v>
      </c>
      <c r="BU913" s="24">
        <v>45930.872409976851</v>
      </c>
      <c r="BV913">
        <v>1</v>
      </c>
      <c r="BW913" s="24"/>
      <c r="BX913" s="24"/>
      <c r="BY913" s="24"/>
      <c r="BZ913" s="24"/>
      <c r="CB913" s="24"/>
      <c r="CC913" s="24"/>
      <c r="CE913" s="24">
        <v>45985.410094328705</v>
      </c>
      <c r="CF913" s="24">
        <v>45985.410094328705</v>
      </c>
      <c r="CG913">
        <v>1</v>
      </c>
      <c r="CH913" s="24"/>
      <c r="CI913" s="24"/>
      <c r="CJ913" s="24"/>
      <c r="CK913" s="24"/>
      <c r="DE913" s="24"/>
      <c r="DF913" s="24"/>
      <c r="DG913" s="24"/>
      <c r="DH913" s="24"/>
      <c r="DJ913" t="s">
        <v>149</v>
      </c>
      <c r="DK913" t="s">
        <v>149</v>
      </c>
      <c r="DM913">
        <v>68</v>
      </c>
      <c r="DN913">
        <v>59</v>
      </c>
      <c r="DQ913" t="s">
        <v>1001</v>
      </c>
      <c r="DR913" t="s">
        <v>149</v>
      </c>
      <c r="DS913" s="24">
        <v>46160.384426226854</v>
      </c>
    </row>
    <row r="914" spans="1:123" x14ac:dyDescent="0.3">
      <c r="A914" t="s">
        <v>1397</v>
      </c>
      <c r="D914" t="s">
        <v>223</v>
      </c>
      <c r="E914" s="24">
        <v>45917.432326388887</v>
      </c>
      <c r="G914" t="s">
        <v>90</v>
      </c>
      <c r="H914" t="s">
        <v>155</v>
      </c>
      <c r="I914" s="24"/>
      <c r="J914" s="24"/>
      <c r="K914" s="24"/>
      <c r="L914" s="24"/>
      <c r="N914" s="24"/>
      <c r="O914" s="24"/>
      <c r="P914" s="24"/>
      <c r="Q914" s="24"/>
      <c r="V914" s="24"/>
      <c r="W914" s="24"/>
      <c r="X914" s="24"/>
      <c r="Y914" s="24"/>
      <c r="AA914" s="24">
        <v>45917.535223391205</v>
      </c>
      <c r="AB914" s="24">
        <v>45917.535223391205</v>
      </c>
      <c r="AC914" s="24">
        <v>45917.546196840274</v>
      </c>
      <c r="AD914" s="24">
        <v>45917.546196840274</v>
      </c>
      <c r="AE914">
        <v>1</v>
      </c>
      <c r="AF914" s="24">
        <v>45917.546196840274</v>
      </c>
      <c r="AG914" s="24">
        <v>45917.546196840274</v>
      </c>
      <c r="AH914" s="24">
        <v>45931.464402465281</v>
      </c>
      <c r="AI914" s="24">
        <v>45931.464402465281</v>
      </c>
      <c r="AJ914">
        <v>1</v>
      </c>
      <c r="AK914" s="24"/>
      <c r="AL914" s="24"/>
      <c r="AM914" s="24"/>
      <c r="AN914" s="24"/>
      <c r="AP914" s="24"/>
      <c r="AQ914" s="24"/>
      <c r="AR914" s="24">
        <v>45917.497591111111</v>
      </c>
      <c r="AS914" s="24">
        <v>45917.497591111111</v>
      </c>
      <c r="AX914" s="24"/>
      <c r="AY914" s="24"/>
      <c r="AZ914" s="24"/>
      <c r="BA914" s="24"/>
      <c r="BC914" s="24"/>
      <c r="BD914" s="24"/>
      <c r="BE914" s="24"/>
      <c r="BF914" s="24"/>
      <c r="BH914" s="24">
        <v>45917.497591111111</v>
      </c>
      <c r="BI914" s="24">
        <v>45917.497591111111</v>
      </c>
      <c r="BJ914" s="24">
        <v>45917.535223391205</v>
      </c>
      <c r="BK914" s="24">
        <v>45917.535223391205</v>
      </c>
      <c r="BL914">
        <v>1</v>
      </c>
      <c r="BM914" s="24"/>
      <c r="BN914" s="24"/>
      <c r="BO914" s="24"/>
      <c r="BP914" s="24"/>
      <c r="BR914" s="24"/>
      <c r="BS914" s="24"/>
      <c r="BT914" s="24"/>
      <c r="BU914" s="24"/>
      <c r="BW914" s="24"/>
      <c r="BX914" s="24"/>
      <c r="BY914" s="24"/>
      <c r="BZ914" s="24"/>
      <c r="CB914" s="24"/>
      <c r="CC914" s="24"/>
      <c r="CE914" s="24">
        <v>45931.464402465281</v>
      </c>
      <c r="CF914" s="24">
        <v>45931.464402465281</v>
      </c>
      <c r="CG914">
        <v>1</v>
      </c>
      <c r="CH914" s="24"/>
      <c r="CI914" s="24"/>
      <c r="CJ914" s="24"/>
      <c r="CK914" s="24"/>
      <c r="DE914" s="24"/>
      <c r="DF914" s="24"/>
      <c r="DG914" s="24"/>
      <c r="DH914" s="24"/>
      <c r="DJ914" t="s">
        <v>149</v>
      </c>
      <c r="DK914" t="s">
        <v>149</v>
      </c>
      <c r="DM914">
        <v>14</v>
      </c>
      <c r="DN914">
        <v>14</v>
      </c>
      <c r="DQ914" t="s">
        <v>1001</v>
      </c>
      <c r="DR914" t="s">
        <v>149</v>
      </c>
      <c r="DS914" s="24">
        <v>46160.384426226854</v>
      </c>
    </row>
    <row r="915" spans="1:123" x14ac:dyDescent="0.3">
      <c r="A915" t="s">
        <v>1398</v>
      </c>
      <c r="D915" t="s">
        <v>225</v>
      </c>
      <c r="E915" s="24">
        <v>45912.425405092596</v>
      </c>
      <c r="G915" t="s">
        <v>90</v>
      </c>
      <c r="H915" t="s">
        <v>155</v>
      </c>
      <c r="I915" s="24"/>
      <c r="J915" s="24"/>
      <c r="K915" s="24"/>
      <c r="L915" s="24"/>
      <c r="N915" s="24"/>
      <c r="O915" s="24"/>
      <c r="P915" s="24"/>
      <c r="Q915" s="24"/>
      <c r="V915" s="24"/>
      <c r="W915" s="24"/>
      <c r="X915" s="24"/>
      <c r="Y915" s="24"/>
      <c r="AA915" s="24">
        <v>45912.481423819445</v>
      </c>
      <c r="AB915" s="24">
        <v>45912.481423819445</v>
      </c>
      <c r="AC915" s="24">
        <v>45912.48147244213</v>
      </c>
      <c r="AD915" s="24">
        <v>45912.48147244213</v>
      </c>
      <c r="AE915">
        <v>1</v>
      </c>
      <c r="AF915" s="24">
        <v>45912.48147244213</v>
      </c>
      <c r="AG915" s="24">
        <v>45912.48147244213</v>
      </c>
      <c r="AH915" s="24">
        <v>45912.481501747687</v>
      </c>
      <c r="AI915" s="24">
        <v>45912.481501747687</v>
      </c>
      <c r="AJ915">
        <v>1</v>
      </c>
      <c r="AK915" s="24">
        <v>45912.481501747687</v>
      </c>
      <c r="AL915" s="24">
        <v>45912.481501747687</v>
      </c>
      <c r="AM915" s="24">
        <v>45912.481536666666</v>
      </c>
      <c r="AN915" s="24">
        <v>45912.481536666666</v>
      </c>
      <c r="AO915">
        <v>1</v>
      </c>
      <c r="AP915" s="24"/>
      <c r="AQ915" s="24"/>
      <c r="AR915" s="24">
        <v>45912.427292962966</v>
      </c>
      <c r="AS915" s="24">
        <v>45912.427292962966</v>
      </c>
      <c r="AX915" s="24"/>
      <c r="AY915" s="24"/>
      <c r="AZ915" s="24"/>
      <c r="BA915" s="24"/>
      <c r="BC915" s="24">
        <v>45912.481653541668</v>
      </c>
      <c r="BD915" s="24">
        <v>45912.481653541668</v>
      </c>
      <c r="BE915" s="24">
        <v>45929.457952951387</v>
      </c>
      <c r="BF915" s="24">
        <v>45929.457952951387</v>
      </c>
      <c r="BG915">
        <v>1</v>
      </c>
      <c r="BH915" s="24">
        <v>45912.427292962966</v>
      </c>
      <c r="BI915" s="24">
        <v>45912.427292962966</v>
      </c>
      <c r="BJ915" s="24">
        <v>45912.481423819445</v>
      </c>
      <c r="BK915" s="24">
        <v>45912.481423819445</v>
      </c>
      <c r="BL915">
        <v>1</v>
      </c>
      <c r="BM915" s="24"/>
      <c r="BN915" s="24"/>
      <c r="BO915" s="24"/>
      <c r="BP915" s="24"/>
      <c r="BR915" s="24">
        <v>45912.481536666666</v>
      </c>
      <c r="BS915" s="24">
        <v>45912.481536666666</v>
      </c>
      <c r="BT915" s="24">
        <v>45912.481653541668</v>
      </c>
      <c r="BU915" s="24">
        <v>45912.481653541668</v>
      </c>
      <c r="BV915">
        <v>1</v>
      </c>
      <c r="BW915" s="24"/>
      <c r="BX915" s="24"/>
      <c r="BY915" s="24"/>
      <c r="BZ915" s="24"/>
      <c r="CB915" s="24"/>
      <c r="CC915" s="24"/>
      <c r="CE915" s="24">
        <v>45929.457952951387</v>
      </c>
      <c r="CF915" s="24">
        <v>45929.457952951387</v>
      </c>
      <c r="CG915">
        <v>1</v>
      </c>
      <c r="CH915" s="24"/>
      <c r="CI915" s="24"/>
      <c r="CJ915" s="24"/>
      <c r="CK915" s="24"/>
      <c r="DE915" s="24"/>
      <c r="DF915" s="24"/>
      <c r="DG915" s="24"/>
      <c r="DH915" s="24"/>
      <c r="DJ915" t="s">
        <v>149</v>
      </c>
      <c r="DK915" t="s">
        <v>149</v>
      </c>
      <c r="DM915">
        <v>18</v>
      </c>
      <c r="DN915">
        <v>17</v>
      </c>
      <c r="DQ915" t="s">
        <v>1001</v>
      </c>
      <c r="DR915" t="s">
        <v>149</v>
      </c>
      <c r="DS915" s="24">
        <v>46160.384426226854</v>
      </c>
    </row>
    <row r="916" spans="1:123" x14ac:dyDescent="0.3">
      <c r="A916" t="s">
        <v>1399</v>
      </c>
      <c r="D916" t="s">
        <v>225</v>
      </c>
      <c r="E916" s="24">
        <v>45911.377488425926</v>
      </c>
      <c r="G916" t="s">
        <v>90</v>
      </c>
      <c r="H916" t="s">
        <v>155</v>
      </c>
      <c r="I916" s="24"/>
      <c r="J916" s="24"/>
      <c r="K916" s="24"/>
      <c r="L916" s="24"/>
      <c r="N916" s="24"/>
      <c r="O916" s="24"/>
      <c r="P916" s="24"/>
      <c r="Q916" s="24"/>
      <c r="V916" s="24"/>
      <c r="W916" s="24"/>
      <c r="X916" s="24"/>
      <c r="Y916" s="24"/>
      <c r="AA916" s="24">
        <v>45911.443729942126</v>
      </c>
      <c r="AB916" s="24">
        <v>45911.443729942126</v>
      </c>
      <c r="AC916" s="24">
        <v>45916.908286064812</v>
      </c>
      <c r="AD916" s="24">
        <v>45916.908286064812</v>
      </c>
      <c r="AE916">
        <v>1</v>
      </c>
      <c r="AF916" s="24">
        <v>45916.908286064812</v>
      </c>
      <c r="AG916" s="24">
        <v>45916.908286064812</v>
      </c>
      <c r="AH916" s="24">
        <v>45931.430919560182</v>
      </c>
      <c r="AI916" s="24">
        <v>45931.430919560182</v>
      </c>
      <c r="AJ916">
        <v>1</v>
      </c>
      <c r="AK916" s="24">
        <v>45931.430919560182</v>
      </c>
      <c r="AL916" s="24">
        <v>45931.430919560182</v>
      </c>
      <c r="AM916" s="24">
        <v>45931.453582303242</v>
      </c>
      <c r="AN916" s="24">
        <v>45931.453582303242</v>
      </c>
      <c r="AO916">
        <v>1</v>
      </c>
      <c r="AP916" s="24"/>
      <c r="AQ916" s="24"/>
      <c r="AR916" s="24">
        <v>45911.442210162037</v>
      </c>
      <c r="AS916" s="24">
        <v>45911.442210162037</v>
      </c>
      <c r="AX916" s="24"/>
      <c r="AY916" s="24"/>
      <c r="AZ916" s="24"/>
      <c r="BA916" s="24"/>
      <c r="BC916" s="24">
        <v>45931.453863854164</v>
      </c>
      <c r="BD916" s="24">
        <v>45931.453863854164</v>
      </c>
      <c r="BE916" s="24">
        <v>45947.703337974533</v>
      </c>
      <c r="BF916" s="24">
        <v>45947.703337974533</v>
      </c>
      <c r="BG916">
        <v>1</v>
      </c>
      <c r="BH916" s="24">
        <v>45911.442210162037</v>
      </c>
      <c r="BI916" s="24">
        <v>45911.442210162037</v>
      </c>
      <c r="BJ916" s="24">
        <v>45911.443729942126</v>
      </c>
      <c r="BK916" s="24">
        <v>45911.443729942126</v>
      </c>
      <c r="BL916">
        <v>1</v>
      </c>
      <c r="BM916" s="24"/>
      <c r="BN916" s="24"/>
      <c r="BO916" s="24"/>
      <c r="BP916" s="24"/>
      <c r="BR916" s="24">
        <v>45931.453582303242</v>
      </c>
      <c r="BS916" s="24">
        <v>45931.453582303242</v>
      </c>
      <c r="BT916" s="24">
        <v>45931.453863854164</v>
      </c>
      <c r="BU916" s="24">
        <v>45931.453863854164</v>
      </c>
      <c r="BV916">
        <v>1</v>
      </c>
      <c r="BW916" s="24"/>
      <c r="BX916" s="24"/>
      <c r="BY916" s="24"/>
      <c r="BZ916" s="24"/>
      <c r="CB916" s="24"/>
      <c r="CC916" s="24"/>
      <c r="CE916" s="24">
        <v>45947.703337974533</v>
      </c>
      <c r="CF916" s="24">
        <v>45947.703337974533</v>
      </c>
      <c r="CG916">
        <v>1</v>
      </c>
      <c r="CH916" s="24"/>
      <c r="CI916" s="24"/>
      <c r="CJ916" s="24"/>
      <c r="CK916" s="24"/>
      <c r="DE916" s="24"/>
      <c r="DF916" s="24"/>
      <c r="DG916" s="24"/>
      <c r="DH916" s="24"/>
      <c r="DJ916" t="s">
        <v>149</v>
      </c>
      <c r="DK916" t="s">
        <v>149</v>
      </c>
      <c r="DM916">
        <v>37</v>
      </c>
      <c r="DN916">
        <v>37</v>
      </c>
      <c r="DQ916" t="s">
        <v>1001</v>
      </c>
      <c r="DR916" t="s">
        <v>149</v>
      </c>
      <c r="DS916" s="24">
        <v>46160.384426226854</v>
      </c>
    </row>
    <row r="917" spans="1:123" x14ac:dyDescent="0.3">
      <c r="A917" t="s">
        <v>1400</v>
      </c>
      <c r="D917" t="s">
        <v>223</v>
      </c>
      <c r="E917" s="24">
        <v>45908.41138888889</v>
      </c>
      <c r="G917" t="s">
        <v>90</v>
      </c>
      <c r="H917" t="s">
        <v>155</v>
      </c>
      <c r="I917" s="24"/>
      <c r="J917" s="24"/>
      <c r="K917" s="24"/>
      <c r="L917" s="24"/>
      <c r="N917" s="24"/>
      <c r="O917" s="24"/>
      <c r="P917" s="24"/>
      <c r="Q917" s="24"/>
      <c r="V917" s="24"/>
      <c r="W917" s="24"/>
      <c r="X917" s="24"/>
      <c r="Y917" s="24"/>
      <c r="AA917" s="24">
        <v>45908.412957523149</v>
      </c>
      <c r="AB917" s="24">
        <v>45908.412957523149</v>
      </c>
      <c r="AC917" s="24">
        <v>45908.413016956016</v>
      </c>
      <c r="AD917" s="24">
        <v>45908.413016956016</v>
      </c>
      <c r="AE917">
        <v>1</v>
      </c>
      <c r="AF917" s="24"/>
      <c r="AG917" s="24"/>
      <c r="AH917" s="24"/>
      <c r="AI917" s="24"/>
      <c r="AK917" s="24"/>
      <c r="AL917" s="24"/>
      <c r="AM917" s="24"/>
      <c r="AN917" s="24"/>
      <c r="AP917" s="24"/>
      <c r="AQ917" s="24"/>
      <c r="AR917" s="24">
        <v>45908.412920266201</v>
      </c>
      <c r="AS917" s="24">
        <v>45908.412920266201</v>
      </c>
      <c r="AX917" s="24"/>
      <c r="AY917" s="24"/>
      <c r="AZ917" s="24"/>
      <c r="BA917" s="24"/>
      <c r="BC917" s="24"/>
      <c r="BD917" s="24"/>
      <c r="BE917" s="24"/>
      <c r="BF917" s="24"/>
      <c r="BH917" s="24">
        <v>45908.412920266201</v>
      </c>
      <c r="BI917" s="24">
        <v>45908.412920266201</v>
      </c>
      <c r="BJ917" s="24">
        <v>45908.412957523149</v>
      </c>
      <c r="BK917" s="24">
        <v>45908.412957523149</v>
      </c>
      <c r="BL917">
        <v>1</v>
      </c>
      <c r="BM917" s="24"/>
      <c r="BN917" s="24"/>
      <c r="BO917" s="24"/>
      <c r="BP917" s="24"/>
      <c r="BR917" s="24">
        <v>45908.413016956016</v>
      </c>
      <c r="BS917" s="24">
        <v>45908.413016956016</v>
      </c>
      <c r="BT917" s="24">
        <v>45908.413074282405</v>
      </c>
      <c r="BU917" s="24">
        <v>45908.413074282405</v>
      </c>
      <c r="BV917">
        <v>1</v>
      </c>
      <c r="BW917" s="24"/>
      <c r="BX917" s="24"/>
      <c r="BY917" s="24"/>
      <c r="BZ917" s="24"/>
      <c r="CB917" s="24"/>
      <c r="CC917" s="24"/>
      <c r="CE917" s="24">
        <v>45908.413074282405</v>
      </c>
      <c r="CF917" s="24">
        <v>45908.413074282405</v>
      </c>
      <c r="CG917">
        <v>1</v>
      </c>
      <c r="CH917" s="24"/>
      <c r="CI917" s="24"/>
      <c r="CJ917" s="24"/>
      <c r="CK917" s="24"/>
      <c r="DE917" s="24"/>
      <c r="DF917" s="24"/>
      <c r="DG917" s="24"/>
      <c r="DH917" s="24"/>
      <c r="DJ917" t="s">
        <v>149</v>
      </c>
      <c r="DK917" t="s">
        <v>149</v>
      </c>
      <c r="DM917">
        <v>1</v>
      </c>
      <c r="DN917">
        <v>1</v>
      </c>
      <c r="DQ917" t="s">
        <v>1001</v>
      </c>
      <c r="DR917" t="s">
        <v>149</v>
      </c>
      <c r="DS917" s="24">
        <v>46160.384426226854</v>
      </c>
    </row>
    <row r="918" spans="1:123" x14ac:dyDescent="0.3">
      <c r="A918" t="s">
        <v>1401</v>
      </c>
      <c r="D918" t="s">
        <v>225</v>
      </c>
      <c r="E918" s="24">
        <v>45908.313425925924</v>
      </c>
      <c r="G918" t="s">
        <v>90</v>
      </c>
      <c r="H918" t="s">
        <v>155</v>
      </c>
      <c r="I918" s="24"/>
      <c r="J918" s="24"/>
      <c r="K918" s="24"/>
      <c r="L918" s="24"/>
      <c r="N918" s="24"/>
      <c r="O918" s="24"/>
      <c r="P918" s="24"/>
      <c r="Q918" s="24"/>
      <c r="V918" s="24"/>
      <c r="W918" s="24"/>
      <c r="X918" s="24"/>
      <c r="Y918" s="24"/>
      <c r="AA918" s="24">
        <v>45919.626918125003</v>
      </c>
      <c r="AB918" s="24">
        <v>45919.626918125003</v>
      </c>
      <c r="AC918" s="24">
        <v>45922.531616504632</v>
      </c>
      <c r="AD918" s="24">
        <v>45922.531616504632</v>
      </c>
      <c r="AE918">
        <v>1</v>
      </c>
      <c r="AF918" s="24">
        <v>45922.531616504632</v>
      </c>
      <c r="AG918" s="24">
        <v>45922.531616504632</v>
      </c>
      <c r="AH918" s="24">
        <v>45923.350885694446</v>
      </c>
      <c r="AI918" s="24">
        <v>45923.350885694446</v>
      </c>
      <c r="AJ918">
        <v>1</v>
      </c>
      <c r="AK918" s="24">
        <v>45923.350885694446</v>
      </c>
      <c r="AL918" s="24">
        <v>45923.350885694446</v>
      </c>
      <c r="AM918" s="24">
        <v>45924.550894120373</v>
      </c>
      <c r="AN918" s="24">
        <v>45924.550894120373</v>
      </c>
      <c r="AO918">
        <v>1</v>
      </c>
      <c r="AP918" s="24"/>
      <c r="AQ918" s="24"/>
      <c r="AR918" s="24">
        <v>45917.491683182867</v>
      </c>
      <c r="AS918" s="24">
        <v>45917.491683182867</v>
      </c>
      <c r="AX918" s="24"/>
      <c r="AY918" s="24"/>
      <c r="AZ918" s="24"/>
      <c r="BA918" s="24"/>
      <c r="BC918" s="24">
        <v>45924.551030000002</v>
      </c>
      <c r="BD918" s="24">
        <v>45924.551030000002</v>
      </c>
      <c r="BE918" s="24">
        <v>45947.703337974533</v>
      </c>
      <c r="BF918" s="24">
        <v>45947.703337974533</v>
      </c>
      <c r="BG918">
        <v>1</v>
      </c>
      <c r="BH918" s="24">
        <v>45917.491683182867</v>
      </c>
      <c r="BI918" s="24">
        <v>45917.491683182867</v>
      </c>
      <c r="BJ918" s="24">
        <v>45919.626918125003</v>
      </c>
      <c r="BK918" s="24">
        <v>45919.626918125003</v>
      </c>
      <c r="BL918">
        <v>1</v>
      </c>
      <c r="BM918" s="24"/>
      <c r="BN918" s="24"/>
      <c r="BO918" s="24"/>
      <c r="BP918" s="24"/>
      <c r="BR918" s="24">
        <v>45924.550894120373</v>
      </c>
      <c r="BS918" s="24">
        <v>45924.550894120373</v>
      </c>
      <c r="BT918" s="24">
        <v>45924.551030000002</v>
      </c>
      <c r="BU918" s="24">
        <v>45924.551030000002</v>
      </c>
      <c r="BV918">
        <v>1</v>
      </c>
      <c r="BW918" s="24"/>
      <c r="BX918" s="24"/>
      <c r="BY918" s="24"/>
      <c r="BZ918" s="24"/>
      <c r="CB918" s="24"/>
      <c r="CC918" s="24"/>
      <c r="CE918" s="24">
        <v>45947.703337974533</v>
      </c>
      <c r="CF918" s="24">
        <v>45947.703337974533</v>
      </c>
      <c r="CG918">
        <v>1</v>
      </c>
      <c r="CH918" s="24"/>
      <c r="CI918" s="24"/>
      <c r="CJ918" s="24"/>
      <c r="CK918" s="24"/>
      <c r="DE918" s="24"/>
      <c r="DF918" s="24"/>
      <c r="DG918" s="24"/>
      <c r="DH918" s="24"/>
      <c r="DJ918" t="s">
        <v>149</v>
      </c>
      <c r="DK918" t="s">
        <v>149</v>
      </c>
      <c r="DM918">
        <v>31</v>
      </c>
      <c r="DN918">
        <v>29</v>
      </c>
      <c r="DQ918" t="s">
        <v>1001</v>
      </c>
      <c r="DR918" t="s">
        <v>149</v>
      </c>
      <c r="DS918" s="24">
        <v>46160.384426226854</v>
      </c>
    </row>
    <row r="919" spans="1:123" x14ac:dyDescent="0.3">
      <c r="A919" t="s">
        <v>1402</v>
      </c>
      <c r="D919" t="s">
        <v>223</v>
      </c>
      <c r="E919" s="24">
        <v>45903.49895833333</v>
      </c>
      <c r="G919" t="s">
        <v>90</v>
      </c>
      <c r="H919" t="s">
        <v>155</v>
      </c>
      <c r="I919" s="24"/>
      <c r="J919" s="24"/>
      <c r="K919" s="24"/>
      <c r="L919" s="24"/>
      <c r="N919" s="24"/>
      <c r="O919" s="24"/>
      <c r="P919" s="24"/>
      <c r="Q919" s="24"/>
      <c r="V919" s="24"/>
      <c r="W919" s="24"/>
      <c r="X919" s="24"/>
      <c r="Y919" s="24"/>
      <c r="AA919" s="24">
        <v>45911.633154872688</v>
      </c>
      <c r="AB919" s="24">
        <v>45911.633154872688</v>
      </c>
      <c r="AC919" s="24">
        <v>45911.640365868057</v>
      </c>
      <c r="AD919" s="24">
        <v>45911.640365868057</v>
      </c>
      <c r="AE919">
        <v>1</v>
      </c>
      <c r="AF919" s="24">
        <v>45911.640365868057</v>
      </c>
      <c r="AG919" s="24">
        <v>45911.640365868057</v>
      </c>
      <c r="AH919" s="24">
        <v>45917.438702326392</v>
      </c>
      <c r="AI919" s="24">
        <v>45917.438702326392</v>
      </c>
      <c r="AJ919">
        <v>1</v>
      </c>
      <c r="AK919" s="24"/>
      <c r="AL919" s="24"/>
      <c r="AM919" s="24"/>
      <c r="AN919" s="24"/>
      <c r="AP919" s="24"/>
      <c r="AQ919" s="24"/>
      <c r="AR919" s="24">
        <v>45903.544995266202</v>
      </c>
      <c r="AS919" s="24">
        <v>45903.544995266202</v>
      </c>
      <c r="AX919" s="24"/>
      <c r="AY919" s="24"/>
      <c r="AZ919" s="24"/>
      <c r="BA919" s="24"/>
      <c r="BC919" s="24"/>
      <c r="BD919" s="24"/>
      <c r="BE919" s="24"/>
      <c r="BF919" s="24"/>
      <c r="BH919" s="24">
        <v>45903.544995266202</v>
      </c>
      <c r="BI919" s="24">
        <v>45903.544995266202</v>
      </c>
      <c r="BJ919" s="24">
        <v>45911.633154872688</v>
      </c>
      <c r="BK919" s="24">
        <v>45911.633154872688</v>
      </c>
      <c r="BL919">
        <v>1</v>
      </c>
      <c r="BM919" s="24"/>
      <c r="BN919" s="24"/>
      <c r="BO919" s="24"/>
      <c r="BP919" s="24"/>
      <c r="BR919" s="24"/>
      <c r="BS919" s="24"/>
      <c r="BT919" s="24"/>
      <c r="BU919" s="24"/>
      <c r="BW919" s="24"/>
      <c r="BX919" s="24"/>
      <c r="BY919" s="24"/>
      <c r="BZ919" s="24"/>
      <c r="CB919" s="24"/>
      <c r="CC919" s="24"/>
      <c r="CE919" s="24">
        <v>45917.438702326392</v>
      </c>
      <c r="CF919" s="24">
        <v>45917.438702326392</v>
      </c>
      <c r="CG919">
        <v>1</v>
      </c>
      <c r="CH919" s="24"/>
      <c r="CI919" s="24"/>
      <c r="CJ919" s="24"/>
      <c r="CK919" s="24"/>
      <c r="DE919" s="24"/>
      <c r="DF919" s="24"/>
      <c r="DG919" s="24"/>
      <c r="DH919" s="24"/>
      <c r="DJ919" t="s">
        <v>149</v>
      </c>
      <c r="DK919" t="s">
        <v>149</v>
      </c>
      <c r="DM919">
        <v>14</v>
      </c>
      <c r="DN919">
        <v>6</v>
      </c>
      <c r="DQ919" t="s">
        <v>1001</v>
      </c>
      <c r="DR919" t="s">
        <v>149</v>
      </c>
      <c r="DS919" s="24">
        <v>46160.384426226854</v>
      </c>
    </row>
    <row r="920" spans="1:123" x14ac:dyDescent="0.3">
      <c r="A920" t="s">
        <v>1403</v>
      </c>
      <c r="D920" t="s">
        <v>225</v>
      </c>
      <c r="E920" s="24">
        <v>45903.454780092594</v>
      </c>
      <c r="G920" t="s">
        <v>90</v>
      </c>
      <c r="H920" t="s">
        <v>155</v>
      </c>
      <c r="I920" s="24"/>
      <c r="J920" s="24"/>
      <c r="K920" s="24"/>
      <c r="L920" s="24"/>
      <c r="N920" s="24"/>
      <c r="O920" s="24"/>
      <c r="P920" s="24"/>
      <c r="Q920" s="24"/>
      <c r="V920" s="24"/>
      <c r="W920" s="24"/>
      <c r="X920" s="24"/>
      <c r="Y920" s="24"/>
      <c r="AA920" s="24">
        <v>45915.573625567129</v>
      </c>
      <c r="AB920" s="24">
        <v>45908.4463402662</v>
      </c>
      <c r="AC920" s="24">
        <v>45910.597904814815</v>
      </c>
      <c r="AD920" s="24">
        <v>45915.573668217592</v>
      </c>
      <c r="AE920">
        <v>2</v>
      </c>
      <c r="AF920" s="24">
        <v>45915.573668217592</v>
      </c>
      <c r="AG920" s="24">
        <v>45910.597904814815</v>
      </c>
      <c r="AH920" s="24">
        <v>45912.565764814812</v>
      </c>
      <c r="AI920" s="24">
        <v>45916.687745057869</v>
      </c>
      <c r="AJ920">
        <v>2</v>
      </c>
      <c r="AK920" s="24">
        <v>45916.687745057869</v>
      </c>
      <c r="AL920" s="24">
        <v>45912.565764814812</v>
      </c>
      <c r="AM920" s="24">
        <v>45915.573625567129</v>
      </c>
      <c r="AN920" s="24">
        <v>45917.392441620374</v>
      </c>
      <c r="AO920">
        <v>2</v>
      </c>
      <c r="AP920" s="24"/>
      <c r="AQ920" s="24"/>
      <c r="AR920" s="24">
        <v>45903.538423391205</v>
      </c>
      <c r="AS920" s="24">
        <v>45903.538423391205</v>
      </c>
      <c r="AX920" s="24"/>
      <c r="AY920" s="24"/>
      <c r="AZ920" s="24"/>
      <c r="BA920" s="24"/>
      <c r="BC920" s="24">
        <v>45917.392571759257</v>
      </c>
      <c r="BD920" s="24">
        <v>45917.392571759257</v>
      </c>
      <c r="BE920" s="24">
        <v>45947.703338356485</v>
      </c>
      <c r="BF920" s="24">
        <v>45947.703338356485</v>
      </c>
      <c r="BG920">
        <v>1</v>
      </c>
      <c r="BH920" s="24">
        <v>45903.538423391205</v>
      </c>
      <c r="BI920" s="24">
        <v>45903.538423391205</v>
      </c>
      <c r="BJ920" s="24">
        <v>45908.4463402662</v>
      </c>
      <c r="BK920" s="24">
        <v>45908.4463402662</v>
      </c>
      <c r="BL920">
        <v>1</v>
      </c>
      <c r="BM920" s="24"/>
      <c r="BN920" s="24"/>
      <c r="BO920" s="24"/>
      <c r="BP920" s="24"/>
      <c r="BR920" s="24">
        <v>45917.392441620374</v>
      </c>
      <c r="BS920" s="24">
        <v>45917.392441620374</v>
      </c>
      <c r="BT920" s="24">
        <v>45917.392571759257</v>
      </c>
      <c r="BU920" s="24">
        <v>45917.392571759257</v>
      </c>
      <c r="BV920">
        <v>1</v>
      </c>
      <c r="BW920" s="24"/>
      <c r="BX920" s="24"/>
      <c r="BY920" s="24"/>
      <c r="BZ920" s="24"/>
      <c r="CB920" s="24"/>
      <c r="CC920" s="24"/>
      <c r="CE920" s="24">
        <v>45947.703338356485</v>
      </c>
      <c r="CF920" s="24">
        <v>45947.703338356485</v>
      </c>
      <c r="CG920">
        <v>1</v>
      </c>
      <c r="CH920" s="24"/>
      <c r="CI920" s="24"/>
      <c r="CJ920" s="24"/>
      <c r="CK920" s="24"/>
      <c r="DE920" s="24"/>
      <c r="DF920" s="24"/>
      <c r="DG920" s="24"/>
      <c r="DH920" s="24"/>
      <c r="DJ920" t="s">
        <v>149</v>
      </c>
      <c r="DK920" t="s">
        <v>149</v>
      </c>
      <c r="DM920">
        <v>45</v>
      </c>
      <c r="DN920">
        <v>40</v>
      </c>
      <c r="DQ920" t="s">
        <v>1001</v>
      </c>
      <c r="DR920" t="s">
        <v>149</v>
      </c>
      <c r="DS920" s="24">
        <v>46160.384426226854</v>
      </c>
    </row>
    <row r="921" spans="1:123" x14ac:dyDescent="0.3">
      <c r="A921" t="s">
        <v>1404</v>
      </c>
      <c r="D921" t="s">
        <v>225</v>
      </c>
      <c r="E921" s="24">
        <v>45902.478391203702</v>
      </c>
      <c r="G921" t="s">
        <v>90</v>
      </c>
      <c r="H921" t="s">
        <v>155</v>
      </c>
      <c r="I921" s="24"/>
      <c r="J921" s="24"/>
      <c r="K921" s="24"/>
      <c r="L921" s="24"/>
      <c r="N921" s="24"/>
      <c r="O921" s="24"/>
      <c r="P921" s="24"/>
      <c r="Q921" s="24"/>
      <c r="V921" s="24"/>
      <c r="W921" s="24"/>
      <c r="X921" s="24"/>
      <c r="Y921" s="24"/>
      <c r="AA921" s="24">
        <v>45903.596408182872</v>
      </c>
      <c r="AB921" s="24">
        <v>45903.596408182872</v>
      </c>
      <c r="AC921" s="24">
        <v>45908.426692442132</v>
      </c>
      <c r="AD921" s="24">
        <v>45908.426692442132</v>
      </c>
      <c r="AE921">
        <v>1</v>
      </c>
      <c r="AF921" s="24">
        <v>45908.426692442132</v>
      </c>
      <c r="AG921" s="24">
        <v>45908.426692442132</v>
      </c>
      <c r="AH921" s="24">
        <v>45908.643038495371</v>
      </c>
      <c r="AI921" s="24">
        <v>45908.643038495371</v>
      </c>
      <c r="AJ921">
        <v>1</v>
      </c>
      <c r="AK921" s="24">
        <v>45908.643038495371</v>
      </c>
      <c r="AL921" s="24">
        <v>45908.643038495371</v>
      </c>
      <c r="AM921" s="24">
        <v>45909.411702627316</v>
      </c>
      <c r="AN921" s="24">
        <v>45909.411702627316</v>
      </c>
      <c r="AO921">
        <v>1</v>
      </c>
      <c r="AP921" s="24"/>
      <c r="AQ921" s="24"/>
      <c r="AR921" s="24">
        <v>45903.485046747686</v>
      </c>
      <c r="AS921" s="24">
        <v>45903.485046747686</v>
      </c>
      <c r="AX921" s="24"/>
      <c r="AY921" s="24"/>
      <c r="AZ921" s="24"/>
      <c r="BA921" s="24"/>
      <c r="BC921" s="24">
        <v>45909.463668564815</v>
      </c>
      <c r="BD921" s="24">
        <v>45909.463668564815</v>
      </c>
      <c r="BE921" s="24">
        <v>45947.703339942127</v>
      </c>
      <c r="BF921" s="24">
        <v>45947.703339942127</v>
      </c>
      <c r="BG921">
        <v>1</v>
      </c>
      <c r="BH921" s="24">
        <v>45903.485046747686</v>
      </c>
      <c r="BI921" s="24">
        <v>45903.485046747686</v>
      </c>
      <c r="BJ921" s="24">
        <v>45903.596408182872</v>
      </c>
      <c r="BK921" s="24">
        <v>45903.596408182872</v>
      </c>
      <c r="BL921">
        <v>1</v>
      </c>
      <c r="BM921" s="24"/>
      <c r="BN921" s="24"/>
      <c r="BO921" s="24"/>
      <c r="BP921" s="24"/>
      <c r="BR921" s="24">
        <v>45909.411702627316</v>
      </c>
      <c r="BS921" s="24">
        <v>45909.411702627316</v>
      </c>
      <c r="BT921" s="24">
        <v>45909.463668564815</v>
      </c>
      <c r="BU921" s="24">
        <v>45909.463668564815</v>
      </c>
      <c r="BV921">
        <v>1</v>
      </c>
      <c r="BW921" s="24"/>
      <c r="BX921" s="24"/>
      <c r="BY921" s="24"/>
      <c r="BZ921" s="24"/>
      <c r="CB921" s="24"/>
      <c r="CC921" s="24"/>
      <c r="CE921" s="24">
        <v>45947.703339942127</v>
      </c>
      <c r="CF921" s="24">
        <v>45947.703339942127</v>
      </c>
      <c r="CG921">
        <v>1</v>
      </c>
      <c r="CH921" s="24"/>
      <c r="CI921" s="24"/>
      <c r="CJ921" s="24"/>
      <c r="CK921" s="24"/>
      <c r="DE921" s="24"/>
      <c r="DF921" s="24"/>
      <c r="DG921" s="24"/>
      <c r="DH921" s="24"/>
      <c r="DJ921" t="s">
        <v>149</v>
      </c>
      <c r="DK921" t="s">
        <v>149</v>
      </c>
      <c r="DM921">
        <v>45</v>
      </c>
      <c r="DN921">
        <v>45</v>
      </c>
      <c r="DQ921" t="s">
        <v>1001</v>
      </c>
      <c r="DR921" t="s">
        <v>149</v>
      </c>
      <c r="DS921" s="24">
        <v>46160.384426226854</v>
      </c>
    </row>
    <row r="922" spans="1:123" x14ac:dyDescent="0.3">
      <c r="A922" t="s">
        <v>1405</v>
      </c>
      <c r="D922" t="s">
        <v>223</v>
      </c>
      <c r="E922" s="24">
        <v>45898.346226851849</v>
      </c>
      <c r="G922" t="s">
        <v>90</v>
      </c>
      <c r="H922" t="s">
        <v>155</v>
      </c>
      <c r="I922" s="24"/>
      <c r="J922" s="24"/>
      <c r="K922" s="24"/>
      <c r="L922" s="24"/>
      <c r="N922" s="24"/>
      <c r="O922" s="24"/>
      <c r="P922" s="24"/>
      <c r="Q922" s="24"/>
      <c r="V922" s="24"/>
      <c r="W922" s="24"/>
      <c r="X922" s="24"/>
      <c r="Y922" s="24"/>
      <c r="AA922" s="24">
        <v>45916.378252835646</v>
      </c>
      <c r="AB922" s="24">
        <v>45916.378252835646</v>
      </c>
      <c r="AC922" s="24">
        <v>45916.626688611112</v>
      </c>
      <c r="AD922" s="24">
        <v>45916.626688611112</v>
      </c>
      <c r="AE922">
        <v>1</v>
      </c>
      <c r="AF922" s="24">
        <v>45916.626688611112</v>
      </c>
      <c r="AG922" s="24">
        <v>45916.626688611112</v>
      </c>
      <c r="AH922" s="24">
        <v>45917.399593564813</v>
      </c>
      <c r="AI922" s="24">
        <v>45917.399593564813</v>
      </c>
      <c r="AJ922">
        <v>1</v>
      </c>
      <c r="AK922" s="24"/>
      <c r="AL922" s="24"/>
      <c r="AM922" s="24"/>
      <c r="AN922" s="24"/>
      <c r="AP922" s="24"/>
      <c r="AQ922" s="24"/>
      <c r="AR922" s="24">
        <v>45898.349530104169</v>
      </c>
      <c r="AS922" s="24">
        <v>45898.349530104169</v>
      </c>
      <c r="AX922" s="24"/>
      <c r="AY922" s="24"/>
      <c r="AZ922" s="24"/>
      <c r="BA922" s="24"/>
      <c r="BC922" s="24"/>
      <c r="BD922" s="24"/>
      <c r="BE922" s="24"/>
      <c r="BF922" s="24"/>
      <c r="BH922" s="24">
        <v>45898.349530104169</v>
      </c>
      <c r="BI922" s="24">
        <v>45898.349530104169</v>
      </c>
      <c r="BJ922" s="24">
        <v>45916.378252835646</v>
      </c>
      <c r="BK922" s="24">
        <v>45916.378252835646</v>
      </c>
      <c r="BL922">
        <v>1</v>
      </c>
      <c r="BM922" s="24"/>
      <c r="BN922" s="24"/>
      <c r="BO922" s="24"/>
      <c r="BP922" s="24"/>
      <c r="BR922" s="24">
        <v>45917.399593564813</v>
      </c>
      <c r="BS922" s="24">
        <v>45917.399593564813</v>
      </c>
      <c r="BT922" s="24">
        <v>45917.399629490741</v>
      </c>
      <c r="BU922" s="24">
        <v>45917.399629490741</v>
      </c>
      <c r="BV922">
        <v>1</v>
      </c>
      <c r="BW922" s="24"/>
      <c r="BX922" s="24"/>
      <c r="BY922" s="24"/>
      <c r="BZ922" s="24"/>
      <c r="CB922" s="24"/>
      <c r="CC922" s="24"/>
      <c r="CE922" s="24">
        <v>45917.399629490741</v>
      </c>
      <c r="CF922" s="24">
        <v>45917.399629490741</v>
      </c>
      <c r="CG922">
        <v>1</v>
      </c>
      <c r="CH922" s="24"/>
      <c r="CI922" s="24"/>
      <c r="CJ922" s="24"/>
      <c r="CK922" s="24"/>
      <c r="DE922" s="24"/>
      <c r="DF922" s="24"/>
      <c r="DG922" s="24"/>
      <c r="DH922" s="24"/>
      <c r="DJ922" t="s">
        <v>149</v>
      </c>
      <c r="DK922" t="s">
        <v>149</v>
      </c>
      <c r="DM922">
        <v>20</v>
      </c>
      <c r="DN922">
        <v>2</v>
      </c>
      <c r="DQ922" t="s">
        <v>1001</v>
      </c>
      <c r="DR922" t="s">
        <v>149</v>
      </c>
      <c r="DS922" s="24">
        <v>46160.384426226854</v>
      </c>
    </row>
    <row r="923" spans="1:123" x14ac:dyDescent="0.3">
      <c r="A923" t="s">
        <v>1406</v>
      </c>
      <c r="D923" t="s">
        <v>225</v>
      </c>
      <c r="E923" s="24">
        <v>45898.330023148148</v>
      </c>
      <c r="G923" t="s">
        <v>90</v>
      </c>
      <c r="H923" t="s">
        <v>155</v>
      </c>
      <c r="I923" s="24"/>
      <c r="J923" s="24"/>
      <c r="K923" s="24"/>
      <c r="L923" s="24"/>
      <c r="N923" s="24"/>
      <c r="O923" s="24"/>
      <c r="P923" s="24"/>
      <c r="Q923" s="24"/>
      <c r="V923" s="24"/>
      <c r="W923" s="24"/>
      <c r="X923" s="24"/>
      <c r="Y923" s="24"/>
      <c r="AA923" s="24">
        <v>45898.597811863423</v>
      </c>
      <c r="AB923" s="24">
        <v>45898.597811863423</v>
      </c>
      <c r="AC923" s="24">
        <v>45898.601148541667</v>
      </c>
      <c r="AD923" s="24">
        <v>45898.601148541667</v>
      </c>
      <c r="AE923">
        <v>1</v>
      </c>
      <c r="AF923" s="24">
        <v>45898.601148541667</v>
      </c>
      <c r="AG923" s="24">
        <v>45898.601148541667</v>
      </c>
      <c r="AH923" s="24">
        <v>45901.418601053243</v>
      </c>
      <c r="AI923" s="24">
        <v>45901.418601053243</v>
      </c>
      <c r="AJ923">
        <v>1</v>
      </c>
      <c r="AK923" s="24">
        <v>45901.418601053243</v>
      </c>
      <c r="AL923" s="24">
        <v>45901.418601053243</v>
      </c>
      <c r="AM923" s="24">
        <v>45901.418691168983</v>
      </c>
      <c r="AN923" s="24">
        <v>45901.418691168983</v>
      </c>
      <c r="AO923">
        <v>1</v>
      </c>
      <c r="AP923" s="24"/>
      <c r="AQ923" s="24"/>
      <c r="AR923" s="24">
        <v>45898.346002662038</v>
      </c>
      <c r="AS923" s="24">
        <v>45898.346002662038</v>
      </c>
      <c r="AX923" s="24"/>
      <c r="AY923" s="24"/>
      <c r="AZ923" s="24"/>
      <c r="BA923" s="24"/>
      <c r="BC923" s="24">
        <v>45904.378123333336</v>
      </c>
      <c r="BD923" s="24">
        <v>45902.314913136572</v>
      </c>
      <c r="BE923" s="24">
        <v>45902.315598113426</v>
      </c>
      <c r="BF923" s="24">
        <v>45916.46509766204</v>
      </c>
      <c r="BG923">
        <v>3</v>
      </c>
      <c r="BH923" s="24">
        <v>45898.346002662038</v>
      </c>
      <c r="BI923" s="24">
        <v>45898.346002662038</v>
      </c>
      <c r="BJ923" s="24">
        <v>45898.597811863423</v>
      </c>
      <c r="BK923" s="24">
        <v>45898.597811863423</v>
      </c>
      <c r="BL923">
        <v>1</v>
      </c>
      <c r="BM923" s="24"/>
      <c r="BN923" s="24"/>
      <c r="BO923" s="24"/>
      <c r="BP923" s="24"/>
      <c r="BR923" s="24">
        <v>45904.377739467593</v>
      </c>
      <c r="BS923" s="24">
        <v>45901.418691168983</v>
      </c>
      <c r="BT923" s="24">
        <v>45902.314913136572</v>
      </c>
      <c r="BU923" s="24">
        <v>45904.378123333336</v>
      </c>
      <c r="BV923">
        <v>3</v>
      </c>
      <c r="BW923" s="24"/>
      <c r="BX923" s="24"/>
      <c r="BY923" s="24"/>
      <c r="BZ923" s="24"/>
      <c r="CB923" s="24"/>
      <c r="CC923" s="24"/>
      <c r="CE923" s="24">
        <v>45916.46509766204</v>
      </c>
      <c r="CF923" s="24">
        <v>45916.46509766204</v>
      </c>
      <c r="CG923">
        <v>1</v>
      </c>
      <c r="CH923" s="24"/>
      <c r="CI923" s="24"/>
      <c r="CJ923" s="24"/>
      <c r="CK923" s="24"/>
      <c r="DE923" s="24"/>
      <c r="DF923" s="24"/>
      <c r="DG923" s="24"/>
      <c r="DH923" s="24"/>
      <c r="DJ923" t="s">
        <v>149</v>
      </c>
      <c r="DK923" t="s">
        <v>149</v>
      </c>
      <c r="DM923">
        <v>19</v>
      </c>
      <c r="DN923">
        <v>18</v>
      </c>
      <c r="DQ923" t="s">
        <v>1001</v>
      </c>
      <c r="DR923" t="s">
        <v>149</v>
      </c>
      <c r="DS923" s="24">
        <v>46160.384426226854</v>
      </c>
    </row>
    <row r="924" spans="1:123" x14ac:dyDescent="0.3">
      <c r="A924" t="s">
        <v>1407</v>
      </c>
      <c r="D924" t="s">
        <v>225</v>
      </c>
      <c r="E924" s="24">
        <v>45898.310694444444</v>
      </c>
      <c r="G924" t="s">
        <v>90</v>
      </c>
      <c r="H924" t="s">
        <v>155</v>
      </c>
      <c r="I924" s="24"/>
      <c r="J924" s="24"/>
      <c r="K924" s="24"/>
      <c r="L924" s="24"/>
      <c r="N924" s="24"/>
      <c r="O924" s="24"/>
      <c r="P924" s="24"/>
      <c r="Q924" s="24"/>
      <c r="V924" s="24"/>
      <c r="W924" s="24"/>
      <c r="X924" s="24"/>
      <c r="Y924" s="24"/>
      <c r="AA924" s="24">
        <v>45898.597747731481</v>
      </c>
      <c r="AB924" s="24">
        <v>45898.597747731481</v>
      </c>
      <c r="AC924" s="24">
        <v>45898.601084953705</v>
      </c>
      <c r="AD924" s="24">
        <v>45898.601084953705</v>
      </c>
      <c r="AE924">
        <v>1</v>
      </c>
      <c r="AF924" s="24">
        <v>45898.601084953705</v>
      </c>
      <c r="AG924" s="24">
        <v>45898.601084953705</v>
      </c>
      <c r="AH924" s="24">
        <v>45901.481666319443</v>
      </c>
      <c r="AI924" s="24">
        <v>45901.481666319443</v>
      </c>
      <c r="AJ924">
        <v>1</v>
      </c>
      <c r="AK924" s="24">
        <v>45901.481666319443</v>
      </c>
      <c r="AL924" s="24">
        <v>45901.481666319443</v>
      </c>
      <c r="AM924" s="24">
        <v>45902.314165601849</v>
      </c>
      <c r="AN924" s="24">
        <v>45902.314165601849</v>
      </c>
      <c r="AO924">
        <v>1</v>
      </c>
      <c r="AP924" s="24"/>
      <c r="AQ924" s="24"/>
      <c r="AR924" s="24">
        <v>45898.345893483798</v>
      </c>
      <c r="AS924" s="24">
        <v>45898.345893483798</v>
      </c>
      <c r="AX924" s="24"/>
      <c r="AY924" s="24"/>
      <c r="AZ924" s="24"/>
      <c r="BA924" s="24"/>
      <c r="BC924" s="24">
        <v>45902.315737291668</v>
      </c>
      <c r="BD924" s="24">
        <v>45902.315737291668</v>
      </c>
      <c r="BE924" s="24">
        <v>45936.274616215276</v>
      </c>
      <c r="BF924" s="24">
        <v>45936.274616215276</v>
      </c>
      <c r="BG924">
        <v>1</v>
      </c>
      <c r="BH924" s="24">
        <v>45898.345893483798</v>
      </c>
      <c r="BI924" s="24">
        <v>45898.345893483798</v>
      </c>
      <c r="BJ924" s="24">
        <v>45898.597747731481</v>
      </c>
      <c r="BK924" s="24">
        <v>45898.597747731481</v>
      </c>
      <c r="BL924">
        <v>1</v>
      </c>
      <c r="BM924" s="24"/>
      <c r="BN924" s="24"/>
      <c r="BO924" s="24"/>
      <c r="BP924" s="24"/>
      <c r="BR924" s="24">
        <v>45902.314165601849</v>
      </c>
      <c r="BS924" s="24">
        <v>45902.314165601849</v>
      </c>
      <c r="BT924" s="24">
        <v>45902.315737291668</v>
      </c>
      <c r="BU924" s="24">
        <v>45902.315737291668</v>
      </c>
      <c r="BV924">
        <v>1</v>
      </c>
      <c r="BW924" s="24"/>
      <c r="BX924" s="24"/>
      <c r="BY924" s="24"/>
      <c r="BZ924" s="24"/>
      <c r="CB924" s="24"/>
      <c r="CC924" s="24"/>
      <c r="CE924" s="24">
        <v>45936.274616215276</v>
      </c>
      <c r="CF924" s="24">
        <v>45936.274616215276</v>
      </c>
      <c r="CG924">
        <v>1</v>
      </c>
      <c r="CH924" s="24"/>
      <c r="CI924" s="24"/>
      <c r="CJ924" s="24"/>
      <c r="CK924" s="24"/>
      <c r="DE924" s="24"/>
      <c r="DF924" s="24"/>
      <c r="DG924" s="24"/>
      <c r="DH924" s="24"/>
      <c r="DJ924" t="s">
        <v>149</v>
      </c>
      <c r="DK924" t="s">
        <v>149</v>
      </c>
      <c r="DM924">
        <v>38</v>
      </c>
      <c r="DN924">
        <v>38</v>
      </c>
      <c r="DQ924" t="s">
        <v>1001</v>
      </c>
      <c r="DR924" t="s">
        <v>149</v>
      </c>
      <c r="DS924" s="24">
        <v>46160.384426226854</v>
      </c>
    </row>
    <row r="925" spans="1:123" x14ac:dyDescent="0.3">
      <c r="A925" t="s">
        <v>1408</v>
      </c>
      <c r="D925" t="s">
        <v>223</v>
      </c>
      <c r="E925" s="24">
        <v>45898.309502314813</v>
      </c>
      <c r="G925" t="s">
        <v>90</v>
      </c>
      <c r="H925" t="s">
        <v>155</v>
      </c>
      <c r="I925" s="24"/>
      <c r="J925" s="24"/>
      <c r="K925" s="24"/>
      <c r="L925" s="24"/>
      <c r="N925" s="24"/>
      <c r="O925" s="24"/>
      <c r="P925" s="24"/>
      <c r="Q925" s="24"/>
      <c r="V925" s="24"/>
      <c r="W925" s="24"/>
      <c r="X925" s="24"/>
      <c r="Y925" s="24"/>
      <c r="AA925" s="24">
        <v>45917.450988310185</v>
      </c>
      <c r="AB925" s="24">
        <v>45917.450988310185</v>
      </c>
      <c r="AC925" s="24">
        <v>45917.451060416664</v>
      </c>
      <c r="AD925" s="24">
        <v>45917.451060416664</v>
      </c>
      <c r="AE925">
        <v>1</v>
      </c>
      <c r="AF925" s="24"/>
      <c r="AG925" s="24"/>
      <c r="AH925" s="24"/>
      <c r="AI925" s="24"/>
      <c r="AK925" s="24"/>
      <c r="AL925" s="24"/>
      <c r="AM925" s="24"/>
      <c r="AN925" s="24"/>
      <c r="AP925" s="24"/>
      <c r="AQ925" s="24"/>
      <c r="AR925" s="24">
        <v>45898.310258877318</v>
      </c>
      <c r="AS925" s="24">
        <v>45898.310258877318</v>
      </c>
      <c r="AX925" s="24"/>
      <c r="AY925" s="24"/>
      <c r="AZ925" s="24"/>
      <c r="BA925" s="24"/>
      <c r="BC925" s="24"/>
      <c r="BD925" s="24"/>
      <c r="BE925" s="24"/>
      <c r="BF925" s="24"/>
      <c r="BH925" s="24">
        <v>45898.310258877318</v>
      </c>
      <c r="BI925" s="24">
        <v>45898.310258877318</v>
      </c>
      <c r="BJ925" s="24">
        <v>45917.450988310185</v>
      </c>
      <c r="BK925" s="24">
        <v>45917.450988310185</v>
      </c>
      <c r="BL925">
        <v>1</v>
      </c>
      <c r="BM925" s="24"/>
      <c r="BN925" s="24"/>
      <c r="BO925" s="24"/>
      <c r="BP925" s="24"/>
      <c r="BR925" s="24"/>
      <c r="BS925" s="24"/>
      <c r="BT925" s="24"/>
      <c r="BU925" s="24"/>
      <c r="BW925" s="24"/>
      <c r="BX925" s="24"/>
      <c r="BY925" s="24"/>
      <c r="BZ925" s="24"/>
      <c r="CB925" s="24"/>
      <c r="CC925" s="24"/>
      <c r="CE925" s="24">
        <v>45917.451060416664</v>
      </c>
      <c r="CF925" s="24">
        <v>45917.451060416664</v>
      </c>
      <c r="CG925">
        <v>1</v>
      </c>
      <c r="CH925" s="24"/>
      <c r="CI925" s="24"/>
      <c r="CJ925" s="24"/>
      <c r="CK925" s="24"/>
      <c r="DE925" s="24"/>
      <c r="DF925" s="24"/>
      <c r="DG925" s="24"/>
      <c r="DH925" s="24"/>
      <c r="DJ925" t="s">
        <v>149</v>
      </c>
      <c r="DK925" t="s">
        <v>149</v>
      </c>
      <c r="DM925">
        <v>20</v>
      </c>
      <c r="DN925">
        <v>1</v>
      </c>
      <c r="DQ925" t="s">
        <v>1001</v>
      </c>
      <c r="DR925" t="s">
        <v>149</v>
      </c>
      <c r="DS925" s="24">
        <v>46160.384426226854</v>
      </c>
    </row>
    <row r="926" spans="1:123" x14ac:dyDescent="0.3">
      <c r="A926" t="s">
        <v>1409</v>
      </c>
      <c r="D926" t="s">
        <v>225</v>
      </c>
      <c r="E926" s="24">
        <v>45898.302708333336</v>
      </c>
      <c r="G926" t="s">
        <v>90</v>
      </c>
      <c r="H926" t="s">
        <v>155</v>
      </c>
      <c r="I926" s="24"/>
      <c r="J926" s="24"/>
      <c r="K926" s="24"/>
      <c r="L926" s="24"/>
      <c r="N926" s="24"/>
      <c r="O926" s="24"/>
      <c r="P926" s="24"/>
      <c r="Q926" s="24"/>
      <c r="V926" s="24"/>
      <c r="W926" s="24"/>
      <c r="X926" s="24"/>
      <c r="Y926" s="24"/>
      <c r="AA926" s="24">
        <v>45903.607266388892</v>
      </c>
      <c r="AB926" s="24">
        <v>45903.607266388892</v>
      </c>
      <c r="AC926" s="24">
        <v>45904.39237090278</v>
      </c>
      <c r="AD926" s="24">
        <v>45904.39237090278</v>
      </c>
      <c r="AE926">
        <v>1</v>
      </c>
      <c r="AF926" s="24">
        <v>45904.39237090278</v>
      </c>
      <c r="AG926" s="24">
        <v>45904.39237090278</v>
      </c>
      <c r="AH926" s="24">
        <v>45908.389325081022</v>
      </c>
      <c r="AI926" s="24">
        <v>45908.389325081022</v>
      </c>
      <c r="AJ926">
        <v>1</v>
      </c>
      <c r="AK926" s="24">
        <v>45908.389325081022</v>
      </c>
      <c r="AL926" s="24">
        <v>45908.389325081022</v>
      </c>
      <c r="AM926" s="24">
        <v>45908.389369039352</v>
      </c>
      <c r="AN926" s="24">
        <v>45908.389369039352</v>
      </c>
      <c r="AO926">
        <v>1</v>
      </c>
      <c r="AP926" s="24"/>
      <c r="AQ926" s="24"/>
      <c r="AR926" s="24">
        <v>45903.488280520833</v>
      </c>
      <c r="AS926" s="24">
        <v>45903.488280520833</v>
      </c>
      <c r="AX926" s="24"/>
      <c r="AY926" s="24"/>
      <c r="AZ926" s="24"/>
      <c r="BA926" s="24"/>
      <c r="BC926" s="24">
        <v>45910.615266261571</v>
      </c>
      <c r="BD926" s="24">
        <v>45910.615266261571</v>
      </c>
      <c r="BE926" s="24">
        <v>45916.465098587963</v>
      </c>
      <c r="BF926" s="24">
        <v>45916.465098587963</v>
      </c>
      <c r="BG926">
        <v>1</v>
      </c>
      <c r="BH926" s="24">
        <v>45903.488280520833</v>
      </c>
      <c r="BI926" s="24">
        <v>45903.488280520833</v>
      </c>
      <c r="BJ926" s="24">
        <v>45903.607266388892</v>
      </c>
      <c r="BK926" s="24">
        <v>45903.607266388892</v>
      </c>
      <c r="BL926">
        <v>1</v>
      </c>
      <c r="BM926" s="24"/>
      <c r="BN926" s="24"/>
      <c r="BO926" s="24"/>
      <c r="BP926" s="24"/>
      <c r="BR926" s="24">
        <v>45908.389369039352</v>
      </c>
      <c r="BS926" s="24">
        <v>45908.389369039352</v>
      </c>
      <c r="BT926" s="24">
        <v>45910.615266261571</v>
      </c>
      <c r="BU926" s="24">
        <v>45910.615266261571</v>
      </c>
      <c r="BV926">
        <v>1</v>
      </c>
      <c r="BW926" s="24"/>
      <c r="BX926" s="24"/>
      <c r="BY926" s="24"/>
      <c r="BZ926" s="24"/>
      <c r="CB926" s="24"/>
      <c r="CC926" s="24"/>
      <c r="CE926" s="24">
        <v>45916.465098587963</v>
      </c>
      <c r="CF926" s="24">
        <v>45916.465098587963</v>
      </c>
      <c r="CG926">
        <v>1</v>
      </c>
      <c r="CH926" s="24"/>
      <c r="CI926" s="24"/>
      <c r="CJ926" s="24"/>
      <c r="CK926" s="24"/>
      <c r="DE926" s="24"/>
      <c r="DF926" s="24"/>
      <c r="DG926" s="24"/>
      <c r="DH926" s="24"/>
      <c r="DJ926" t="s">
        <v>149</v>
      </c>
      <c r="DK926" t="s">
        <v>149</v>
      </c>
      <c r="DM926">
        <v>13</v>
      </c>
      <c r="DN926">
        <v>13</v>
      </c>
      <c r="DQ926" t="s">
        <v>1001</v>
      </c>
      <c r="DR926" t="s">
        <v>149</v>
      </c>
      <c r="DS926" s="24">
        <v>46160.384426226854</v>
      </c>
    </row>
    <row r="927" spans="1:123" x14ac:dyDescent="0.3">
      <c r="A927" t="s">
        <v>1410</v>
      </c>
      <c r="D927" t="s">
        <v>223</v>
      </c>
      <c r="E927" s="24">
        <v>45890.511076388888</v>
      </c>
      <c r="G927" t="s">
        <v>90</v>
      </c>
      <c r="H927" t="s">
        <v>155</v>
      </c>
      <c r="I927" s="24"/>
      <c r="J927" s="24"/>
      <c r="K927" s="24"/>
      <c r="L927" s="24"/>
      <c r="N927" s="24"/>
      <c r="O927" s="24"/>
      <c r="P927" s="24"/>
      <c r="Q927" s="24"/>
      <c r="V927" s="24"/>
      <c r="W927" s="24"/>
      <c r="X927" s="24"/>
      <c r="Y927" s="24"/>
      <c r="AA927" s="24">
        <v>45910.356161099538</v>
      </c>
      <c r="AB927" s="24">
        <v>45910.356161099538</v>
      </c>
      <c r="AC927" s="24">
        <v>45916.310252592593</v>
      </c>
      <c r="AD927" s="24">
        <v>45916.310252592593</v>
      </c>
      <c r="AE927">
        <v>1</v>
      </c>
      <c r="AF927" s="24">
        <v>45916.310252592593</v>
      </c>
      <c r="AG927" s="24">
        <v>45916.310252592593</v>
      </c>
      <c r="AH927" s="24">
        <v>45917.411991412038</v>
      </c>
      <c r="AI927" s="24">
        <v>45917.411991412038</v>
      </c>
      <c r="AJ927">
        <v>1</v>
      </c>
      <c r="AK927" s="24"/>
      <c r="AL927" s="24"/>
      <c r="AM927" s="24"/>
      <c r="AN927" s="24"/>
      <c r="AP927" s="24"/>
      <c r="AQ927" s="24"/>
      <c r="AR927" s="24">
        <v>45903.538204456017</v>
      </c>
      <c r="AS927" s="24">
        <v>45903.538204456017</v>
      </c>
      <c r="AX927" s="24"/>
      <c r="AY927" s="24"/>
      <c r="AZ927" s="24"/>
      <c r="BA927" s="24"/>
      <c r="BC927" s="24"/>
      <c r="BD927" s="24"/>
      <c r="BE927" s="24"/>
      <c r="BF927" s="24"/>
      <c r="BH927" s="24">
        <v>45903.538204456017</v>
      </c>
      <c r="BI927" s="24">
        <v>45903.538204456017</v>
      </c>
      <c r="BJ927" s="24">
        <v>45910.356161099538</v>
      </c>
      <c r="BK927" s="24">
        <v>45910.356161099538</v>
      </c>
      <c r="BL927">
        <v>1</v>
      </c>
      <c r="BM927" s="24"/>
      <c r="BN927" s="24"/>
      <c r="BO927" s="24"/>
      <c r="BP927" s="24"/>
      <c r="BR927" s="24">
        <v>45917.411991412038</v>
      </c>
      <c r="BS927" s="24">
        <v>45917.411991412038</v>
      </c>
      <c r="BT927" s="24">
        <v>45917.412023750003</v>
      </c>
      <c r="BU927" s="24">
        <v>45917.412023750003</v>
      </c>
      <c r="BV927">
        <v>1</v>
      </c>
      <c r="BW927" s="24"/>
      <c r="BX927" s="24"/>
      <c r="BY927" s="24"/>
      <c r="BZ927" s="24"/>
      <c r="CB927" s="24"/>
      <c r="CC927" s="24"/>
      <c r="CE927" s="24">
        <v>45917.412023750003</v>
      </c>
      <c r="CF927" s="24">
        <v>45917.412023750003</v>
      </c>
      <c r="CG927">
        <v>1</v>
      </c>
      <c r="CH927" s="24"/>
      <c r="CI927" s="24"/>
      <c r="CJ927" s="24"/>
      <c r="CK927" s="24"/>
      <c r="DE927" s="24"/>
      <c r="DF927" s="24"/>
      <c r="DG927" s="24"/>
      <c r="DH927" s="24"/>
      <c r="DJ927" t="s">
        <v>149</v>
      </c>
      <c r="DK927" t="s">
        <v>149</v>
      </c>
      <c r="DM927">
        <v>14</v>
      </c>
      <c r="DN927">
        <v>8</v>
      </c>
      <c r="DQ927" t="s">
        <v>1001</v>
      </c>
      <c r="DR927" t="s">
        <v>149</v>
      </c>
      <c r="DS927" s="24">
        <v>46160.384426226854</v>
      </c>
    </row>
    <row r="928" spans="1:123" x14ac:dyDescent="0.3">
      <c r="A928" t="s">
        <v>1411</v>
      </c>
      <c r="D928" t="s">
        <v>225</v>
      </c>
      <c r="E928" s="24">
        <v>45890.508402777778</v>
      </c>
      <c r="G928" t="s">
        <v>90</v>
      </c>
      <c r="H928" t="s">
        <v>155</v>
      </c>
      <c r="I928" s="24"/>
      <c r="J928" s="24"/>
      <c r="K928" s="24"/>
      <c r="L928" s="24"/>
      <c r="N928" s="24"/>
      <c r="O928" s="24"/>
      <c r="P928" s="24"/>
      <c r="Q928" s="24"/>
      <c r="V928" s="24"/>
      <c r="W928" s="24"/>
      <c r="X928" s="24"/>
      <c r="Y928" s="24"/>
      <c r="AA928" s="24">
        <v>45902.653291631941</v>
      </c>
      <c r="AB928" s="24">
        <v>45896.454677395835</v>
      </c>
      <c r="AC928" s="24">
        <v>45902.652579444446</v>
      </c>
      <c r="AD928" s="24">
        <v>45902.653952303241</v>
      </c>
      <c r="AE928">
        <v>2</v>
      </c>
      <c r="AF928" s="24">
        <v>45902.653952303241</v>
      </c>
      <c r="AG928" s="24">
        <v>45902.652579444446</v>
      </c>
      <c r="AH928" s="24">
        <v>45902.653224224538</v>
      </c>
      <c r="AI928" s="24">
        <v>45902.65400678241</v>
      </c>
      <c r="AJ928">
        <v>2</v>
      </c>
      <c r="AK928" s="24">
        <v>45902.65400678241</v>
      </c>
      <c r="AL928" s="24">
        <v>45902.65400678241</v>
      </c>
      <c r="AM928" s="24">
        <v>45903.381574236111</v>
      </c>
      <c r="AN928" s="24">
        <v>45903.381574236111</v>
      </c>
      <c r="AO928">
        <v>1</v>
      </c>
      <c r="AP928" s="24"/>
      <c r="AQ928" s="24"/>
      <c r="AR928" s="24">
        <v>45890.516102696762</v>
      </c>
      <c r="AS928" s="24">
        <v>45890.516102696762</v>
      </c>
      <c r="AX928" s="24"/>
      <c r="AY928" s="24"/>
      <c r="AZ928" s="24"/>
      <c r="BA928" s="24"/>
      <c r="BC928" s="24">
        <v>45903.381817453701</v>
      </c>
      <c r="BD928" s="24">
        <v>45903.381817453701</v>
      </c>
      <c r="BE928" s="24">
        <v>45947.703343541667</v>
      </c>
      <c r="BF928" s="24">
        <v>45947.703343541667</v>
      </c>
      <c r="BG928">
        <v>1</v>
      </c>
      <c r="BH928" s="24">
        <v>45890.516102696762</v>
      </c>
      <c r="BI928" s="24">
        <v>45890.516102696762</v>
      </c>
      <c r="BJ928" s="24">
        <v>45896.454677395835</v>
      </c>
      <c r="BK928" s="24">
        <v>45896.454677395835</v>
      </c>
      <c r="BL928">
        <v>1</v>
      </c>
      <c r="BM928" s="24"/>
      <c r="BN928" s="24"/>
      <c r="BO928" s="24"/>
      <c r="BP928" s="24"/>
      <c r="BR928" s="24">
        <v>45903.381574236111</v>
      </c>
      <c r="BS928" s="24">
        <v>45902.653224224538</v>
      </c>
      <c r="BT928" s="24">
        <v>45902.653291631941</v>
      </c>
      <c r="BU928" s="24">
        <v>45903.381817453701</v>
      </c>
      <c r="BV928">
        <v>2</v>
      </c>
      <c r="BW928" s="24"/>
      <c r="BX928" s="24"/>
      <c r="BY928" s="24"/>
      <c r="BZ928" s="24"/>
      <c r="CB928" s="24"/>
      <c r="CC928" s="24"/>
      <c r="CE928" s="24">
        <v>45947.703343541667</v>
      </c>
      <c r="CF928" s="24">
        <v>45947.703343541667</v>
      </c>
      <c r="CG928">
        <v>1</v>
      </c>
      <c r="CH928" s="24"/>
      <c r="CI928" s="24"/>
      <c r="CJ928" s="24"/>
      <c r="CK928" s="24"/>
      <c r="DE928" s="24"/>
      <c r="DF928" s="24"/>
      <c r="DG928" s="24"/>
      <c r="DH928" s="24"/>
      <c r="DJ928" t="s">
        <v>149</v>
      </c>
      <c r="DK928" t="s">
        <v>149</v>
      </c>
      <c r="DM928">
        <v>58</v>
      </c>
      <c r="DN928">
        <v>52</v>
      </c>
      <c r="DQ928" t="s">
        <v>1001</v>
      </c>
      <c r="DR928" t="s">
        <v>149</v>
      </c>
      <c r="DS928" s="24">
        <v>46160.384426226854</v>
      </c>
    </row>
    <row r="929" spans="1:123" x14ac:dyDescent="0.3">
      <c r="A929" t="s">
        <v>1412</v>
      </c>
      <c r="D929" t="s">
        <v>223</v>
      </c>
      <c r="E929" s="24">
        <v>45890.470208333332</v>
      </c>
      <c r="G929" t="s">
        <v>103</v>
      </c>
      <c r="H929" t="s">
        <v>154</v>
      </c>
      <c r="I929" s="24">
        <v>45960.438309305559</v>
      </c>
      <c r="J929" s="24">
        <v>45960.438309305559</v>
      </c>
      <c r="K929" s="24"/>
      <c r="L929" s="24"/>
      <c r="M929">
        <v>1</v>
      </c>
      <c r="N929" s="24"/>
      <c r="O929" s="24"/>
      <c r="P929" s="24"/>
      <c r="Q929" s="24"/>
      <c r="V929" s="24"/>
      <c r="W929" s="24"/>
      <c r="X929" s="24"/>
      <c r="Y929" s="24"/>
      <c r="AA929" s="24">
        <v>45896.51680853009</v>
      </c>
      <c r="AB929" s="24">
        <v>45896.51680853009</v>
      </c>
      <c r="AC929" s="24">
        <v>45960.438309305559</v>
      </c>
      <c r="AD929" s="24">
        <v>45960.438309305559</v>
      </c>
      <c r="AE929">
        <v>1</v>
      </c>
      <c r="AF929" s="24"/>
      <c r="AG929" s="24"/>
      <c r="AH929" s="24"/>
      <c r="AI929" s="24"/>
      <c r="AK929" s="24"/>
      <c r="AL929" s="24"/>
      <c r="AM929" s="24"/>
      <c r="AN929" s="24"/>
      <c r="AP929" s="24"/>
      <c r="AQ929" s="24"/>
      <c r="AR929" s="24">
        <v>45890.485754062502</v>
      </c>
      <c r="AS929" s="24">
        <v>45890.485754062502</v>
      </c>
      <c r="AX929" s="24"/>
      <c r="AY929" s="24"/>
      <c r="AZ929" s="24"/>
      <c r="BA929" s="24"/>
      <c r="BC929" s="24"/>
      <c r="BD929" s="24"/>
      <c r="BE929" s="24"/>
      <c r="BF929" s="24"/>
      <c r="BH929" s="24">
        <v>45890.485754062502</v>
      </c>
      <c r="BI929" s="24">
        <v>45890.485754062502</v>
      </c>
      <c r="BJ929" s="24">
        <v>45896.51680853009</v>
      </c>
      <c r="BK929" s="24">
        <v>45896.51680853009</v>
      </c>
      <c r="BL929">
        <v>1</v>
      </c>
      <c r="BM929" s="24"/>
      <c r="BN929" s="24"/>
      <c r="BO929" s="24"/>
      <c r="BP929" s="24"/>
      <c r="BR929" s="24"/>
      <c r="BS929" s="24"/>
      <c r="BT929" s="24"/>
      <c r="BU929" s="24"/>
      <c r="BW929" s="24"/>
      <c r="BX929" s="24"/>
      <c r="BY929" s="24"/>
      <c r="BZ929" s="24"/>
      <c r="CB929" s="24"/>
      <c r="CC929" s="24"/>
      <c r="CE929" s="24"/>
      <c r="CF929" s="24"/>
      <c r="CH929" s="24"/>
      <c r="CI929" s="24"/>
      <c r="CJ929" s="24"/>
      <c r="CK929" s="24"/>
      <c r="DE929" s="24"/>
      <c r="DF929" s="24"/>
      <c r="DG929" s="24"/>
      <c r="DH929" s="24"/>
      <c r="DJ929" t="s">
        <v>149</v>
      </c>
      <c r="DK929" t="s">
        <v>149</v>
      </c>
      <c r="DO929">
        <v>264</v>
      </c>
      <c r="DP929">
        <v>200</v>
      </c>
      <c r="DQ929" t="s">
        <v>1001</v>
      </c>
      <c r="DR929" t="s">
        <v>149</v>
      </c>
      <c r="DS929" s="24">
        <v>46160.384426226854</v>
      </c>
    </row>
    <row r="930" spans="1:123" x14ac:dyDescent="0.3">
      <c r="A930" t="s">
        <v>1413</v>
      </c>
      <c r="D930" t="s">
        <v>223</v>
      </c>
      <c r="E930" s="24">
        <v>45890.469814814816</v>
      </c>
      <c r="G930" t="s">
        <v>90</v>
      </c>
      <c r="H930" t="s">
        <v>155</v>
      </c>
      <c r="I930" s="24"/>
      <c r="J930" s="24"/>
      <c r="K930" s="24"/>
      <c r="L930" s="24"/>
      <c r="N930" s="24"/>
      <c r="O930" s="24"/>
      <c r="P930" s="24"/>
      <c r="Q930" s="24"/>
      <c r="V930" s="24"/>
      <c r="W930" s="24"/>
      <c r="X930" s="24"/>
      <c r="Y930" s="24"/>
      <c r="AA930" s="24">
        <v>45896.453258321759</v>
      </c>
      <c r="AB930" s="24">
        <v>45896.453258321759</v>
      </c>
      <c r="AC930" s="24">
        <v>45901.360778888891</v>
      </c>
      <c r="AD930" s="24">
        <v>45901.360778888891</v>
      </c>
      <c r="AE930">
        <v>1</v>
      </c>
      <c r="AF930" s="24">
        <v>45901.360778888891</v>
      </c>
      <c r="AG930" s="24">
        <v>45901.360778888891</v>
      </c>
      <c r="AH930" s="24">
        <v>45901.360821365743</v>
      </c>
      <c r="AI930" s="24">
        <v>45901.360821365743</v>
      </c>
      <c r="AJ930">
        <v>1</v>
      </c>
      <c r="AK930" s="24"/>
      <c r="AL930" s="24"/>
      <c r="AM930" s="24"/>
      <c r="AN930" s="24"/>
      <c r="AP930" s="24"/>
      <c r="AQ930" s="24"/>
      <c r="AR930" s="24">
        <v>45890.485649224538</v>
      </c>
      <c r="AS930" s="24">
        <v>45890.485649224538</v>
      </c>
      <c r="AX930" s="24"/>
      <c r="AY930" s="24"/>
      <c r="AZ930" s="24"/>
      <c r="BA930" s="24"/>
      <c r="BC930" s="24"/>
      <c r="BD930" s="24"/>
      <c r="BE930" s="24"/>
      <c r="BF930" s="24"/>
      <c r="BH930" s="24">
        <v>45890.485649224538</v>
      </c>
      <c r="BI930" s="24">
        <v>45890.485649224538</v>
      </c>
      <c r="BJ930" s="24">
        <v>45896.453258321759</v>
      </c>
      <c r="BK930" s="24">
        <v>45896.453258321759</v>
      </c>
      <c r="BL930">
        <v>1</v>
      </c>
      <c r="BM930" s="24"/>
      <c r="BN930" s="24"/>
      <c r="BO930" s="24"/>
      <c r="BP930" s="24"/>
      <c r="BR930" s="24">
        <v>45901.360821365743</v>
      </c>
      <c r="BS930" s="24">
        <v>45901.360821365743</v>
      </c>
      <c r="BT930" s="24">
        <v>45901.360856550928</v>
      </c>
      <c r="BU930" s="24">
        <v>45901.360856550928</v>
      </c>
      <c r="BV930">
        <v>1</v>
      </c>
      <c r="BW930" s="24"/>
      <c r="BX930" s="24"/>
      <c r="BY930" s="24"/>
      <c r="BZ930" s="24"/>
      <c r="CB930" s="24"/>
      <c r="CC930" s="24"/>
      <c r="CE930" s="24">
        <v>45901.360856550928</v>
      </c>
      <c r="CF930" s="24">
        <v>45901.360856550928</v>
      </c>
      <c r="CG930">
        <v>1</v>
      </c>
      <c r="CH930" s="24"/>
      <c r="CI930" s="24"/>
      <c r="CJ930" s="24"/>
      <c r="CK930" s="24"/>
      <c r="DE930" s="24"/>
      <c r="DF930" s="24"/>
      <c r="DG930" s="24"/>
      <c r="DH930" s="24"/>
      <c r="DJ930" t="s">
        <v>149</v>
      </c>
      <c r="DK930" t="s">
        <v>149</v>
      </c>
      <c r="DM930">
        <v>11</v>
      </c>
      <c r="DN930">
        <v>5</v>
      </c>
      <c r="DQ930" t="s">
        <v>1001</v>
      </c>
      <c r="DR930" t="s">
        <v>149</v>
      </c>
      <c r="DS930" s="24">
        <v>46160.384426226854</v>
      </c>
    </row>
    <row r="931" spans="1:123" x14ac:dyDescent="0.3">
      <c r="A931" t="s">
        <v>1414</v>
      </c>
      <c r="D931" t="s">
        <v>225</v>
      </c>
      <c r="E931" s="24">
        <v>45890.469131944446</v>
      </c>
      <c r="G931" t="s">
        <v>90</v>
      </c>
      <c r="H931" t="s">
        <v>155</v>
      </c>
      <c r="I931" s="24"/>
      <c r="J931" s="24"/>
      <c r="K931" s="24"/>
      <c r="L931" s="24"/>
      <c r="N931" s="24"/>
      <c r="O931" s="24"/>
      <c r="P931" s="24"/>
      <c r="Q931" s="24"/>
      <c r="V931" s="24"/>
      <c r="W931" s="24"/>
      <c r="X931" s="24"/>
      <c r="Y931" s="24"/>
      <c r="AA931" s="24">
        <v>45894.381499490744</v>
      </c>
      <c r="AB931" s="24">
        <v>45894.381499490744</v>
      </c>
      <c r="AC931" s="24">
        <v>45895.298562453703</v>
      </c>
      <c r="AD931" s="24">
        <v>45895.298562453703</v>
      </c>
      <c r="AE931">
        <v>1</v>
      </c>
      <c r="AF931" s="24">
        <v>45895.298562453703</v>
      </c>
      <c r="AG931" s="24">
        <v>45895.298562453703</v>
      </c>
      <c r="AH931" s="24">
        <v>45895.299165150464</v>
      </c>
      <c r="AI931" s="24">
        <v>45895.299165150464</v>
      </c>
      <c r="AJ931">
        <v>1</v>
      </c>
      <c r="AK931" s="24">
        <v>45895.299165150464</v>
      </c>
      <c r="AL931" s="24">
        <v>45895.299165150464</v>
      </c>
      <c r="AM931" s="24">
        <v>45895.299220659719</v>
      </c>
      <c r="AN931" s="24">
        <v>45895.299220659719</v>
      </c>
      <c r="AO931">
        <v>1</v>
      </c>
      <c r="AP931" s="24"/>
      <c r="AQ931" s="24"/>
      <c r="AR931" s="24">
        <v>45890.476405347224</v>
      </c>
      <c r="AS931" s="24">
        <v>45890.476405347224</v>
      </c>
      <c r="AX931" s="24"/>
      <c r="AY931" s="24"/>
      <c r="AZ931" s="24"/>
      <c r="BA931" s="24"/>
      <c r="BC931" s="24">
        <v>45903.461178263889</v>
      </c>
      <c r="BD931" s="24">
        <v>45903.461178263889</v>
      </c>
      <c r="BE931" s="24">
        <v>45916.465097986111</v>
      </c>
      <c r="BF931" s="24">
        <v>45916.465097986111</v>
      </c>
      <c r="BG931">
        <v>1</v>
      </c>
      <c r="BH931" s="24">
        <v>45890.476405347224</v>
      </c>
      <c r="BI931" s="24">
        <v>45890.476405347224</v>
      </c>
      <c r="BJ931" s="24">
        <v>45894.381499490744</v>
      </c>
      <c r="BK931" s="24">
        <v>45894.381499490744</v>
      </c>
      <c r="BL931">
        <v>1</v>
      </c>
      <c r="BM931" s="24"/>
      <c r="BN931" s="24"/>
      <c r="BO931" s="24"/>
      <c r="BP931" s="24"/>
      <c r="BR931" s="24">
        <v>45895.299220659719</v>
      </c>
      <c r="BS931" s="24">
        <v>45895.299220659719</v>
      </c>
      <c r="BT931" s="24">
        <v>45903.461178263889</v>
      </c>
      <c r="BU931" s="24">
        <v>45903.461178263889</v>
      </c>
      <c r="BV931">
        <v>1</v>
      </c>
      <c r="BW931" s="24"/>
      <c r="BX931" s="24"/>
      <c r="BY931" s="24"/>
      <c r="BZ931" s="24"/>
      <c r="CB931" s="24"/>
      <c r="CC931" s="24"/>
      <c r="CE931" s="24">
        <v>45916.465097986111</v>
      </c>
      <c r="CF931" s="24">
        <v>45916.465097986111</v>
      </c>
      <c r="CG931">
        <v>1</v>
      </c>
      <c r="CH931" s="24"/>
      <c r="CI931" s="24"/>
      <c r="CJ931" s="24"/>
      <c r="CK931" s="24"/>
      <c r="DE931" s="24"/>
      <c r="DF931" s="24"/>
      <c r="DG931" s="24"/>
      <c r="DH931" s="24"/>
      <c r="DJ931" t="s">
        <v>149</v>
      </c>
      <c r="DK931" t="s">
        <v>149</v>
      </c>
      <c r="DM931">
        <v>26</v>
      </c>
      <c r="DN931">
        <v>23</v>
      </c>
      <c r="DQ931" t="s">
        <v>1001</v>
      </c>
      <c r="DR931" t="s">
        <v>149</v>
      </c>
      <c r="DS931" s="24">
        <v>46160.384426226854</v>
      </c>
    </row>
    <row r="932" spans="1:123" x14ac:dyDescent="0.3">
      <c r="A932" t="s">
        <v>1415</v>
      </c>
      <c r="D932" t="s">
        <v>225</v>
      </c>
      <c r="E932" s="24">
        <v>45882.427430555559</v>
      </c>
      <c r="G932" t="s">
        <v>90</v>
      </c>
      <c r="H932" t="s">
        <v>155</v>
      </c>
      <c r="I932" s="24">
        <v>45904.304017187504</v>
      </c>
      <c r="J932" s="24">
        <v>45904.304017187504</v>
      </c>
      <c r="K932" s="24">
        <v>45904.304072372688</v>
      </c>
      <c r="L932" s="24">
        <v>45904.304072372688</v>
      </c>
      <c r="M932">
        <v>1</v>
      </c>
      <c r="N932" s="24"/>
      <c r="O932" s="24"/>
      <c r="P932" s="24"/>
      <c r="Q932" s="24"/>
      <c r="V932" s="24"/>
      <c r="W932" s="24"/>
      <c r="X932" s="24"/>
      <c r="Y932" s="24"/>
      <c r="AA932" s="24">
        <v>45916.521359502316</v>
      </c>
      <c r="AB932" s="24">
        <v>45904.30178144676</v>
      </c>
      <c r="AC932" s="24">
        <v>45904.304017187504</v>
      </c>
      <c r="AD932" s="24">
        <v>45919.625944837964</v>
      </c>
      <c r="AE932">
        <v>2</v>
      </c>
      <c r="AF932" s="24">
        <v>45919.625944837964</v>
      </c>
      <c r="AG932" s="24">
        <v>45919.625944837964</v>
      </c>
      <c r="AH932" s="24">
        <v>45923.444256238428</v>
      </c>
      <c r="AI932" s="24">
        <v>45923.444256238428</v>
      </c>
      <c r="AJ932">
        <v>1</v>
      </c>
      <c r="AK932" s="24">
        <v>45923.444256238428</v>
      </c>
      <c r="AL932" s="24">
        <v>45923.444256238428</v>
      </c>
      <c r="AM932" s="24">
        <v>45924.549619652775</v>
      </c>
      <c r="AN932" s="24">
        <v>45924.549619652775</v>
      </c>
      <c r="AO932">
        <v>1</v>
      </c>
      <c r="AP932" s="24"/>
      <c r="AQ932" s="24"/>
      <c r="AR932" s="24">
        <v>45890.484601585646</v>
      </c>
      <c r="AS932" s="24">
        <v>45890.484601585646</v>
      </c>
      <c r="AX932" s="24"/>
      <c r="AY932" s="24"/>
      <c r="AZ932" s="24"/>
      <c r="BA932" s="24"/>
      <c r="BC932" s="24">
        <v>45924.549783738425</v>
      </c>
      <c r="BD932" s="24">
        <v>45924.549783738425</v>
      </c>
      <c r="BE932" s="24">
        <v>45947.703343622685</v>
      </c>
      <c r="BF932" s="24">
        <v>45947.703343622685</v>
      </c>
      <c r="BG932">
        <v>1</v>
      </c>
      <c r="BH932" s="24">
        <v>45904.304072372688</v>
      </c>
      <c r="BI932" s="24">
        <v>45890.484601585646</v>
      </c>
      <c r="BJ932" s="24">
        <v>45904.30178144676</v>
      </c>
      <c r="BK932" s="24">
        <v>45916.521359502316</v>
      </c>
      <c r="BL932">
        <v>2</v>
      </c>
      <c r="BM932" s="24"/>
      <c r="BN932" s="24"/>
      <c r="BO932" s="24"/>
      <c r="BP932" s="24"/>
      <c r="BR932" s="24">
        <v>45924.549619652775</v>
      </c>
      <c r="BS932" s="24">
        <v>45924.549619652775</v>
      </c>
      <c r="BT932" s="24">
        <v>45924.549783738425</v>
      </c>
      <c r="BU932" s="24">
        <v>45924.549783738425</v>
      </c>
      <c r="BV932">
        <v>1</v>
      </c>
      <c r="BW932" s="24"/>
      <c r="BX932" s="24"/>
      <c r="BY932" s="24"/>
      <c r="BZ932" s="24"/>
      <c r="CB932" s="24"/>
      <c r="CC932" s="24"/>
      <c r="CE932" s="24">
        <v>45947.703343622685</v>
      </c>
      <c r="CF932" s="24">
        <v>45947.703343622685</v>
      </c>
      <c r="CG932">
        <v>1</v>
      </c>
      <c r="CH932" s="24"/>
      <c r="CI932" s="24"/>
      <c r="CJ932" s="24"/>
      <c r="CK932" s="24"/>
      <c r="DE932" s="24"/>
      <c r="DF932" s="24"/>
      <c r="DG932" s="24"/>
      <c r="DH932" s="24"/>
      <c r="DJ932" t="s">
        <v>149</v>
      </c>
      <c r="DK932" t="s">
        <v>149</v>
      </c>
      <c r="DM932">
        <v>58</v>
      </c>
      <c r="DN932">
        <v>44</v>
      </c>
      <c r="DQ932" t="s">
        <v>1001</v>
      </c>
      <c r="DR932" t="s">
        <v>149</v>
      </c>
      <c r="DS932" s="24">
        <v>46160.384426226854</v>
      </c>
    </row>
    <row r="933" spans="1:123" x14ac:dyDescent="0.3">
      <c r="A933" t="s">
        <v>1416</v>
      </c>
      <c r="D933" t="s">
        <v>223</v>
      </c>
      <c r="E933" s="24">
        <v>45880.525937500002</v>
      </c>
      <c r="G933" t="s">
        <v>90</v>
      </c>
      <c r="H933" t="s">
        <v>155</v>
      </c>
      <c r="I933" s="24"/>
      <c r="J933" s="24"/>
      <c r="K933" s="24"/>
      <c r="L933" s="24"/>
      <c r="N933" s="24"/>
      <c r="O933" s="24"/>
      <c r="P933" s="24"/>
      <c r="Q933" s="24"/>
      <c r="V933" s="24"/>
      <c r="W933" s="24"/>
      <c r="X933" s="24"/>
      <c r="Y933" s="24"/>
      <c r="AA933" s="24">
        <v>45902.2724796412</v>
      </c>
      <c r="AB933" s="24">
        <v>45902.2724796412</v>
      </c>
      <c r="AC933" s="24">
        <v>45902.289284652776</v>
      </c>
      <c r="AD933" s="24">
        <v>45902.289284652776</v>
      </c>
      <c r="AE933">
        <v>1</v>
      </c>
      <c r="AF933" s="24">
        <v>45902.289284652776</v>
      </c>
      <c r="AG933" s="24">
        <v>45902.289284652776</v>
      </c>
      <c r="AH933" s="24">
        <v>45902.28932423611</v>
      </c>
      <c r="AI933" s="24">
        <v>45902.28932423611</v>
      </c>
      <c r="AJ933">
        <v>1</v>
      </c>
      <c r="AK933" s="24">
        <v>45902.28932423611</v>
      </c>
      <c r="AL933" s="24">
        <v>45902.28932423611</v>
      </c>
      <c r="AM933" s="24">
        <v>45902.289358564813</v>
      </c>
      <c r="AN933" s="24">
        <v>45902.289358564813</v>
      </c>
      <c r="AO933">
        <v>1</v>
      </c>
      <c r="AP933" s="24"/>
      <c r="AQ933" s="24"/>
      <c r="AR933" s="24">
        <v>45890.484790023147</v>
      </c>
      <c r="AS933" s="24">
        <v>45890.484790023147</v>
      </c>
      <c r="AX933" s="24"/>
      <c r="AY933" s="24"/>
      <c r="AZ933" s="24"/>
      <c r="BA933" s="24"/>
      <c r="BC933" s="24"/>
      <c r="BD933" s="24"/>
      <c r="BE933" s="24"/>
      <c r="BF933" s="24"/>
      <c r="BH933" s="24">
        <v>45890.484790023147</v>
      </c>
      <c r="BI933" s="24">
        <v>45890.484790023147</v>
      </c>
      <c r="BJ933" s="24">
        <v>45902.2724796412</v>
      </c>
      <c r="BK933" s="24">
        <v>45902.2724796412</v>
      </c>
      <c r="BL933">
        <v>1</v>
      </c>
      <c r="BM933" s="24"/>
      <c r="BN933" s="24"/>
      <c r="BO933" s="24"/>
      <c r="BP933" s="24"/>
      <c r="BR933" s="24">
        <v>45902.289358564813</v>
      </c>
      <c r="BS933" s="24">
        <v>45902.289358564813</v>
      </c>
      <c r="BT933" s="24">
        <v>45902.299042615741</v>
      </c>
      <c r="BU933" s="24">
        <v>45902.299042615741</v>
      </c>
      <c r="BV933">
        <v>1</v>
      </c>
      <c r="BW933" s="24"/>
      <c r="BX933" s="24"/>
      <c r="BY933" s="24"/>
      <c r="BZ933" s="24"/>
      <c r="CB933" s="24"/>
      <c r="CC933" s="24"/>
      <c r="CE933" s="24">
        <v>45902.299042615741</v>
      </c>
      <c r="CF933" s="24">
        <v>45902.299042615741</v>
      </c>
      <c r="CG933">
        <v>1</v>
      </c>
      <c r="CH933" s="24"/>
      <c r="CI933" s="24"/>
      <c r="CJ933" s="24"/>
      <c r="CK933" s="24"/>
      <c r="DE933" s="24"/>
      <c r="DF933" s="24"/>
      <c r="DG933" s="24"/>
      <c r="DH933" s="24"/>
      <c r="DJ933" t="s">
        <v>149</v>
      </c>
      <c r="DK933" t="s">
        <v>149</v>
      </c>
      <c r="DM933">
        <v>12</v>
      </c>
      <c r="DN933">
        <v>1</v>
      </c>
      <c r="DQ933" t="s">
        <v>1001</v>
      </c>
      <c r="DR933" t="s">
        <v>149</v>
      </c>
      <c r="DS933" s="24">
        <v>46160.384426226854</v>
      </c>
    </row>
    <row r="934" spans="1:123" x14ac:dyDescent="0.3">
      <c r="A934" t="s">
        <v>1417</v>
      </c>
      <c r="D934" t="s">
        <v>223</v>
      </c>
      <c r="E934" s="24">
        <v>45875.444351851853</v>
      </c>
      <c r="G934" t="s">
        <v>90</v>
      </c>
      <c r="H934" t="s">
        <v>155</v>
      </c>
      <c r="I934" s="24"/>
      <c r="J934" s="24"/>
      <c r="K934" s="24"/>
      <c r="L934" s="24"/>
      <c r="N934" s="24"/>
      <c r="O934" s="24"/>
      <c r="P934" s="24"/>
      <c r="Q934" s="24"/>
      <c r="V934" s="24"/>
      <c r="W934" s="24"/>
      <c r="X934" s="24"/>
      <c r="Y934" s="24"/>
      <c r="AA934" s="24">
        <v>45875.44801940972</v>
      </c>
      <c r="AB934" s="24">
        <v>45875.44801940972</v>
      </c>
      <c r="AC934" s="24">
        <v>45875.448061840281</v>
      </c>
      <c r="AD934" s="24">
        <v>45875.448061840281</v>
      </c>
      <c r="AE934">
        <v>1</v>
      </c>
      <c r="AF934" s="24">
        <v>45875.448061840281</v>
      </c>
      <c r="AG934" s="24">
        <v>45875.448061840281</v>
      </c>
      <c r="AH934" s="24">
        <v>45875.448097974535</v>
      </c>
      <c r="AI934" s="24">
        <v>45875.448097974535</v>
      </c>
      <c r="AJ934">
        <v>1</v>
      </c>
      <c r="AK934" s="24"/>
      <c r="AL934" s="24"/>
      <c r="AM934" s="24"/>
      <c r="AN934" s="24"/>
      <c r="AP934" s="24"/>
      <c r="AQ934" s="24"/>
      <c r="AR934" s="24">
        <v>45875.445368229164</v>
      </c>
      <c r="AS934" s="24">
        <v>45875.445368229164</v>
      </c>
      <c r="AX934" s="24"/>
      <c r="AY934" s="24"/>
      <c r="AZ934" s="24"/>
      <c r="BA934" s="24"/>
      <c r="BC934" s="24"/>
      <c r="BD934" s="24"/>
      <c r="BE934" s="24"/>
      <c r="BF934" s="24"/>
      <c r="BH934" s="24">
        <v>45875.445368229164</v>
      </c>
      <c r="BI934" s="24">
        <v>45875.445368229164</v>
      </c>
      <c r="BJ934" s="24">
        <v>45875.44801940972</v>
      </c>
      <c r="BK934" s="24">
        <v>45875.44801940972</v>
      </c>
      <c r="BL934">
        <v>1</v>
      </c>
      <c r="BM934" s="24"/>
      <c r="BN934" s="24"/>
      <c r="BO934" s="24"/>
      <c r="BP934" s="24"/>
      <c r="BR934" s="24"/>
      <c r="BS934" s="24"/>
      <c r="BT934" s="24"/>
      <c r="BU934" s="24"/>
      <c r="BW934" s="24"/>
      <c r="BX934" s="24"/>
      <c r="BY934" s="24"/>
      <c r="BZ934" s="24"/>
      <c r="CB934" s="24"/>
      <c r="CC934" s="24"/>
      <c r="CE934" s="24">
        <v>45875.448097974535</v>
      </c>
      <c r="CF934" s="24">
        <v>45875.448097974535</v>
      </c>
      <c r="CG934">
        <v>1</v>
      </c>
      <c r="CH934" s="24"/>
      <c r="CI934" s="24"/>
      <c r="CJ934" s="24"/>
      <c r="CK934" s="24"/>
      <c r="DE934" s="24"/>
      <c r="DF934" s="24"/>
      <c r="DG934" s="24"/>
      <c r="DH934" s="24"/>
      <c r="DJ934" t="s">
        <v>149</v>
      </c>
      <c r="DK934" t="s">
        <v>149</v>
      </c>
      <c r="DM934">
        <v>1</v>
      </c>
      <c r="DN934">
        <v>1</v>
      </c>
      <c r="DQ934" t="s">
        <v>1001</v>
      </c>
      <c r="DR934" t="s">
        <v>149</v>
      </c>
      <c r="DS934" s="24">
        <v>46160.384426226854</v>
      </c>
    </row>
    <row r="935" spans="1:123" x14ac:dyDescent="0.3">
      <c r="A935" t="s">
        <v>1418</v>
      </c>
      <c r="D935" t="s">
        <v>223</v>
      </c>
      <c r="E935" s="24">
        <v>45875.383194444446</v>
      </c>
      <c r="G935" t="s">
        <v>90</v>
      </c>
      <c r="H935" t="s">
        <v>155</v>
      </c>
      <c r="I935" s="24">
        <v>45875.384579409721</v>
      </c>
      <c r="J935" s="24">
        <v>45875.384579409721</v>
      </c>
      <c r="K935" s="24">
        <v>45875.384637442126</v>
      </c>
      <c r="L935" s="24">
        <v>45875.384637442126</v>
      </c>
      <c r="M935">
        <v>1</v>
      </c>
      <c r="N935" s="24"/>
      <c r="O935" s="24"/>
      <c r="P935" s="24"/>
      <c r="Q935" s="24"/>
      <c r="V935" s="24"/>
      <c r="W935" s="24"/>
      <c r="X935" s="24"/>
      <c r="Y935" s="24"/>
      <c r="AA935" s="24">
        <v>45877.332786192128</v>
      </c>
      <c r="AB935" s="24">
        <v>45875.384498402775</v>
      </c>
      <c r="AC935" s="24">
        <v>45875.384579409721</v>
      </c>
      <c r="AD935" s="24">
        <v>45890.474047951386</v>
      </c>
      <c r="AE935">
        <v>2</v>
      </c>
      <c r="AF935" s="24">
        <v>45890.474047951386</v>
      </c>
      <c r="AG935" s="24">
        <v>45890.474047951386</v>
      </c>
      <c r="AH935" s="24">
        <v>45890.474089074072</v>
      </c>
      <c r="AI935" s="24">
        <v>45890.474089074072</v>
      </c>
      <c r="AJ935">
        <v>1</v>
      </c>
      <c r="AK935" s="24"/>
      <c r="AL935" s="24"/>
      <c r="AM935" s="24"/>
      <c r="AN935" s="24"/>
      <c r="AP935" s="24"/>
      <c r="AQ935" s="24"/>
      <c r="AR935" s="24">
        <v>45875.38369328704</v>
      </c>
      <c r="AS935" s="24">
        <v>45875.38369328704</v>
      </c>
      <c r="AX935" s="24"/>
      <c r="AY935" s="24"/>
      <c r="AZ935" s="24"/>
      <c r="BA935" s="24"/>
      <c r="BC935" s="24"/>
      <c r="BD935" s="24"/>
      <c r="BE935" s="24"/>
      <c r="BF935" s="24"/>
      <c r="BH935" s="24">
        <v>45875.384637442126</v>
      </c>
      <c r="BI935" s="24">
        <v>45875.38369328704</v>
      </c>
      <c r="BJ935" s="24">
        <v>45875.384498402775</v>
      </c>
      <c r="BK935" s="24">
        <v>45877.332786192128</v>
      </c>
      <c r="BL935">
        <v>2</v>
      </c>
      <c r="BM935" s="24"/>
      <c r="BN935" s="24"/>
      <c r="BO935" s="24"/>
      <c r="BP935" s="24"/>
      <c r="BR935" s="24">
        <v>45890.474089074072</v>
      </c>
      <c r="BS935" s="24">
        <v>45890.474089074072</v>
      </c>
      <c r="BT935" s="24">
        <v>45890.474141076389</v>
      </c>
      <c r="BU935" s="24">
        <v>45890.474141076389</v>
      </c>
      <c r="BV935">
        <v>1</v>
      </c>
      <c r="BW935" s="24"/>
      <c r="BX935" s="24"/>
      <c r="BY935" s="24"/>
      <c r="BZ935" s="24"/>
      <c r="CB935" s="24"/>
      <c r="CC935" s="24"/>
      <c r="CE935" s="24">
        <v>45890.474141076389</v>
      </c>
      <c r="CF935" s="24">
        <v>45890.474141076389</v>
      </c>
      <c r="CG935">
        <v>1</v>
      </c>
      <c r="CH935" s="24"/>
      <c r="CI935" s="24"/>
      <c r="CJ935" s="24"/>
      <c r="CK935" s="24"/>
      <c r="DE935" s="24"/>
      <c r="DF935" s="24"/>
      <c r="DG935" s="24"/>
      <c r="DH935" s="24"/>
      <c r="DJ935" t="s">
        <v>149</v>
      </c>
      <c r="DK935" t="s">
        <v>149</v>
      </c>
      <c r="DM935">
        <v>16</v>
      </c>
      <c r="DN935">
        <v>16</v>
      </c>
      <c r="DQ935" t="s">
        <v>1001</v>
      </c>
      <c r="DR935" t="s">
        <v>149</v>
      </c>
      <c r="DS935" s="24">
        <v>46160.384426226854</v>
      </c>
    </row>
    <row r="936" spans="1:123" x14ac:dyDescent="0.3">
      <c r="A936" t="s">
        <v>1419</v>
      </c>
      <c r="D936" t="s">
        <v>225</v>
      </c>
      <c r="E936" s="24">
        <v>45875.370381944442</v>
      </c>
      <c r="G936" t="s">
        <v>90</v>
      </c>
      <c r="H936" t="s">
        <v>155</v>
      </c>
      <c r="I936" s="24"/>
      <c r="J936" s="24"/>
      <c r="K936" s="24"/>
      <c r="L936" s="24"/>
      <c r="N936" s="24"/>
      <c r="O936" s="24"/>
      <c r="P936" s="24"/>
      <c r="Q936" s="24"/>
      <c r="V936" s="24"/>
      <c r="W936" s="24"/>
      <c r="X936" s="24"/>
      <c r="Y936" s="24"/>
      <c r="AA936" s="24">
        <v>45875.55202978009</v>
      </c>
      <c r="AB936" s="24">
        <v>45875.55202978009</v>
      </c>
      <c r="AC936" s="24">
        <v>45877.403665763886</v>
      </c>
      <c r="AD936" s="24">
        <v>45877.403665763886</v>
      </c>
      <c r="AE936">
        <v>1</v>
      </c>
      <c r="AF936" s="24">
        <v>45877.403665763886</v>
      </c>
      <c r="AG936" s="24">
        <v>45877.403665763886</v>
      </c>
      <c r="AH936" s="24">
        <v>45890.473153842591</v>
      </c>
      <c r="AI936" s="24">
        <v>45890.473153842591</v>
      </c>
      <c r="AJ936">
        <v>1</v>
      </c>
      <c r="AK936" s="24">
        <v>45890.473153842591</v>
      </c>
      <c r="AL936" s="24">
        <v>45890.473153842591</v>
      </c>
      <c r="AM936" s="24">
        <v>45895.368000902781</v>
      </c>
      <c r="AN936" s="24">
        <v>45895.368000902781</v>
      </c>
      <c r="AO936">
        <v>1</v>
      </c>
      <c r="AP936" s="24"/>
      <c r="AQ936" s="24"/>
      <c r="AR936" s="24">
        <v>45875.384319178243</v>
      </c>
      <c r="AS936" s="24">
        <v>45875.384319178243</v>
      </c>
      <c r="AX936" s="24"/>
      <c r="AY936" s="24"/>
      <c r="AZ936" s="24"/>
      <c r="BA936" s="24"/>
      <c r="BC936" s="24">
        <v>45895.368824953701</v>
      </c>
      <c r="BD936" s="24">
        <v>45895.368824953701</v>
      </c>
      <c r="BE936" s="24">
        <v>45916.465098171298</v>
      </c>
      <c r="BF936" s="24">
        <v>45916.465098171298</v>
      </c>
      <c r="BG936">
        <v>1</v>
      </c>
      <c r="BH936" s="24">
        <v>45875.384319178243</v>
      </c>
      <c r="BI936" s="24">
        <v>45875.384319178243</v>
      </c>
      <c r="BJ936" s="24">
        <v>45875.55202978009</v>
      </c>
      <c r="BK936" s="24">
        <v>45875.55202978009</v>
      </c>
      <c r="BL936">
        <v>1</v>
      </c>
      <c r="BM936" s="24"/>
      <c r="BN936" s="24"/>
      <c r="BO936" s="24"/>
      <c r="BP936" s="24"/>
      <c r="BR936" s="24">
        <v>45895.368000902781</v>
      </c>
      <c r="BS936" s="24">
        <v>45895.368000902781</v>
      </c>
      <c r="BT936" s="24">
        <v>45895.368824953701</v>
      </c>
      <c r="BU936" s="24">
        <v>45895.368824953701</v>
      </c>
      <c r="BV936">
        <v>1</v>
      </c>
      <c r="BW936" s="24"/>
      <c r="BX936" s="24"/>
      <c r="BY936" s="24"/>
      <c r="BZ936" s="24"/>
      <c r="CB936" s="24"/>
      <c r="CC936" s="24"/>
      <c r="CE936" s="24">
        <v>45916.465098171298</v>
      </c>
      <c r="CF936" s="24">
        <v>45916.465098171298</v>
      </c>
      <c r="CG936">
        <v>1</v>
      </c>
      <c r="CH936" s="24"/>
      <c r="CI936" s="24"/>
      <c r="CJ936" s="24"/>
      <c r="CK936" s="24"/>
      <c r="DE936" s="24"/>
      <c r="DF936" s="24"/>
      <c r="DG936" s="24"/>
      <c r="DH936" s="24"/>
      <c r="DJ936" t="s">
        <v>149</v>
      </c>
      <c r="DK936" t="s">
        <v>149</v>
      </c>
      <c r="DM936">
        <v>42</v>
      </c>
      <c r="DN936">
        <v>41</v>
      </c>
      <c r="DQ936" t="s">
        <v>1001</v>
      </c>
      <c r="DR936" t="s">
        <v>149</v>
      </c>
      <c r="DS936" s="24">
        <v>46160.384426226854</v>
      </c>
    </row>
    <row r="937" spans="1:123" x14ac:dyDescent="0.3">
      <c r="A937" t="s">
        <v>1420</v>
      </c>
      <c r="D937" t="s">
        <v>225</v>
      </c>
      <c r="E937" s="24">
        <v>45875.322766203702</v>
      </c>
      <c r="G937" t="s">
        <v>90</v>
      </c>
      <c r="H937" t="s">
        <v>155</v>
      </c>
      <c r="I937" s="24"/>
      <c r="J937" s="24"/>
      <c r="K937" s="24"/>
      <c r="L937" s="24"/>
      <c r="N937" s="24"/>
      <c r="O937" s="24"/>
      <c r="P937" s="24"/>
      <c r="Q937" s="24"/>
      <c r="V937" s="24"/>
      <c r="W937" s="24"/>
      <c r="X937" s="24"/>
      <c r="Y937" s="24"/>
      <c r="AA937" s="24">
        <v>45891.441581226849</v>
      </c>
      <c r="AB937" s="24">
        <v>45891.441581226849</v>
      </c>
      <c r="AC937" s="24">
        <v>45894.593736574076</v>
      </c>
      <c r="AD937" s="24">
        <v>45894.593736574076</v>
      </c>
      <c r="AE937">
        <v>1</v>
      </c>
      <c r="AF937" s="24">
        <v>45894.593736574076</v>
      </c>
      <c r="AG937" s="24">
        <v>45894.593736574076</v>
      </c>
      <c r="AH937" s="24">
        <v>45895.365734490741</v>
      </c>
      <c r="AI937" s="24">
        <v>45895.365734490741</v>
      </c>
      <c r="AJ937">
        <v>1</v>
      </c>
      <c r="AK937" s="24">
        <v>45895.365734490741</v>
      </c>
      <c r="AL937" s="24">
        <v>45895.365734490741</v>
      </c>
      <c r="AM937" s="24">
        <v>45902.51531505787</v>
      </c>
      <c r="AN937" s="24">
        <v>45902.51531505787</v>
      </c>
      <c r="AO937">
        <v>1</v>
      </c>
      <c r="AP937" s="24"/>
      <c r="AQ937" s="24"/>
      <c r="AR937" s="24">
        <v>45875.34021678241</v>
      </c>
      <c r="AS937" s="24">
        <v>45875.34021678241</v>
      </c>
      <c r="AX937" s="24"/>
      <c r="AY937" s="24"/>
      <c r="AZ937" s="24"/>
      <c r="BA937" s="24"/>
      <c r="BC937" s="24">
        <v>45902.515616435187</v>
      </c>
      <c r="BD937" s="24">
        <v>45902.515616435187</v>
      </c>
      <c r="BE937" s="24">
        <v>45947.703343946756</v>
      </c>
      <c r="BF937" s="24">
        <v>45947.703343946756</v>
      </c>
      <c r="BG937">
        <v>1</v>
      </c>
      <c r="BH937" s="24">
        <v>45875.34021678241</v>
      </c>
      <c r="BI937" s="24">
        <v>45875.34021678241</v>
      </c>
      <c r="BJ937" s="24">
        <v>45891.441581226849</v>
      </c>
      <c r="BK937" s="24">
        <v>45891.441581226849</v>
      </c>
      <c r="BL937">
        <v>1</v>
      </c>
      <c r="BM937" s="24"/>
      <c r="BN937" s="24"/>
      <c r="BO937" s="24"/>
      <c r="BP937" s="24"/>
      <c r="BR937" s="24">
        <v>45902.51531505787</v>
      </c>
      <c r="BS937" s="24">
        <v>45902.51531505787</v>
      </c>
      <c r="BT937" s="24">
        <v>45902.515616435187</v>
      </c>
      <c r="BU937" s="24">
        <v>45902.515616435187</v>
      </c>
      <c r="BV937">
        <v>1</v>
      </c>
      <c r="BW937" s="24"/>
      <c r="BX937" s="24"/>
      <c r="BY937" s="24"/>
      <c r="BZ937" s="24"/>
      <c r="CB937" s="24"/>
      <c r="CC937" s="24"/>
      <c r="CE937" s="24">
        <v>45947.703343946756</v>
      </c>
      <c r="CF937" s="24">
        <v>45947.703343946756</v>
      </c>
      <c r="CG937">
        <v>1</v>
      </c>
      <c r="CH937" s="24"/>
      <c r="CI937" s="24"/>
      <c r="CJ937" s="24"/>
      <c r="CK937" s="24"/>
      <c r="DE937" s="24"/>
      <c r="DF937" s="24"/>
      <c r="DG937" s="24"/>
      <c r="DH937" s="24"/>
      <c r="DJ937" t="s">
        <v>149</v>
      </c>
      <c r="DK937" t="s">
        <v>149</v>
      </c>
      <c r="DM937">
        <v>73</v>
      </c>
      <c r="DN937">
        <v>57</v>
      </c>
      <c r="DQ937" t="s">
        <v>1001</v>
      </c>
      <c r="DR937" t="s">
        <v>149</v>
      </c>
      <c r="DS937" s="24">
        <v>46160.384426226854</v>
      </c>
    </row>
    <row r="938" spans="1:123" x14ac:dyDescent="0.3">
      <c r="A938" t="s">
        <v>1421</v>
      </c>
      <c r="D938" t="s">
        <v>225</v>
      </c>
      <c r="E938" s="24">
        <v>45875.321886574071</v>
      </c>
      <c r="G938" t="s">
        <v>90</v>
      </c>
      <c r="H938" t="s">
        <v>155</v>
      </c>
      <c r="I938" s="24"/>
      <c r="J938" s="24"/>
      <c r="K938" s="24"/>
      <c r="L938" s="24"/>
      <c r="N938" s="24"/>
      <c r="O938" s="24"/>
      <c r="P938" s="24"/>
      <c r="Q938" s="24"/>
      <c r="V938" s="24"/>
      <c r="W938" s="24"/>
      <c r="X938" s="24"/>
      <c r="Y938" s="24"/>
      <c r="AA938" s="24">
        <v>45884.440978819446</v>
      </c>
      <c r="AB938" s="24">
        <v>45884.440978819446</v>
      </c>
      <c r="AC938" s="24">
        <v>45887.425089594908</v>
      </c>
      <c r="AD938" s="24">
        <v>45887.425089594908</v>
      </c>
      <c r="AE938">
        <v>1</v>
      </c>
      <c r="AF938" s="24"/>
      <c r="AG938" s="24"/>
      <c r="AH938" s="24"/>
      <c r="AI938" s="24"/>
      <c r="AK938" s="24">
        <v>45887.425089594908</v>
      </c>
      <c r="AL938" s="24">
        <v>45887.425089594908</v>
      </c>
      <c r="AM938" s="24">
        <v>45890.473006944441</v>
      </c>
      <c r="AN938" s="24">
        <v>45890.473006944441</v>
      </c>
      <c r="AO938">
        <v>1</v>
      </c>
      <c r="AP938" s="24"/>
      <c r="AQ938" s="24"/>
      <c r="AR938" s="24">
        <v>45875.329849560185</v>
      </c>
      <c r="AS938" s="24">
        <v>45875.329849560185</v>
      </c>
      <c r="AX938" s="24"/>
      <c r="AY938" s="24"/>
      <c r="AZ938" s="24"/>
      <c r="BA938" s="24"/>
      <c r="BC938" s="24">
        <v>45890.473108715276</v>
      </c>
      <c r="BD938" s="24">
        <v>45890.473108715276</v>
      </c>
      <c r="BE938" s="24">
        <v>45947.703343981484</v>
      </c>
      <c r="BF938" s="24">
        <v>45947.703343981484</v>
      </c>
      <c r="BG938">
        <v>1</v>
      </c>
      <c r="BH938" s="24">
        <v>45875.329849560185</v>
      </c>
      <c r="BI938" s="24">
        <v>45875.329849560185</v>
      </c>
      <c r="BJ938" s="24">
        <v>45884.440978819446</v>
      </c>
      <c r="BK938" s="24">
        <v>45884.440978819446</v>
      </c>
      <c r="BL938">
        <v>1</v>
      </c>
      <c r="BM938" s="24"/>
      <c r="BN938" s="24"/>
      <c r="BO938" s="24"/>
      <c r="BP938" s="24"/>
      <c r="BR938" s="24">
        <v>45890.473006944441</v>
      </c>
      <c r="BS938" s="24">
        <v>45890.473006944441</v>
      </c>
      <c r="BT938" s="24">
        <v>45890.473108715276</v>
      </c>
      <c r="BU938" s="24">
        <v>45890.473108715276</v>
      </c>
      <c r="BV938">
        <v>1</v>
      </c>
      <c r="BW938" s="24"/>
      <c r="BX938" s="24"/>
      <c r="BY938" s="24"/>
      <c r="BZ938" s="24"/>
      <c r="CB938" s="24"/>
      <c r="CC938" s="24"/>
      <c r="CE938" s="24">
        <v>45947.703343981484</v>
      </c>
      <c r="CF938" s="24">
        <v>45947.703343981484</v>
      </c>
      <c r="CG938">
        <v>1</v>
      </c>
      <c r="CH938" s="24"/>
      <c r="CI938" s="24"/>
      <c r="CJ938" s="24"/>
      <c r="CK938" s="24"/>
      <c r="DE938" s="24"/>
      <c r="DF938" s="24"/>
      <c r="DG938" s="24"/>
      <c r="DH938" s="24"/>
      <c r="DJ938" t="s">
        <v>149</v>
      </c>
      <c r="DK938" t="s">
        <v>149</v>
      </c>
      <c r="DM938">
        <v>73</v>
      </c>
      <c r="DN938">
        <v>64</v>
      </c>
      <c r="DQ938" t="s">
        <v>1001</v>
      </c>
      <c r="DR938" t="s">
        <v>149</v>
      </c>
      <c r="DS938" s="24">
        <v>46160.384426226854</v>
      </c>
    </row>
    <row r="939" spans="1:123" x14ac:dyDescent="0.3">
      <c r="A939" t="s">
        <v>1422</v>
      </c>
      <c r="D939" t="s">
        <v>225</v>
      </c>
      <c r="E939" s="24">
        <v>45875.321446759262</v>
      </c>
      <c r="G939" t="s">
        <v>150</v>
      </c>
      <c r="H939" t="s">
        <v>155</v>
      </c>
      <c r="I939" s="24">
        <v>45884.444130659722</v>
      </c>
      <c r="J939" s="24">
        <v>45884.444130659722</v>
      </c>
      <c r="K939" s="24">
        <v>45971.496827384261</v>
      </c>
      <c r="L939" s="24">
        <v>45971.496827384261</v>
      </c>
      <c r="M939">
        <v>1</v>
      </c>
      <c r="N939" s="24"/>
      <c r="O939" s="24"/>
      <c r="P939" s="24"/>
      <c r="Q939" s="24"/>
      <c r="V939" s="24"/>
      <c r="W939" s="24"/>
      <c r="X939" s="24"/>
      <c r="Y939" s="24"/>
      <c r="AA939" s="24">
        <v>45884.440317754626</v>
      </c>
      <c r="AB939" s="24">
        <v>45884.440317754626</v>
      </c>
      <c r="AC939" s="24">
        <v>45884.444130659722</v>
      </c>
      <c r="AD939" s="24">
        <v>45884.444130659722</v>
      </c>
      <c r="AE939">
        <v>1</v>
      </c>
      <c r="AF939" s="24"/>
      <c r="AG939" s="24"/>
      <c r="AH939" s="24"/>
      <c r="AI939" s="24"/>
      <c r="AK939" s="24"/>
      <c r="AL939" s="24"/>
      <c r="AM939" s="24"/>
      <c r="AN939" s="24"/>
      <c r="AP939" s="24"/>
      <c r="AQ939" s="24"/>
      <c r="AR939" s="24">
        <v>45875.345100925922</v>
      </c>
      <c r="AS939" s="24">
        <v>45875.345100925922</v>
      </c>
      <c r="AX939" s="24"/>
      <c r="AY939" s="24"/>
      <c r="AZ939" s="24"/>
      <c r="BA939" s="24"/>
      <c r="BC939" s="24"/>
      <c r="BD939" s="24"/>
      <c r="BE939" s="24"/>
      <c r="BF939" s="24"/>
      <c r="BH939" s="24">
        <v>45875.345100925922</v>
      </c>
      <c r="BI939" s="24">
        <v>45875.345100925922</v>
      </c>
      <c r="BJ939" s="24">
        <v>45884.440317754626</v>
      </c>
      <c r="BK939" s="24">
        <v>45884.440317754626</v>
      </c>
      <c r="BL939">
        <v>1</v>
      </c>
      <c r="BM939" s="24"/>
      <c r="BN939" s="24"/>
      <c r="BO939" s="24"/>
      <c r="BP939" s="24"/>
      <c r="BR939" s="24"/>
      <c r="BS939" s="24"/>
      <c r="BT939" s="24"/>
      <c r="BU939" s="24"/>
      <c r="BW939" s="24"/>
      <c r="BX939" s="24"/>
      <c r="BY939" s="24"/>
      <c r="BZ939" s="24"/>
      <c r="CB939" s="24">
        <v>45971.496827384261</v>
      </c>
      <c r="CC939" s="24">
        <v>45971.496827384261</v>
      </c>
      <c r="CD939">
        <v>1</v>
      </c>
      <c r="CE939" s="24"/>
      <c r="CF939" s="24"/>
      <c r="CH939" s="24"/>
      <c r="CI939" s="24"/>
      <c r="CJ939" s="24"/>
      <c r="CK939" s="24"/>
      <c r="DE939" s="24"/>
      <c r="DF939" s="24"/>
      <c r="DG939" s="24"/>
      <c r="DH939" s="24"/>
      <c r="DJ939" t="s">
        <v>149</v>
      </c>
      <c r="DK939" t="s">
        <v>149</v>
      </c>
      <c r="DQ939" t="s">
        <v>1001</v>
      </c>
      <c r="DR939" t="s">
        <v>149</v>
      </c>
      <c r="DS939" s="24">
        <v>46160.384426226854</v>
      </c>
    </row>
    <row r="940" spans="1:123" x14ac:dyDescent="0.3">
      <c r="A940" t="s">
        <v>1423</v>
      </c>
      <c r="D940" t="s">
        <v>225</v>
      </c>
      <c r="E940" s="24">
        <v>45873.838483796295</v>
      </c>
      <c r="G940" t="s">
        <v>102</v>
      </c>
      <c r="H940" t="s">
        <v>154</v>
      </c>
      <c r="I940" s="24"/>
      <c r="J940" s="24"/>
      <c r="K940" s="24"/>
      <c r="L940" s="24"/>
      <c r="N940" s="24"/>
      <c r="O940" s="24"/>
      <c r="P940" s="24"/>
      <c r="Q940" s="24"/>
      <c r="V940" s="24"/>
      <c r="W940" s="24"/>
      <c r="X940" s="24"/>
      <c r="Y940" s="24"/>
      <c r="AA940" s="24"/>
      <c r="AB940" s="24"/>
      <c r="AC940" s="24"/>
      <c r="AD940" s="24"/>
      <c r="AF940" s="24"/>
      <c r="AG940" s="24"/>
      <c r="AH940" s="24"/>
      <c r="AI940" s="24"/>
      <c r="AK940" s="24"/>
      <c r="AL940" s="24"/>
      <c r="AM940" s="24"/>
      <c r="AN940" s="24"/>
      <c r="AP940" s="24"/>
      <c r="AQ940" s="24"/>
      <c r="AR940" s="24"/>
      <c r="AS940" s="24"/>
      <c r="AX940" s="24"/>
      <c r="AY940" s="24"/>
      <c r="AZ940" s="24"/>
      <c r="BA940" s="24"/>
      <c r="BC940" s="24"/>
      <c r="BD940" s="24"/>
      <c r="BE940" s="24"/>
      <c r="BF940" s="24"/>
      <c r="BH940" s="24"/>
      <c r="BI940" s="24"/>
      <c r="BJ940" s="24"/>
      <c r="BK940" s="24"/>
      <c r="BM940" s="24"/>
      <c r="BN940" s="24"/>
      <c r="BO940" s="24"/>
      <c r="BP940" s="24"/>
      <c r="BR940" s="24"/>
      <c r="BS940" s="24"/>
      <c r="BT940" s="24"/>
      <c r="BU940" s="24"/>
      <c r="BW940" s="24"/>
      <c r="BX940" s="24"/>
      <c r="BY940" s="24"/>
      <c r="BZ940" s="24"/>
      <c r="CB940" s="24"/>
      <c r="CC940" s="24"/>
      <c r="CE940" s="24"/>
      <c r="CF940" s="24"/>
      <c r="CH940" s="24"/>
      <c r="CI940" s="24"/>
      <c r="CJ940" s="24"/>
      <c r="CK940" s="24"/>
      <c r="DE940" s="24"/>
      <c r="DF940" s="24"/>
      <c r="DG940" s="24"/>
      <c r="DH940" s="24"/>
      <c r="DJ940" t="s">
        <v>149</v>
      </c>
      <c r="DK940" t="s">
        <v>149</v>
      </c>
      <c r="DQ940" t="s">
        <v>1001</v>
      </c>
      <c r="DR940" t="s">
        <v>149</v>
      </c>
      <c r="DS940" s="24">
        <v>46160.384426226854</v>
      </c>
    </row>
    <row r="941" spans="1:123" x14ac:dyDescent="0.3">
      <c r="A941" t="s">
        <v>1424</v>
      </c>
      <c r="D941" t="s">
        <v>225</v>
      </c>
      <c r="E941" s="24">
        <v>45873.510798611111</v>
      </c>
      <c r="G941" t="s">
        <v>90</v>
      </c>
      <c r="H941" t="s">
        <v>155</v>
      </c>
      <c r="I941" s="24"/>
      <c r="J941" s="24"/>
      <c r="K941" s="24"/>
      <c r="L941" s="24"/>
      <c r="N941" s="24"/>
      <c r="O941" s="24"/>
      <c r="P941" s="24"/>
      <c r="Q941" s="24"/>
      <c r="V941" s="24"/>
      <c r="W941" s="24"/>
      <c r="X941" s="24"/>
      <c r="Y941" s="24"/>
      <c r="AA941" s="24">
        <v>45894.593865601855</v>
      </c>
      <c r="AB941" s="24">
        <v>45894.593865601855</v>
      </c>
      <c r="AC941" s="24">
        <v>45900.566637280092</v>
      </c>
      <c r="AD941" s="24">
        <v>45900.566637280092</v>
      </c>
      <c r="AE941">
        <v>1</v>
      </c>
      <c r="AF941" s="24">
        <v>45900.566637280092</v>
      </c>
      <c r="AG941" s="24">
        <v>45900.566637280092</v>
      </c>
      <c r="AH941" s="24">
        <v>45901.477388449071</v>
      </c>
      <c r="AI941" s="24">
        <v>45901.477388449071</v>
      </c>
      <c r="AJ941">
        <v>1</v>
      </c>
      <c r="AK941" s="24">
        <v>45901.477388449071</v>
      </c>
      <c r="AL941" s="24">
        <v>45901.477388449071</v>
      </c>
      <c r="AM941" s="24">
        <v>45903.341554641207</v>
      </c>
      <c r="AN941" s="24">
        <v>45903.341554641207</v>
      </c>
      <c r="AO941">
        <v>1</v>
      </c>
      <c r="AP941" s="24"/>
      <c r="AQ941" s="24"/>
      <c r="AR941" s="24">
        <v>45875.352077986114</v>
      </c>
      <c r="AS941" s="24">
        <v>45875.352077986114</v>
      </c>
      <c r="AX941" s="24"/>
      <c r="AY941" s="24"/>
      <c r="AZ941" s="24"/>
      <c r="BA941" s="24"/>
      <c r="BC941" s="24">
        <v>45903.341664687498</v>
      </c>
      <c r="BD941" s="24">
        <v>45903.341664687498</v>
      </c>
      <c r="BE941" s="24">
        <v>45947.703344189817</v>
      </c>
      <c r="BF941" s="24">
        <v>45947.703344189817</v>
      </c>
      <c r="BG941">
        <v>1</v>
      </c>
      <c r="BH941" s="24">
        <v>45875.352077986114</v>
      </c>
      <c r="BI941" s="24">
        <v>45875.352077986114</v>
      </c>
      <c r="BJ941" s="24">
        <v>45894.593865601855</v>
      </c>
      <c r="BK941" s="24">
        <v>45894.593865601855</v>
      </c>
      <c r="BL941">
        <v>1</v>
      </c>
      <c r="BM941" s="24"/>
      <c r="BN941" s="24"/>
      <c r="BO941" s="24"/>
      <c r="BP941" s="24"/>
      <c r="BR941" s="24">
        <v>45903.341554641207</v>
      </c>
      <c r="BS941" s="24">
        <v>45903.341554641207</v>
      </c>
      <c r="BT941" s="24">
        <v>45903.341664687498</v>
      </c>
      <c r="BU941" s="24">
        <v>45903.341664687498</v>
      </c>
      <c r="BV941">
        <v>1</v>
      </c>
      <c r="BW941" s="24"/>
      <c r="BX941" s="24"/>
      <c r="BY941" s="24"/>
      <c r="BZ941" s="24"/>
      <c r="CB941" s="24"/>
      <c r="CC941" s="24"/>
      <c r="CE941" s="24">
        <v>45947.703344189817</v>
      </c>
      <c r="CF941" s="24">
        <v>45947.703344189817</v>
      </c>
      <c r="CG941">
        <v>1</v>
      </c>
      <c r="CH941" s="24"/>
      <c r="CI941" s="24"/>
      <c r="CJ941" s="24"/>
      <c r="CK941" s="24"/>
      <c r="DE941" s="24"/>
      <c r="DF941" s="24"/>
      <c r="DG941" s="24"/>
      <c r="DH941" s="24"/>
      <c r="DJ941" t="s">
        <v>149</v>
      </c>
      <c r="DK941" t="s">
        <v>149</v>
      </c>
      <c r="DM941">
        <v>73</v>
      </c>
      <c r="DN941">
        <v>54</v>
      </c>
      <c r="DQ941" t="s">
        <v>1001</v>
      </c>
      <c r="DR941" t="s">
        <v>149</v>
      </c>
      <c r="DS941" s="24">
        <v>46160.384426226854</v>
      </c>
    </row>
    <row r="942" spans="1:123" x14ac:dyDescent="0.3">
      <c r="A942" t="s">
        <v>1425</v>
      </c>
      <c r="D942" t="s">
        <v>225</v>
      </c>
      <c r="E942" s="24">
        <v>45869.360069444447</v>
      </c>
      <c r="G942" t="s">
        <v>90</v>
      </c>
      <c r="H942" t="s">
        <v>155</v>
      </c>
      <c r="I942" s="24"/>
      <c r="J942" s="24"/>
      <c r="K942" s="24"/>
      <c r="L942" s="24"/>
      <c r="N942" s="24"/>
      <c r="O942" s="24"/>
      <c r="P942" s="24"/>
      <c r="Q942" s="24"/>
      <c r="V942" s="24"/>
      <c r="W942" s="24"/>
      <c r="X942" s="24"/>
      <c r="Y942" s="24"/>
      <c r="AA942" s="24">
        <v>46030.418408368052</v>
      </c>
      <c r="AB942" s="24">
        <v>46030.418408368052</v>
      </c>
      <c r="AC942" s="24">
        <v>46031.447553773149</v>
      </c>
      <c r="AD942" s="24">
        <v>46031.447553773149</v>
      </c>
      <c r="AE942">
        <v>1</v>
      </c>
      <c r="AF942" s="24">
        <v>46031.447553773149</v>
      </c>
      <c r="AG942" s="24">
        <v>46031.447553773149</v>
      </c>
      <c r="AH942" s="24">
        <v>46031.604358738427</v>
      </c>
      <c r="AI942" s="24">
        <v>46031.604358738427</v>
      </c>
      <c r="AJ942">
        <v>1</v>
      </c>
      <c r="AK942" s="24">
        <v>46031.604358738427</v>
      </c>
      <c r="AL942" s="24">
        <v>46031.604358738427</v>
      </c>
      <c r="AM942" s="24">
        <v>46031.604389305554</v>
      </c>
      <c r="AN942" s="24">
        <v>46031.604389305554</v>
      </c>
      <c r="AO942">
        <v>1</v>
      </c>
      <c r="AP942" s="24"/>
      <c r="AQ942" s="24"/>
      <c r="AR942" s="24">
        <v>45869.361710659723</v>
      </c>
      <c r="AS942" s="24">
        <v>45869.361710659723</v>
      </c>
      <c r="AX942" s="24"/>
      <c r="AY942" s="24"/>
      <c r="AZ942" s="24"/>
      <c r="BA942" s="24"/>
      <c r="BC942" s="24">
        <v>46035.483817395834</v>
      </c>
      <c r="BD942" s="24">
        <v>46035.483817395834</v>
      </c>
      <c r="BE942" s="24">
        <v>46044.36731321759</v>
      </c>
      <c r="BF942" s="24">
        <v>46044.36731321759</v>
      </c>
      <c r="BG942">
        <v>1</v>
      </c>
      <c r="BH942" s="24">
        <v>45869.361710659723</v>
      </c>
      <c r="BI942" s="24">
        <v>45869.361710659723</v>
      </c>
      <c r="BJ942" s="24">
        <v>46030.418408368052</v>
      </c>
      <c r="BK942" s="24">
        <v>46030.418408368052</v>
      </c>
      <c r="BL942">
        <v>1</v>
      </c>
      <c r="BM942" s="24"/>
      <c r="BN942" s="24"/>
      <c r="BO942" s="24"/>
      <c r="BP942" s="24"/>
      <c r="BR942" s="24">
        <v>46031.604389305554</v>
      </c>
      <c r="BS942" s="24">
        <v>46031.604389305554</v>
      </c>
      <c r="BT942" s="24">
        <v>46035.483817395834</v>
      </c>
      <c r="BU942" s="24">
        <v>46035.483817395834</v>
      </c>
      <c r="BV942">
        <v>1</v>
      </c>
      <c r="BW942" s="24"/>
      <c r="BX942" s="24"/>
      <c r="BY942" s="24"/>
      <c r="BZ942" s="24"/>
      <c r="CB942" s="24"/>
      <c r="CC942" s="24"/>
      <c r="CE942" s="24">
        <v>46044.36731321759</v>
      </c>
      <c r="CF942" s="24">
        <v>46044.36731321759</v>
      </c>
      <c r="CG942">
        <v>1</v>
      </c>
      <c r="CH942" s="24"/>
      <c r="CI942" s="24"/>
      <c r="CJ942" s="24"/>
      <c r="CK942" s="24"/>
      <c r="DE942" s="24"/>
      <c r="DF942" s="24"/>
      <c r="DG942" s="24"/>
      <c r="DH942" s="24"/>
      <c r="DJ942" t="s">
        <v>149</v>
      </c>
      <c r="DK942" t="s">
        <v>149</v>
      </c>
      <c r="DM942">
        <v>176</v>
      </c>
      <c r="DN942">
        <v>14</v>
      </c>
      <c r="DQ942" t="s">
        <v>1001</v>
      </c>
      <c r="DR942" t="s">
        <v>149</v>
      </c>
      <c r="DS942" s="24">
        <v>46160.384426226854</v>
      </c>
    </row>
    <row r="943" spans="1:123" x14ac:dyDescent="0.3">
      <c r="A943" t="s">
        <v>1426</v>
      </c>
      <c r="D943" t="s">
        <v>225</v>
      </c>
      <c r="E943" s="24">
        <v>45863.567187499997</v>
      </c>
      <c r="G943" t="s">
        <v>102</v>
      </c>
      <c r="H943" t="s">
        <v>154</v>
      </c>
      <c r="I943" s="24"/>
      <c r="J943" s="24"/>
      <c r="K943" s="24"/>
      <c r="L943" s="24"/>
      <c r="N943" s="24"/>
      <c r="O943" s="24"/>
      <c r="P943" s="24"/>
      <c r="Q943" s="24"/>
      <c r="V943" s="24"/>
      <c r="W943" s="24"/>
      <c r="X943" s="24"/>
      <c r="Y943" s="24"/>
      <c r="AA943" s="24"/>
      <c r="AB943" s="24"/>
      <c r="AC943" s="24"/>
      <c r="AD943" s="24"/>
      <c r="AF943" s="24"/>
      <c r="AG943" s="24"/>
      <c r="AH943" s="24"/>
      <c r="AI943" s="24"/>
      <c r="AK943" s="24"/>
      <c r="AL943" s="24"/>
      <c r="AM943" s="24"/>
      <c r="AN943" s="24"/>
      <c r="AP943" s="24"/>
      <c r="AQ943" s="24"/>
      <c r="AR943" s="24"/>
      <c r="AS943" s="24"/>
      <c r="AX943" s="24"/>
      <c r="AY943" s="24"/>
      <c r="AZ943" s="24"/>
      <c r="BA943" s="24"/>
      <c r="BC943" s="24"/>
      <c r="BD943" s="24"/>
      <c r="BE943" s="24"/>
      <c r="BF943" s="24"/>
      <c r="BH943" s="24"/>
      <c r="BI943" s="24"/>
      <c r="BJ943" s="24"/>
      <c r="BK943" s="24"/>
      <c r="BM943" s="24"/>
      <c r="BN943" s="24"/>
      <c r="BO943" s="24"/>
      <c r="BP943" s="24"/>
      <c r="BR943" s="24"/>
      <c r="BS943" s="24"/>
      <c r="BT943" s="24"/>
      <c r="BU943" s="24"/>
      <c r="BW943" s="24"/>
      <c r="BX943" s="24"/>
      <c r="BY943" s="24"/>
      <c r="BZ943" s="24"/>
      <c r="CB943" s="24"/>
      <c r="CC943" s="24"/>
      <c r="CE943" s="24"/>
      <c r="CF943" s="24"/>
      <c r="CH943" s="24"/>
      <c r="CI943" s="24"/>
      <c r="CJ943" s="24"/>
      <c r="CK943" s="24"/>
      <c r="DE943" s="24"/>
      <c r="DF943" s="24"/>
      <c r="DG943" s="24"/>
      <c r="DH943" s="24"/>
      <c r="DJ943" t="s">
        <v>149</v>
      </c>
      <c r="DK943" t="s">
        <v>149</v>
      </c>
      <c r="DQ943" t="s">
        <v>1001</v>
      </c>
      <c r="DR943" t="s">
        <v>149</v>
      </c>
      <c r="DS943" s="24">
        <v>46160.384426226854</v>
      </c>
    </row>
    <row r="944" spans="1:123" x14ac:dyDescent="0.3">
      <c r="A944" t="s">
        <v>1427</v>
      </c>
      <c r="D944" t="s">
        <v>225</v>
      </c>
      <c r="E944" s="24">
        <v>45863.565462962964</v>
      </c>
      <c r="G944" t="s">
        <v>102</v>
      </c>
      <c r="H944" t="s">
        <v>154</v>
      </c>
      <c r="I944" s="24"/>
      <c r="J944" s="24"/>
      <c r="K944" s="24"/>
      <c r="L944" s="24"/>
      <c r="N944" s="24"/>
      <c r="O944" s="24"/>
      <c r="P944" s="24"/>
      <c r="Q944" s="24"/>
      <c r="V944" s="24"/>
      <c r="W944" s="24"/>
      <c r="X944" s="24"/>
      <c r="Y944" s="24"/>
      <c r="AA944" s="24"/>
      <c r="AB944" s="24"/>
      <c r="AC944" s="24"/>
      <c r="AD944" s="24"/>
      <c r="AF944" s="24"/>
      <c r="AG944" s="24"/>
      <c r="AH944" s="24"/>
      <c r="AI944" s="24"/>
      <c r="AK944" s="24"/>
      <c r="AL944" s="24"/>
      <c r="AM944" s="24"/>
      <c r="AN944" s="24"/>
      <c r="AP944" s="24"/>
      <c r="AQ944" s="24"/>
      <c r="AR944" s="24"/>
      <c r="AS944" s="24"/>
      <c r="AX944" s="24"/>
      <c r="AY944" s="24"/>
      <c r="AZ944" s="24"/>
      <c r="BA944" s="24"/>
      <c r="BC944" s="24"/>
      <c r="BD944" s="24"/>
      <c r="BE944" s="24"/>
      <c r="BF944" s="24"/>
      <c r="BH944" s="24"/>
      <c r="BI944" s="24"/>
      <c r="BJ944" s="24"/>
      <c r="BK944" s="24"/>
      <c r="BM944" s="24"/>
      <c r="BN944" s="24"/>
      <c r="BO944" s="24"/>
      <c r="BP944" s="24"/>
      <c r="BR944" s="24"/>
      <c r="BS944" s="24"/>
      <c r="BT944" s="24"/>
      <c r="BU944" s="24"/>
      <c r="BW944" s="24"/>
      <c r="BX944" s="24"/>
      <c r="BY944" s="24"/>
      <c r="BZ944" s="24"/>
      <c r="CB944" s="24"/>
      <c r="CC944" s="24"/>
      <c r="CE944" s="24"/>
      <c r="CF944" s="24"/>
      <c r="CH944" s="24"/>
      <c r="CI944" s="24"/>
      <c r="CJ944" s="24"/>
      <c r="CK944" s="24"/>
      <c r="DE944" s="24"/>
      <c r="DF944" s="24"/>
      <c r="DG944" s="24"/>
      <c r="DH944" s="24"/>
      <c r="DJ944" t="s">
        <v>149</v>
      </c>
      <c r="DK944" t="s">
        <v>149</v>
      </c>
      <c r="DQ944" t="s">
        <v>1001</v>
      </c>
      <c r="DR944" t="s">
        <v>149</v>
      </c>
      <c r="DS944" s="24">
        <v>46160.384426226854</v>
      </c>
    </row>
    <row r="945" spans="1:123" x14ac:dyDescent="0.3">
      <c r="A945" t="s">
        <v>1428</v>
      </c>
      <c r="D945" t="s">
        <v>225</v>
      </c>
      <c r="E945" s="24">
        <v>45863.559918981482</v>
      </c>
      <c r="G945" t="s">
        <v>102</v>
      </c>
      <c r="H945" t="s">
        <v>154</v>
      </c>
      <c r="I945" s="24"/>
      <c r="J945" s="24"/>
      <c r="K945" s="24"/>
      <c r="L945" s="24"/>
      <c r="N945" s="24"/>
      <c r="O945" s="24"/>
      <c r="P945" s="24"/>
      <c r="Q945" s="24"/>
      <c r="V945" s="24"/>
      <c r="W945" s="24"/>
      <c r="X945" s="24"/>
      <c r="Y945" s="24"/>
      <c r="AA945" s="24"/>
      <c r="AB945" s="24"/>
      <c r="AC945" s="24"/>
      <c r="AD945" s="24"/>
      <c r="AF945" s="24"/>
      <c r="AG945" s="24"/>
      <c r="AH945" s="24"/>
      <c r="AI945" s="24"/>
      <c r="AK945" s="24"/>
      <c r="AL945" s="24"/>
      <c r="AM945" s="24"/>
      <c r="AN945" s="24"/>
      <c r="AP945" s="24"/>
      <c r="AQ945" s="24"/>
      <c r="AR945" s="24"/>
      <c r="AS945" s="24"/>
      <c r="AX945" s="24"/>
      <c r="AY945" s="24"/>
      <c r="AZ945" s="24"/>
      <c r="BA945" s="24"/>
      <c r="BC945" s="24"/>
      <c r="BD945" s="24"/>
      <c r="BE945" s="24"/>
      <c r="BF945" s="24"/>
      <c r="BH945" s="24"/>
      <c r="BI945" s="24"/>
      <c r="BJ945" s="24"/>
      <c r="BK945" s="24"/>
      <c r="BM945" s="24"/>
      <c r="BN945" s="24"/>
      <c r="BO945" s="24"/>
      <c r="BP945" s="24"/>
      <c r="BR945" s="24"/>
      <c r="BS945" s="24"/>
      <c r="BT945" s="24"/>
      <c r="BU945" s="24"/>
      <c r="BW945" s="24"/>
      <c r="BX945" s="24"/>
      <c r="BY945" s="24"/>
      <c r="BZ945" s="24"/>
      <c r="CB945" s="24"/>
      <c r="CC945" s="24"/>
      <c r="CE945" s="24"/>
      <c r="CF945" s="24"/>
      <c r="CH945" s="24"/>
      <c r="CI945" s="24"/>
      <c r="CJ945" s="24"/>
      <c r="CK945" s="24"/>
      <c r="DE945" s="24"/>
      <c r="DF945" s="24"/>
      <c r="DG945" s="24"/>
      <c r="DH945" s="24"/>
      <c r="DJ945" t="s">
        <v>149</v>
      </c>
      <c r="DK945" t="s">
        <v>149</v>
      </c>
      <c r="DQ945" t="s">
        <v>1001</v>
      </c>
      <c r="DR945" t="s">
        <v>149</v>
      </c>
      <c r="DS945" s="24">
        <v>46160.384426226854</v>
      </c>
    </row>
    <row r="946" spans="1:123" x14ac:dyDescent="0.3">
      <c r="A946" t="s">
        <v>1429</v>
      </c>
      <c r="D946" t="s">
        <v>225</v>
      </c>
      <c r="E946" s="24">
        <v>45861.436805555553</v>
      </c>
      <c r="G946" t="s">
        <v>107</v>
      </c>
      <c r="H946" t="s">
        <v>154</v>
      </c>
      <c r="I946" s="24"/>
      <c r="J946" s="24"/>
      <c r="K946" s="24"/>
      <c r="L946" s="24"/>
      <c r="N946" s="24"/>
      <c r="O946" s="24"/>
      <c r="P946" s="24"/>
      <c r="Q946" s="24"/>
      <c r="V946" s="24"/>
      <c r="W946" s="24"/>
      <c r="X946" s="24"/>
      <c r="Y946" s="24"/>
      <c r="AA946" s="24"/>
      <c r="AB946" s="24"/>
      <c r="AC946" s="24"/>
      <c r="AD946" s="24"/>
      <c r="AF946" s="24"/>
      <c r="AG946" s="24"/>
      <c r="AH946" s="24"/>
      <c r="AI946" s="24"/>
      <c r="AK946" s="24"/>
      <c r="AL946" s="24"/>
      <c r="AM946" s="24"/>
      <c r="AN946" s="24"/>
      <c r="AP946" s="24"/>
      <c r="AQ946" s="24"/>
      <c r="AR946" s="24">
        <v>45861.438497997682</v>
      </c>
      <c r="AS946" s="24">
        <v>45861.438497997682</v>
      </c>
      <c r="AX946" s="24"/>
      <c r="AY946" s="24"/>
      <c r="AZ946" s="24"/>
      <c r="BA946" s="24"/>
      <c r="BC946" s="24"/>
      <c r="BD946" s="24"/>
      <c r="BE946" s="24"/>
      <c r="BF946" s="24"/>
      <c r="BH946" s="24">
        <v>45861.438497997682</v>
      </c>
      <c r="BI946" s="24">
        <v>45861.438497997682</v>
      </c>
      <c r="BJ946" s="24"/>
      <c r="BK946" s="24"/>
      <c r="BL946">
        <v>1</v>
      </c>
      <c r="BM946" s="24"/>
      <c r="BN946" s="24"/>
      <c r="BO946" s="24"/>
      <c r="BP946" s="24"/>
      <c r="BR946" s="24"/>
      <c r="BS946" s="24"/>
      <c r="BT946" s="24"/>
      <c r="BU946" s="24"/>
      <c r="BW946" s="24"/>
      <c r="BX946" s="24"/>
      <c r="BY946" s="24"/>
      <c r="BZ946" s="24"/>
      <c r="CB946" s="24"/>
      <c r="CC946" s="24"/>
      <c r="CE946" s="24"/>
      <c r="CF946" s="24"/>
      <c r="CH946" s="24"/>
      <c r="CI946" s="24"/>
      <c r="CJ946" s="24"/>
      <c r="CK946" s="24"/>
      <c r="DE946" s="24"/>
      <c r="DF946" s="24"/>
      <c r="DG946" s="24"/>
      <c r="DH946" s="24"/>
      <c r="DJ946" t="s">
        <v>149</v>
      </c>
      <c r="DK946" t="s">
        <v>149</v>
      </c>
      <c r="DP946">
        <v>299</v>
      </c>
      <c r="DQ946" t="s">
        <v>1001</v>
      </c>
      <c r="DR946" t="s">
        <v>149</v>
      </c>
      <c r="DS946" s="24">
        <v>46160.384426226854</v>
      </c>
    </row>
    <row r="947" spans="1:123" x14ac:dyDescent="0.3">
      <c r="A947" t="s">
        <v>1430</v>
      </c>
      <c r="D947" t="s">
        <v>225</v>
      </c>
      <c r="E947" s="24">
        <v>45861.423692129632</v>
      </c>
      <c r="G947" t="s">
        <v>90</v>
      </c>
      <c r="H947" t="s">
        <v>155</v>
      </c>
      <c r="I947" s="24"/>
      <c r="J947" s="24"/>
      <c r="K947" s="24"/>
      <c r="L947" s="24"/>
      <c r="N947" s="24"/>
      <c r="O947" s="24"/>
      <c r="P947" s="24"/>
      <c r="Q947" s="24"/>
      <c r="V947" s="24"/>
      <c r="W947" s="24"/>
      <c r="X947" s="24"/>
      <c r="Y947" s="24"/>
      <c r="AA947" s="24">
        <v>45862.443245798611</v>
      </c>
      <c r="AB947" s="24">
        <v>45862.443245798611</v>
      </c>
      <c r="AC947" s="24">
        <v>45868.301111365741</v>
      </c>
      <c r="AD947" s="24">
        <v>45868.301111365741</v>
      </c>
      <c r="AE947">
        <v>1</v>
      </c>
      <c r="AF947" s="24">
        <v>45868.301111365741</v>
      </c>
      <c r="AG947" s="24">
        <v>45868.301111365741</v>
      </c>
      <c r="AH947" s="24">
        <v>45868.377165509257</v>
      </c>
      <c r="AI947" s="24">
        <v>45868.377165509257</v>
      </c>
      <c r="AJ947">
        <v>1</v>
      </c>
      <c r="AK947" s="24">
        <v>45868.377165509257</v>
      </c>
      <c r="AL947" s="24">
        <v>45868.377165509257</v>
      </c>
      <c r="AM947" s="24">
        <v>45868.378237395831</v>
      </c>
      <c r="AN947" s="24">
        <v>45868.378237395831</v>
      </c>
      <c r="AO947">
        <v>1</v>
      </c>
      <c r="AP947" s="24"/>
      <c r="AQ947" s="24"/>
      <c r="AR947" s="24">
        <v>45861.461102071757</v>
      </c>
      <c r="AS947" s="24">
        <v>45861.461102071757</v>
      </c>
      <c r="AX947" s="24"/>
      <c r="AY947" s="24"/>
      <c r="AZ947" s="24"/>
      <c r="BA947" s="24"/>
      <c r="BC947" s="24">
        <v>45868.442818298608</v>
      </c>
      <c r="BD947" s="24">
        <v>45868.442818298608</v>
      </c>
      <c r="BE947" s="24">
        <v>45947.703351516204</v>
      </c>
      <c r="BF947" s="24">
        <v>45947.703351516204</v>
      </c>
      <c r="BG947">
        <v>1</v>
      </c>
      <c r="BH947" s="24">
        <v>45861.461102071757</v>
      </c>
      <c r="BI947" s="24">
        <v>45861.461102071757</v>
      </c>
      <c r="BJ947" s="24">
        <v>45862.443245798611</v>
      </c>
      <c r="BK947" s="24">
        <v>45862.443245798611</v>
      </c>
      <c r="BL947">
        <v>1</v>
      </c>
      <c r="BM947" s="24"/>
      <c r="BN947" s="24"/>
      <c r="BO947" s="24"/>
      <c r="BP947" s="24"/>
      <c r="BR947" s="24">
        <v>45868.378237395831</v>
      </c>
      <c r="BS947" s="24">
        <v>45868.378237395831</v>
      </c>
      <c r="BT947" s="24">
        <v>45868.442818298608</v>
      </c>
      <c r="BU947" s="24">
        <v>45868.442818298608</v>
      </c>
      <c r="BV947">
        <v>1</v>
      </c>
      <c r="BW947" s="24"/>
      <c r="BX947" s="24"/>
      <c r="BY947" s="24"/>
      <c r="BZ947" s="24"/>
      <c r="CB947" s="24"/>
      <c r="CC947" s="24"/>
      <c r="CE947" s="24">
        <v>45947.703351516204</v>
      </c>
      <c r="CF947" s="24">
        <v>45947.703351516204</v>
      </c>
      <c r="CG947">
        <v>1</v>
      </c>
      <c r="CH947" s="24"/>
      <c r="CI947" s="24"/>
      <c r="CJ947" s="24"/>
      <c r="CK947" s="24"/>
      <c r="DE947" s="24"/>
      <c r="DF947" s="24"/>
      <c r="DG947" s="24"/>
      <c r="DH947" s="24"/>
      <c r="DJ947" t="s">
        <v>149</v>
      </c>
      <c r="DK947" t="s">
        <v>149</v>
      </c>
      <c r="DM947">
        <v>87</v>
      </c>
      <c r="DN947">
        <v>86</v>
      </c>
      <c r="DQ947" t="s">
        <v>1001</v>
      </c>
      <c r="DR947" t="s">
        <v>149</v>
      </c>
      <c r="DS947" s="24">
        <v>46160.384426226854</v>
      </c>
    </row>
    <row r="948" spans="1:123" x14ac:dyDescent="0.3">
      <c r="A948" t="s">
        <v>1431</v>
      </c>
      <c r="D948" t="s">
        <v>223</v>
      </c>
      <c r="E948" s="24">
        <v>45861.410081018519</v>
      </c>
      <c r="G948" t="s">
        <v>90</v>
      </c>
      <c r="H948" t="s">
        <v>155</v>
      </c>
      <c r="I948" s="24"/>
      <c r="J948" s="24"/>
      <c r="K948" s="24"/>
      <c r="L948" s="24"/>
      <c r="N948" s="24"/>
      <c r="O948" s="24"/>
      <c r="P948" s="24"/>
      <c r="Q948" s="24"/>
      <c r="V948" s="24"/>
      <c r="W948" s="24"/>
      <c r="X948" s="24"/>
      <c r="Y948" s="24"/>
      <c r="AA948" s="24">
        <v>45866.440489537039</v>
      </c>
      <c r="AB948" s="24">
        <v>45866.440489537039</v>
      </c>
      <c r="AC948" s="24">
        <v>45866.698727581017</v>
      </c>
      <c r="AD948" s="24">
        <v>45866.698727581017</v>
      </c>
      <c r="AE948">
        <v>1</v>
      </c>
      <c r="AF948" s="24">
        <v>45866.698727581017</v>
      </c>
      <c r="AG948" s="24">
        <v>45866.698727581017</v>
      </c>
      <c r="AH948" s="24">
        <v>45875.387045219904</v>
      </c>
      <c r="AI948" s="24">
        <v>45875.387045219904</v>
      </c>
      <c r="AJ948">
        <v>1</v>
      </c>
      <c r="AK948" s="24"/>
      <c r="AL948" s="24"/>
      <c r="AM948" s="24"/>
      <c r="AN948" s="24"/>
      <c r="AP948" s="24"/>
      <c r="AQ948" s="24"/>
      <c r="AR948" s="24">
        <v>45861.410626851852</v>
      </c>
      <c r="AS948" s="24">
        <v>45861.410626851852</v>
      </c>
      <c r="AX948" s="24"/>
      <c r="AY948" s="24"/>
      <c r="AZ948" s="24"/>
      <c r="BA948" s="24"/>
      <c r="BC948" s="24"/>
      <c r="BD948" s="24"/>
      <c r="BE948" s="24"/>
      <c r="BF948" s="24"/>
      <c r="BH948" s="24">
        <v>45861.410626851852</v>
      </c>
      <c r="BI948" s="24">
        <v>45861.410626851852</v>
      </c>
      <c r="BJ948" s="24">
        <v>45866.440489537039</v>
      </c>
      <c r="BK948" s="24">
        <v>45866.440489537039</v>
      </c>
      <c r="BL948">
        <v>1</v>
      </c>
      <c r="BM948" s="24"/>
      <c r="BN948" s="24"/>
      <c r="BO948" s="24"/>
      <c r="BP948" s="24"/>
      <c r="BR948" s="24"/>
      <c r="BS948" s="24"/>
      <c r="BT948" s="24"/>
      <c r="BU948" s="24"/>
      <c r="BW948" s="24"/>
      <c r="BX948" s="24"/>
      <c r="BY948" s="24"/>
      <c r="BZ948" s="24"/>
      <c r="CB948" s="24"/>
      <c r="CC948" s="24"/>
      <c r="CE948" s="24">
        <v>45875.387045219904</v>
      </c>
      <c r="CF948" s="24">
        <v>45875.387045219904</v>
      </c>
      <c r="CG948">
        <v>1</v>
      </c>
      <c r="CH948" s="24"/>
      <c r="CI948" s="24"/>
      <c r="CJ948" s="24"/>
      <c r="CK948" s="24"/>
      <c r="DE948" s="24"/>
      <c r="DF948" s="24"/>
      <c r="DG948" s="24"/>
      <c r="DH948" s="24"/>
      <c r="DJ948" t="s">
        <v>149</v>
      </c>
      <c r="DK948" t="s">
        <v>149</v>
      </c>
      <c r="DM948">
        <v>14</v>
      </c>
      <c r="DN948">
        <v>9</v>
      </c>
      <c r="DQ948" t="s">
        <v>1001</v>
      </c>
      <c r="DR948" t="s">
        <v>149</v>
      </c>
      <c r="DS948" s="24">
        <v>46160.384426226854</v>
      </c>
    </row>
    <row r="949" spans="1:123" x14ac:dyDescent="0.3">
      <c r="A949" t="s">
        <v>1432</v>
      </c>
      <c r="D949" t="s">
        <v>225</v>
      </c>
      <c r="E949" s="24">
        <v>45861.409328703703</v>
      </c>
      <c r="G949" t="s">
        <v>90</v>
      </c>
      <c r="H949" t="s">
        <v>155</v>
      </c>
      <c r="I949" s="24"/>
      <c r="J949" s="24"/>
      <c r="K949" s="24"/>
      <c r="L949" s="24"/>
      <c r="N949" s="24"/>
      <c r="O949" s="24"/>
      <c r="P949" s="24"/>
      <c r="Q949" s="24"/>
      <c r="V949" s="24"/>
      <c r="W949" s="24"/>
      <c r="X949" s="24"/>
      <c r="Y949" s="24"/>
      <c r="AA949" s="24">
        <v>45867.294566504628</v>
      </c>
      <c r="AB949" s="24">
        <v>45867.294566504628</v>
      </c>
      <c r="AC949" s="24">
        <v>45868.605446122689</v>
      </c>
      <c r="AD949" s="24">
        <v>45868.605446122689</v>
      </c>
      <c r="AE949">
        <v>1</v>
      </c>
      <c r="AF949" s="24">
        <v>45868.605446122689</v>
      </c>
      <c r="AG949" s="24">
        <v>45868.605446122689</v>
      </c>
      <c r="AH949" s="24">
        <v>45868.605480115744</v>
      </c>
      <c r="AI949" s="24">
        <v>45868.605480115744</v>
      </c>
      <c r="AJ949">
        <v>1</v>
      </c>
      <c r="AK949" s="24">
        <v>45868.605480115744</v>
      </c>
      <c r="AL949" s="24">
        <v>45868.605480115744</v>
      </c>
      <c r="AM949" s="24">
        <v>45868.605524178238</v>
      </c>
      <c r="AN949" s="24">
        <v>45868.605524178238</v>
      </c>
      <c r="AO949">
        <v>1</v>
      </c>
      <c r="AP949" s="24"/>
      <c r="AQ949" s="24"/>
      <c r="AR949" s="24">
        <v>45861.409609548609</v>
      </c>
      <c r="AS949" s="24">
        <v>45861.409609548609</v>
      </c>
      <c r="AX949" s="24"/>
      <c r="AY949" s="24"/>
      <c r="AZ949" s="24"/>
      <c r="BA949" s="24"/>
      <c r="BC949" s="24">
        <v>45868.605630138889</v>
      </c>
      <c r="BD949" s="24">
        <v>45868.605630138889</v>
      </c>
      <c r="BE949" s="24">
        <v>45898.299460057868</v>
      </c>
      <c r="BF949" s="24">
        <v>45898.299460057868</v>
      </c>
      <c r="BG949">
        <v>1</v>
      </c>
      <c r="BH949" s="24">
        <v>45861.409609548609</v>
      </c>
      <c r="BI949" s="24">
        <v>45861.409609548609</v>
      </c>
      <c r="BJ949" s="24">
        <v>45867.294566504628</v>
      </c>
      <c r="BK949" s="24">
        <v>45867.294566504628</v>
      </c>
      <c r="BL949">
        <v>1</v>
      </c>
      <c r="BM949" s="24"/>
      <c r="BN949" s="24"/>
      <c r="BO949" s="24"/>
      <c r="BP949" s="24"/>
      <c r="BR949" s="24">
        <v>45868.605524178238</v>
      </c>
      <c r="BS949" s="24">
        <v>45868.605524178238</v>
      </c>
      <c r="BT949" s="24">
        <v>45868.605630138889</v>
      </c>
      <c r="BU949" s="24">
        <v>45868.605630138889</v>
      </c>
      <c r="BV949">
        <v>1</v>
      </c>
      <c r="BW949" s="24"/>
      <c r="BX949" s="24"/>
      <c r="BY949" s="24"/>
      <c r="BZ949" s="24"/>
      <c r="CB949" s="24"/>
      <c r="CC949" s="24"/>
      <c r="CE949" s="24">
        <v>45898.299460057868</v>
      </c>
      <c r="CF949" s="24">
        <v>45898.299460057868</v>
      </c>
      <c r="CG949">
        <v>1</v>
      </c>
      <c r="CH949" s="24"/>
      <c r="CI949" s="24"/>
      <c r="CJ949" s="24"/>
      <c r="CK949" s="24"/>
      <c r="DE949" s="24"/>
      <c r="DF949" s="24"/>
      <c r="DG949" s="24"/>
      <c r="DH949" s="24"/>
      <c r="DJ949" t="s">
        <v>149</v>
      </c>
      <c r="DK949" t="s">
        <v>149</v>
      </c>
      <c r="DM949">
        <v>37</v>
      </c>
      <c r="DN949">
        <v>32</v>
      </c>
      <c r="DQ949" t="s">
        <v>1001</v>
      </c>
      <c r="DR949" t="s">
        <v>149</v>
      </c>
      <c r="DS949" s="24">
        <v>46160.384426226854</v>
      </c>
    </row>
    <row r="950" spans="1:123" x14ac:dyDescent="0.3">
      <c r="A950" t="s">
        <v>1433</v>
      </c>
      <c r="D950" t="s">
        <v>225</v>
      </c>
      <c r="E950" s="24">
        <v>45861.302268518521</v>
      </c>
      <c r="G950" t="s">
        <v>90</v>
      </c>
      <c r="H950" t="s">
        <v>155</v>
      </c>
      <c r="I950" s="24"/>
      <c r="J950" s="24"/>
      <c r="K950" s="24"/>
      <c r="L950" s="24"/>
      <c r="N950" s="24"/>
      <c r="O950" s="24"/>
      <c r="P950" s="24"/>
      <c r="Q950" s="24"/>
      <c r="V950" s="24"/>
      <c r="W950" s="24"/>
      <c r="X950" s="24"/>
      <c r="Y950" s="24"/>
      <c r="AA950" s="24">
        <v>45863.449108090281</v>
      </c>
      <c r="AB950" s="24">
        <v>45863.449108090281</v>
      </c>
      <c r="AC950" s="24">
        <v>45874.444937314816</v>
      </c>
      <c r="AD950" s="24">
        <v>45874.444937314816</v>
      </c>
      <c r="AE950">
        <v>1</v>
      </c>
      <c r="AF950" s="24">
        <v>45874.444937314816</v>
      </c>
      <c r="AG950" s="24">
        <v>45874.444937314816</v>
      </c>
      <c r="AH950" s="24">
        <v>45875.386201574074</v>
      </c>
      <c r="AI950" s="24">
        <v>45875.386201574074</v>
      </c>
      <c r="AJ950">
        <v>1</v>
      </c>
      <c r="AK950" s="24">
        <v>45875.386201574074</v>
      </c>
      <c r="AL950" s="24">
        <v>45875.386201574074</v>
      </c>
      <c r="AM950" s="24">
        <v>45875.403155381944</v>
      </c>
      <c r="AN950" s="24">
        <v>45875.403155381944</v>
      </c>
      <c r="AO950">
        <v>1</v>
      </c>
      <c r="AP950" s="24"/>
      <c r="AQ950" s="24"/>
      <c r="AR950" s="24">
        <v>45861.305009016207</v>
      </c>
      <c r="AS950" s="24">
        <v>45861.305009016207</v>
      </c>
      <c r="AX950" s="24"/>
      <c r="AY950" s="24"/>
      <c r="AZ950" s="24"/>
      <c r="BA950" s="24"/>
      <c r="BC950" s="24">
        <v>45875.403247696762</v>
      </c>
      <c r="BD950" s="24">
        <v>45875.403247696762</v>
      </c>
      <c r="BE950" s="24">
        <v>45947.703351365744</v>
      </c>
      <c r="BF950" s="24">
        <v>45947.703351365744</v>
      </c>
      <c r="BG950">
        <v>1</v>
      </c>
      <c r="BH950" s="24">
        <v>45861.305009016207</v>
      </c>
      <c r="BI950" s="24">
        <v>45861.305009016207</v>
      </c>
      <c r="BJ950" s="24">
        <v>45863.449108090281</v>
      </c>
      <c r="BK950" s="24">
        <v>45863.449108090281</v>
      </c>
      <c r="BL950">
        <v>1</v>
      </c>
      <c r="BM950" s="24"/>
      <c r="BN950" s="24"/>
      <c r="BO950" s="24"/>
      <c r="BP950" s="24"/>
      <c r="BR950" s="24">
        <v>45875.403155381944</v>
      </c>
      <c r="BS950" s="24">
        <v>45875.403155381944</v>
      </c>
      <c r="BT950" s="24">
        <v>45875.403247696762</v>
      </c>
      <c r="BU950" s="24">
        <v>45875.403247696762</v>
      </c>
      <c r="BV950">
        <v>1</v>
      </c>
      <c r="BW950" s="24"/>
      <c r="BX950" s="24"/>
      <c r="BY950" s="24"/>
      <c r="BZ950" s="24"/>
      <c r="CB950" s="24"/>
      <c r="CC950" s="24"/>
      <c r="CE950" s="24">
        <v>45947.703351365744</v>
      </c>
      <c r="CF950" s="24">
        <v>45947.703351365744</v>
      </c>
      <c r="CG950">
        <v>1</v>
      </c>
      <c r="CH950" s="24"/>
      <c r="CI950" s="24"/>
      <c r="CJ950" s="24"/>
      <c r="CK950" s="24"/>
      <c r="DE950" s="24"/>
      <c r="DF950" s="24"/>
      <c r="DG950" s="24"/>
      <c r="DH950" s="24"/>
      <c r="DJ950" t="s">
        <v>149</v>
      </c>
      <c r="DK950" t="s">
        <v>149</v>
      </c>
      <c r="DM950">
        <v>87</v>
      </c>
      <c r="DN950">
        <v>85</v>
      </c>
      <c r="DQ950" t="s">
        <v>1001</v>
      </c>
      <c r="DR950" t="s">
        <v>149</v>
      </c>
      <c r="DS950" s="24">
        <v>46160.384426226854</v>
      </c>
    </row>
    <row r="951" spans="1:123" x14ac:dyDescent="0.3">
      <c r="A951" t="s">
        <v>1434</v>
      </c>
      <c r="D951" t="s">
        <v>225</v>
      </c>
      <c r="E951" s="24">
        <v>45859.483587962961</v>
      </c>
      <c r="G951" t="s">
        <v>90</v>
      </c>
      <c r="H951" t="s">
        <v>155</v>
      </c>
      <c r="I951" s="24"/>
      <c r="J951" s="24"/>
      <c r="K951" s="24"/>
      <c r="L951" s="24"/>
      <c r="N951" s="24"/>
      <c r="O951" s="24"/>
      <c r="P951" s="24"/>
      <c r="Q951" s="24"/>
      <c r="V951" s="24"/>
      <c r="W951" s="24"/>
      <c r="X951" s="24"/>
      <c r="Y951" s="24"/>
      <c r="AA951" s="24">
        <v>45887.439190370373</v>
      </c>
      <c r="AB951" s="24">
        <v>45887.439190370373</v>
      </c>
      <c r="AC951" s="24">
        <v>45889.433918206021</v>
      </c>
      <c r="AD951" s="24">
        <v>45889.433918206021</v>
      </c>
      <c r="AE951">
        <v>1</v>
      </c>
      <c r="AF951" s="24">
        <v>45889.433918206021</v>
      </c>
      <c r="AG951" s="24">
        <v>45889.433918206021</v>
      </c>
      <c r="AH951" s="24">
        <v>45890.587052210649</v>
      </c>
      <c r="AI951" s="24">
        <v>45890.587052210649</v>
      </c>
      <c r="AJ951">
        <v>1</v>
      </c>
      <c r="AK951" s="24">
        <v>45890.587052210649</v>
      </c>
      <c r="AL951" s="24">
        <v>45890.587052210649</v>
      </c>
      <c r="AM951" s="24">
        <v>45891.343153564812</v>
      </c>
      <c r="AN951" s="24">
        <v>45891.343153564812</v>
      </c>
      <c r="AO951">
        <v>1</v>
      </c>
      <c r="AP951" s="24"/>
      <c r="AQ951" s="24"/>
      <c r="AR951" s="24">
        <v>45859.488835439814</v>
      </c>
      <c r="AS951" s="24">
        <v>45859.488835439814</v>
      </c>
      <c r="AX951" s="24"/>
      <c r="AY951" s="24"/>
      <c r="AZ951" s="24"/>
      <c r="BA951" s="24"/>
      <c r="BC951" s="24">
        <v>45891.343267881944</v>
      </c>
      <c r="BD951" s="24">
        <v>45891.343267881944</v>
      </c>
      <c r="BE951" s="24">
        <v>45947.70335142361</v>
      </c>
      <c r="BF951" s="24">
        <v>45947.70335142361</v>
      </c>
      <c r="BG951">
        <v>1</v>
      </c>
      <c r="BH951" s="24">
        <v>45859.488835439814</v>
      </c>
      <c r="BI951" s="24">
        <v>45859.488835439814</v>
      </c>
      <c r="BJ951" s="24">
        <v>45887.439190370373</v>
      </c>
      <c r="BK951" s="24">
        <v>45887.439190370373</v>
      </c>
      <c r="BL951">
        <v>1</v>
      </c>
      <c r="BM951" s="24"/>
      <c r="BN951" s="24"/>
      <c r="BO951" s="24"/>
      <c r="BP951" s="24"/>
      <c r="BR951" s="24">
        <v>45891.343153564812</v>
      </c>
      <c r="BS951" s="24">
        <v>45891.343153564812</v>
      </c>
      <c r="BT951" s="24">
        <v>45891.343267881944</v>
      </c>
      <c r="BU951" s="24">
        <v>45891.343267881944</v>
      </c>
      <c r="BV951">
        <v>1</v>
      </c>
      <c r="BW951" s="24"/>
      <c r="BX951" s="24"/>
      <c r="BY951" s="24"/>
      <c r="BZ951" s="24"/>
      <c r="CB951" s="24"/>
      <c r="CC951" s="24"/>
      <c r="CE951" s="24">
        <v>45947.70335142361</v>
      </c>
      <c r="CF951" s="24">
        <v>45947.70335142361</v>
      </c>
      <c r="CG951">
        <v>1</v>
      </c>
      <c r="CH951" s="24"/>
      <c r="CI951" s="24"/>
      <c r="CJ951" s="24"/>
      <c r="CK951" s="24"/>
      <c r="DE951" s="24"/>
      <c r="DF951" s="24"/>
      <c r="DG951" s="24"/>
      <c r="DH951" s="24"/>
      <c r="DJ951" t="s">
        <v>149</v>
      </c>
      <c r="DK951" t="s">
        <v>149</v>
      </c>
      <c r="DM951">
        <v>89</v>
      </c>
      <c r="DN951">
        <v>61</v>
      </c>
      <c r="DQ951" t="s">
        <v>1001</v>
      </c>
      <c r="DR951" t="s">
        <v>149</v>
      </c>
      <c r="DS951" s="24">
        <v>46160.384426226854</v>
      </c>
    </row>
    <row r="952" spans="1:123" x14ac:dyDescent="0.3">
      <c r="A952" t="s">
        <v>1435</v>
      </c>
      <c r="D952" t="s">
        <v>225</v>
      </c>
      <c r="E952" s="24">
        <v>45859.480358796296</v>
      </c>
      <c r="G952" t="s">
        <v>90</v>
      </c>
      <c r="H952" t="s">
        <v>155</v>
      </c>
      <c r="I952" s="24"/>
      <c r="J952" s="24"/>
      <c r="K952" s="24"/>
      <c r="L952" s="24"/>
      <c r="N952" s="24"/>
      <c r="O952" s="24"/>
      <c r="P952" s="24"/>
      <c r="Q952" s="24"/>
      <c r="V952" s="24"/>
      <c r="W952" s="24"/>
      <c r="X952" s="24"/>
      <c r="Y952" s="24"/>
      <c r="AA952" s="24">
        <v>45979.446402384259</v>
      </c>
      <c r="AB952" s="24">
        <v>45932.443254745369</v>
      </c>
      <c r="AC952" s="24">
        <v>45932.443292824071</v>
      </c>
      <c r="AD952" s="24">
        <v>45981.400428368055</v>
      </c>
      <c r="AE952">
        <v>3</v>
      </c>
      <c r="AF952" s="24">
        <v>45981.400428368055</v>
      </c>
      <c r="AG952" s="24">
        <v>45932.443292824071</v>
      </c>
      <c r="AH952" s="24">
        <v>45936.442058773151</v>
      </c>
      <c r="AI952" s="24">
        <v>45981.556694444444</v>
      </c>
      <c r="AJ952">
        <v>3</v>
      </c>
      <c r="AK952" s="24">
        <v>45981.556694444444</v>
      </c>
      <c r="AL952" s="24">
        <v>45981.556694444444</v>
      </c>
      <c r="AM952" s="24">
        <v>45985.428305011577</v>
      </c>
      <c r="AN952" s="24">
        <v>45985.428305011577</v>
      </c>
      <c r="AO952">
        <v>1</v>
      </c>
      <c r="AP952" s="24"/>
      <c r="AQ952" s="24"/>
      <c r="AR952" s="24">
        <v>45917.458051469905</v>
      </c>
      <c r="AS952" s="24">
        <v>45917.458051469905</v>
      </c>
      <c r="AX952" s="24"/>
      <c r="AY952" s="24"/>
      <c r="AZ952" s="24"/>
      <c r="BA952" s="24"/>
      <c r="BC952" s="24">
        <v>45985.428392719907</v>
      </c>
      <c r="BD952" s="24">
        <v>45985.428392719907</v>
      </c>
      <c r="BE952" s="24">
        <v>46002.634930196757</v>
      </c>
      <c r="BF952" s="24">
        <v>46002.634930196757</v>
      </c>
      <c r="BG952">
        <v>1</v>
      </c>
      <c r="BH952" s="24">
        <v>45917.458051469905</v>
      </c>
      <c r="BI952" s="24">
        <v>45917.458051469905</v>
      </c>
      <c r="BJ952" s="24">
        <v>45932.443254745369</v>
      </c>
      <c r="BK952" s="24">
        <v>45932.443254745369</v>
      </c>
      <c r="BL952">
        <v>1</v>
      </c>
      <c r="BM952" s="24"/>
      <c r="BN952" s="24"/>
      <c r="BO952" s="24"/>
      <c r="BP952" s="24"/>
      <c r="BR952" s="24">
        <v>45985.428305011577</v>
      </c>
      <c r="BS952" s="24">
        <v>45985.428305011577</v>
      </c>
      <c r="BT952" s="24">
        <v>45985.428392719907</v>
      </c>
      <c r="BU952" s="24">
        <v>45985.428392719907</v>
      </c>
      <c r="BV952">
        <v>1</v>
      </c>
      <c r="BW952" s="24"/>
      <c r="BX952" s="24"/>
      <c r="BY952" s="24"/>
      <c r="BZ952" s="24"/>
      <c r="CB952" s="24"/>
      <c r="CC952" s="24"/>
      <c r="CE952" s="24">
        <v>46002.634930196757</v>
      </c>
      <c r="CF952" s="24">
        <v>46002.634930196757</v>
      </c>
      <c r="CG952">
        <v>1</v>
      </c>
      <c r="CH952" s="24"/>
      <c r="CI952" s="24"/>
      <c r="CJ952" s="24"/>
      <c r="CK952" s="24"/>
      <c r="DE952" s="24"/>
      <c r="DF952" s="24"/>
      <c r="DG952" s="24"/>
      <c r="DH952" s="24"/>
      <c r="DJ952" t="s">
        <v>149</v>
      </c>
      <c r="DK952" t="s">
        <v>149</v>
      </c>
      <c r="DM952">
        <v>86</v>
      </c>
      <c r="DN952">
        <v>71</v>
      </c>
      <c r="DQ952" t="s">
        <v>1001</v>
      </c>
      <c r="DR952" t="s">
        <v>149</v>
      </c>
      <c r="DS952" s="24">
        <v>46160.384426226854</v>
      </c>
    </row>
    <row r="953" spans="1:123" x14ac:dyDescent="0.3">
      <c r="A953" t="s">
        <v>1436</v>
      </c>
      <c r="D953" t="s">
        <v>225</v>
      </c>
      <c r="E953" s="24">
        <v>45859.467835648145</v>
      </c>
      <c r="G953" t="s">
        <v>90</v>
      </c>
      <c r="H953" t="s">
        <v>155</v>
      </c>
      <c r="I953" s="24">
        <v>45979.444010520834</v>
      </c>
      <c r="J953" s="24">
        <v>45979.444010520834</v>
      </c>
      <c r="K953" s="24">
        <v>45979.444098993059</v>
      </c>
      <c r="L953" s="24">
        <v>45979.444098993059</v>
      </c>
      <c r="M953">
        <v>1</v>
      </c>
      <c r="N953" s="24">
        <v>45979.443903819447</v>
      </c>
      <c r="O953" s="24">
        <v>45979.443903819447</v>
      </c>
      <c r="P953" s="24">
        <v>45979.444010520834</v>
      </c>
      <c r="Q953" s="24">
        <v>45979.444010520834</v>
      </c>
      <c r="R953">
        <v>1</v>
      </c>
      <c r="V953" s="24"/>
      <c r="W953" s="24"/>
      <c r="X953" s="24"/>
      <c r="Y953" s="24"/>
      <c r="AA953" s="24">
        <v>45982.366838437498</v>
      </c>
      <c r="AB953" s="24">
        <v>45954.438815601854</v>
      </c>
      <c r="AC953" s="24">
        <v>45979.443903819447</v>
      </c>
      <c r="AD953" s="24">
        <v>45992.440081122688</v>
      </c>
      <c r="AE953">
        <v>2</v>
      </c>
      <c r="AF953" s="24">
        <v>45992.440081122688</v>
      </c>
      <c r="AG953" s="24">
        <v>45992.440081122688</v>
      </c>
      <c r="AH953" s="24">
        <v>46008.69172826389</v>
      </c>
      <c r="AI953" s="24">
        <v>46008.69172826389</v>
      </c>
      <c r="AJ953">
        <v>1</v>
      </c>
      <c r="AK953" s="24">
        <v>46008.69172826389</v>
      </c>
      <c r="AL953" s="24">
        <v>46008.69172826389</v>
      </c>
      <c r="AM953" s="24">
        <v>46029.438516284725</v>
      </c>
      <c r="AN953" s="24">
        <v>46029.438516284725</v>
      </c>
      <c r="AO953">
        <v>1</v>
      </c>
      <c r="AP953" s="24"/>
      <c r="AQ953" s="24"/>
      <c r="AR953" s="24">
        <v>45859.491819236115</v>
      </c>
      <c r="AS953" s="24">
        <v>45859.491819236115</v>
      </c>
      <c r="AX953" s="24"/>
      <c r="AY953" s="24"/>
      <c r="AZ953" s="24"/>
      <c r="BA953" s="24"/>
      <c r="BC953" s="24">
        <v>46029.438646261573</v>
      </c>
      <c r="BD953" s="24">
        <v>46029.438646261573</v>
      </c>
      <c r="BE953" s="24">
        <v>46057.983993668982</v>
      </c>
      <c r="BF953" s="24">
        <v>46057.983993668982</v>
      </c>
      <c r="BG953">
        <v>1</v>
      </c>
      <c r="BH953" s="24">
        <v>45979.444098993059</v>
      </c>
      <c r="BI953" s="24">
        <v>45859.491819236115</v>
      </c>
      <c r="BJ953" s="24">
        <v>45954.438815601854</v>
      </c>
      <c r="BK953" s="24">
        <v>45982.366838437498</v>
      </c>
      <c r="BL953">
        <v>2</v>
      </c>
      <c r="BM953" s="24"/>
      <c r="BN953" s="24"/>
      <c r="BO953" s="24"/>
      <c r="BP953" s="24"/>
      <c r="BR953" s="24">
        <v>46029.438516284725</v>
      </c>
      <c r="BS953" s="24">
        <v>46029.438516284725</v>
      </c>
      <c r="BT953" s="24">
        <v>46029.438646261573</v>
      </c>
      <c r="BU953" s="24">
        <v>46029.438646261573</v>
      </c>
      <c r="BV953">
        <v>1</v>
      </c>
      <c r="BW953" s="24"/>
      <c r="BX953" s="24"/>
      <c r="BY953" s="24"/>
      <c r="BZ953" s="24"/>
      <c r="CB953" s="24"/>
      <c r="CC953" s="24"/>
      <c r="CE953" s="24">
        <v>46057.983993668982</v>
      </c>
      <c r="CF953" s="24">
        <v>46057.983993668982</v>
      </c>
      <c r="CG953">
        <v>1</v>
      </c>
      <c r="CH953" s="24"/>
      <c r="CI953" s="24"/>
      <c r="CJ953" s="24"/>
      <c r="CK953" s="24"/>
      <c r="DE953" s="24"/>
      <c r="DF953" s="24"/>
      <c r="DG953" s="24"/>
      <c r="DH953" s="24"/>
      <c r="DJ953" t="s">
        <v>149</v>
      </c>
      <c r="DK953" t="s">
        <v>149</v>
      </c>
      <c r="DL953">
        <v>1.0659722222222223E-4</v>
      </c>
      <c r="DM953">
        <v>199</v>
      </c>
      <c r="DN953">
        <v>104</v>
      </c>
      <c r="DQ953" t="s">
        <v>1001</v>
      </c>
      <c r="DR953" t="s">
        <v>149</v>
      </c>
      <c r="DS953" s="24">
        <v>46160.384426226854</v>
      </c>
    </row>
    <row r="954" spans="1:123" x14ac:dyDescent="0.3">
      <c r="A954" t="s">
        <v>1437</v>
      </c>
      <c r="D954" t="s">
        <v>225</v>
      </c>
      <c r="E954" s="24">
        <v>45859.465439814812</v>
      </c>
      <c r="G954" t="s">
        <v>90</v>
      </c>
      <c r="H954" t="s">
        <v>155</v>
      </c>
      <c r="I954" s="24"/>
      <c r="J954" s="24"/>
      <c r="K954" s="24"/>
      <c r="L954" s="24"/>
      <c r="N954" s="24"/>
      <c r="O954" s="24"/>
      <c r="P954" s="24"/>
      <c r="Q954" s="24"/>
      <c r="V954" s="24"/>
      <c r="W954" s="24"/>
      <c r="X954" s="24"/>
      <c r="Y954" s="24"/>
      <c r="AA954" s="24">
        <v>45866.309156365744</v>
      </c>
      <c r="AB954" s="24">
        <v>45866.309156365744</v>
      </c>
      <c r="AC954" s="24">
        <v>45866.350749027777</v>
      </c>
      <c r="AD954" s="24">
        <v>45866.350749027777</v>
      </c>
      <c r="AE954">
        <v>1</v>
      </c>
      <c r="AF954" s="24">
        <v>45866.350749027777</v>
      </c>
      <c r="AG954" s="24">
        <v>45866.350749027777</v>
      </c>
      <c r="AH954" s="24">
        <v>45867.533367511576</v>
      </c>
      <c r="AI954" s="24">
        <v>45867.533367511576</v>
      </c>
      <c r="AJ954">
        <v>1</v>
      </c>
      <c r="AK954" s="24">
        <v>45867.533367511576</v>
      </c>
      <c r="AL954" s="24">
        <v>45867.533367511576</v>
      </c>
      <c r="AM954" s="24">
        <v>45867.533409814816</v>
      </c>
      <c r="AN954" s="24">
        <v>45867.533409814816</v>
      </c>
      <c r="AO954">
        <v>1</v>
      </c>
      <c r="AP954" s="24"/>
      <c r="AQ954" s="24"/>
      <c r="AR954" s="24">
        <v>45861.46136872685</v>
      </c>
      <c r="AS954" s="24">
        <v>45861.46136872685</v>
      </c>
      <c r="AX954" s="24"/>
      <c r="AY954" s="24"/>
      <c r="AZ954" s="24"/>
      <c r="BA954" s="24"/>
      <c r="BC954" s="24">
        <v>45873.374647974539</v>
      </c>
      <c r="BD954" s="24">
        <v>45873.374647974539</v>
      </c>
      <c r="BE954" s="24">
        <v>45873.376061249997</v>
      </c>
      <c r="BF954" s="24">
        <v>45873.376061249997</v>
      </c>
      <c r="BG954">
        <v>1</v>
      </c>
      <c r="BH954" s="24">
        <v>45861.46136872685</v>
      </c>
      <c r="BI954" s="24">
        <v>45861.46136872685</v>
      </c>
      <c r="BJ954" s="24">
        <v>45866.309156365744</v>
      </c>
      <c r="BK954" s="24">
        <v>45866.309156365744</v>
      </c>
      <c r="BL954">
        <v>1</v>
      </c>
      <c r="BM954" s="24"/>
      <c r="BN954" s="24"/>
      <c r="BO954" s="24"/>
      <c r="BP954" s="24"/>
      <c r="BR954" s="24">
        <v>45867.533409814816</v>
      </c>
      <c r="BS954" s="24">
        <v>45867.533409814816</v>
      </c>
      <c r="BT954" s="24">
        <v>45873.374647974539</v>
      </c>
      <c r="BU954" s="24">
        <v>45873.374647974539</v>
      </c>
      <c r="BV954">
        <v>1</v>
      </c>
      <c r="BW954" s="24"/>
      <c r="BX954" s="24"/>
      <c r="BY954" s="24"/>
      <c r="BZ954" s="24"/>
      <c r="CB954" s="24"/>
      <c r="CC954" s="24"/>
      <c r="CE954" s="24">
        <v>45873.376061249997</v>
      </c>
      <c r="CF954" s="24">
        <v>45873.376061249997</v>
      </c>
      <c r="CG954">
        <v>1</v>
      </c>
      <c r="CH954" s="24"/>
      <c r="CI954" s="24"/>
      <c r="CJ954" s="24"/>
      <c r="CK954" s="24"/>
      <c r="DE954" s="24"/>
      <c r="DF954" s="24"/>
      <c r="DG954" s="24"/>
      <c r="DH954" s="24"/>
      <c r="DJ954" t="s">
        <v>149</v>
      </c>
      <c r="DK954" t="s">
        <v>149</v>
      </c>
      <c r="DM954">
        <v>12</v>
      </c>
      <c r="DN954">
        <v>8</v>
      </c>
      <c r="DQ954" t="s">
        <v>1001</v>
      </c>
      <c r="DR954" t="s">
        <v>149</v>
      </c>
      <c r="DS954" s="24">
        <v>46160.384426226854</v>
      </c>
    </row>
    <row r="955" spans="1:123" x14ac:dyDescent="0.3">
      <c r="A955" t="s">
        <v>1438</v>
      </c>
      <c r="D955" t="s">
        <v>225</v>
      </c>
      <c r="E955" s="24">
        <v>45859.461585648147</v>
      </c>
      <c r="G955" t="s">
        <v>90</v>
      </c>
      <c r="H955" t="s">
        <v>155</v>
      </c>
      <c r="I955" s="24">
        <v>45861.647081481482</v>
      </c>
      <c r="J955" s="24">
        <v>45861.647081481482</v>
      </c>
      <c r="K955" s="24">
        <v>45861.647155879633</v>
      </c>
      <c r="L955" s="24">
        <v>45861.647155879633</v>
      </c>
      <c r="M955">
        <v>1</v>
      </c>
      <c r="N955" s="24">
        <v>45861.646372372685</v>
      </c>
      <c r="O955" s="24">
        <v>45861.646372372685</v>
      </c>
      <c r="P955" s="24">
        <v>45861.647081481482</v>
      </c>
      <c r="Q955" s="24">
        <v>45861.647081481482</v>
      </c>
      <c r="R955">
        <v>1</v>
      </c>
      <c r="V955" s="24"/>
      <c r="W955" s="24"/>
      <c r="X955" s="24"/>
      <c r="Y955" s="24"/>
      <c r="AA955" s="24">
        <v>45862.407199398149</v>
      </c>
      <c r="AB955" s="24">
        <v>45861.551636145836</v>
      </c>
      <c r="AC955" s="24">
        <v>45861.646372372685</v>
      </c>
      <c r="AD955" s="24">
        <v>45862.606816724539</v>
      </c>
      <c r="AE955">
        <v>2</v>
      </c>
      <c r="AF955" s="24">
        <v>45862.606816724539</v>
      </c>
      <c r="AG955" s="24">
        <v>45862.606816724539</v>
      </c>
      <c r="AH955" s="24">
        <v>45862.620191643517</v>
      </c>
      <c r="AI955" s="24">
        <v>45862.620191643517</v>
      </c>
      <c r="AJ955">
        <v>1</v>
      </c>
      <c r="AK955" s="24">
        <v>45862.643315138892</v>
      </c>
      <c r="AL955" s="24">
        <v>45862.620191643517</v>
      </c>
      <c r="AM955" s="24">
        <v>45862.620265231482</v>
      </c>
      <c r="AN955" s="24">
        <v>45863.367946597224</v>
      </c>
      <c r="AO955">
        <v>3</v>
      </c>
      <c r="AP955" s="24"/>
      <c r="AQ955" s="24"/>
      <c r="AR955" s="24">
        <v>45859.463490034723</v>
      </c>
      <c r="AS955" s="24">
        <v>45859.463490034723</v>
      </c>
      <c r="AX955" s="24"/>
      <c r="AY955" s="24"/>
      <c r="AZ955" s="24"/>
      <c r="BA955" s="24"/>
      <c r="BC955" s="24">
        <v>45863.368061226851</v>
      </c>
      <c r="BD955" s="24">
        <v>45863.368061226851</v>
      </c>
      <c r="BE955" s="24">
        <v>45947.703351377313</v>
      </c>
      <c r="BF955" s="24">
        <v>45947.703351377313</v>
      </c>
      <c r="BG955">
        <v>1</v>
      </c>
      <c r="BH955" s="24">
        <v>45861.647155879633</v>
      </c>
      <c r="BI955" s="24">
        <v>45859.463490034723</v>
      </c>
      <c r="BJ955" s="24">
        <v>45861.551636145836</v>
      </c>
      <c r="BK955" s="24">
        <v>45862.407199398149</v>
      </c>
      <c r="BL955">
        <v>2</v>
      </c>
      <c r="BM955" s="24"/>
      <c r="BN955" s="24"/>
      <c r="BO955" s="24"/>
      <c r="BP955" s="24"/>
      <c r="BR955" s="24">
        <v>45863.367946597224</v>
      </c>
      <c r="BS955" s="24">
        <v>45862.620265231482</v>
      </c>
      <c r="BT955" s="24">
        <v>45862.624754942131</v>
      </c>
      <c r="BU955" s="24">
        <v>45863.368061226851</v>
      </c>
      <c r="BV955">
        <v>3</v>
      </c>
      <c r="BW955" s="24"/>
      <c r="BX955" s="24"/>
      <c r="BY955" s="24"/>
      <c r="BZ955" s="24"/>
      <c r="CB955" s="24"/>
      <c r="CC955" s="24"/>
      <c r="CE955" s="24">
        <v>45947.703351377313</v>
      </c>
      <c r="CF955" s="24">
        <v>45947.703351377313</v>
      </c>
      <c r="CG955">
        <v>1</v>
      </c>
      <c r="CH955" s="24"/>
      <c r="CI955" s="24"/>
      <c r="CJ955" s="24"/>
      <c r="CK955" s="24"/>
      <c r="DE955" s="24"/>
      <c r="DF955" s="24"/>
      <c r="DG955" s="24"/>
      <c r="DH955" s="24"/>
      <c r="DJ955" t="s">
        <v>149</v>
      </c>
      <c r="DK955" t="s">
        <v>149</v>
      </c>
      <c r="DL955">
        <v>7.0902777777777782E-4</v>
      </c>
      <c r="DM955">
        <v>89</v>
      </c>
      <c r="DN955">
        <v>87</v>
      </c>
      <c r="DQ955" t="s">
        <v>1001</v>
      </c>
      <c r="DR955" t="s">
        <v>149</v>
      </c>
      <c r="DS955" s="24">
        <v>46160.384426226854</v>
      </c>
    </row>
    <row r="956" spans="1:123" x14ac:dyDescent="0.3">
      <c r="A956" t="s">
        <v>1439</v>
      </c>
      <c r="D956" t="s">
        <v>225</v>
      </c>
      <c r="E956" s="24">
        <v>45856.46875</v>
      </c>
      <c r="G956" t="s">
        <v>90</v>
      </c>
      <c r="H956" t="s">
        <v>155</v>
      </c>
      <c r="I956" s="24"/>
      <c r="J956" s="24"/>
      <c r="K956" s="24"/>
      <c r="L956" s="24"/>
      <c r="N956" s="24"/>
      <c r="O956" s="24"/>
      <c r="P956" s="24"/>
      <c r="Q956" s="24"/>
      <c r="V956" s="24"/>
      <c r="W956" s="24"/>
      <c r="X956" s="24"/>
      <c r="Y956" s="24"/>
      <c r="AA956" s="24">
        <v>45859.440848738428</v>
      </c>
      <c r="AB956" s="24">
        <v>45857.573976018517</v>
      </c>
      <c r="AC956" s="24">
        <v>45859.429933101848</v>
      </c>
      <c r="AD956" s="24">
        <v>45859.440884201387</v>
      </c>
      <c r="AE956">
        <v>2</v>
      </c>
      <c r="AF956" s="24">
        <v>45859.440884201387</v>
      </c>
      <c r="AG956" s="24">
        <v>45859.440884201387</v>
      </c>
      <c r="AH956" s="24">
        <v>45862.317670219905</v>
      </c>
      <c r="AI956" s="24">
        <v>45862.317670219905</v>
      </c>
      <c r="AJ956">
        <v>1</v>
      </c>
      <c r="AK956" s="24">
        <v>45862.317670219905</v>
      </c>
      <c r="AL956" s="24">
        <v>45862.317670219905</v>
      </c>
      <c r="AM956" s="24">
        <v>45863.408729733797</v>
      </c>
      <c r="AN956" s="24">
        <v>45863.408729733797</v>
      </c>
      <c r="AO956">
        <v>1</v>
      </c>
      <c r="AP956" s="24"/>
      <c r="AQ956" s="24"/>
      <c r="AR956" s="24">
        <v>45856.47096446759</v>
      </c>
      <c r="AS956" s="24">
        <v>45856.47096446759</v>
      </c>
      <c r="AX956" s="24"/>
      <c r="AY956" s="24"/>
      <c r="AZ956" s="24"/>
      <c r="BA956" s="24"/>
      <c r="BC956" s="24">
        <v>45863.408812951391</v>
      </c>
      <c r="BD956" s="24">
        <v>45863.408812951391</v>
      </c>
      <c r="BE956" s="24">
        <v>45947.703351365744</v>
      </c>
      <c r="BF956" s="24">
        <v>45947.703351365744</v>
      </c>
      <c r="BG956">
        <v>1</v>
      </c>
      <c r="BH956" s="24">
        <v>45856.47096446759</v>
      </c>
      <c r="BI956" s="24">
        <v>45856.47096446759</v>
      </c>
      <c r="BJ956" s="24">
        <v>45857.573976018517</v>
      </c>
      <c r="BK956" s="24">
        <v>45857.573976018517</v>
      </c>
      <c r="BL956">
        <v>1</v>
      </c>
      <c r="BM956" s="24"/>
      <c r="BN956" s="24"/>
      <c r="BO956" s="24"/>
      <c r="BP956" s="24"/>
      <c r="BR956" s="24">
        <v>45863.408729733797</v>
      </c>
      <c r="BS956" s="24">
        <v>45859.429933101848</v>
      </c>
      <c r="BT956" s="24">
        <v>45859.440848738428</v>
      </c>
      <c r="BU956" s="24">
        <v>45863.408812951391</v>
      </c>
      <c r="BV956">
        <v>2</v>
      </c>
      <c r="BW956" s="24"/>
      <c r="BX956" s="24"/>
      <c r="BY956" s="24"/>
      <c r="BZ956" s="24"/>
      <c r="CB956" s="24"/>
      <c r="CC956" s="24"/>
      <c r="CE956" s="24">
        <v>45947.703351365744</v>
      </c>
      <c r="CF956" s="24">
        <v>45947.703351365744</v>
      </c>
      <c r="CG956">
        <v>1</v>
      </c>
      <c r="CH956" s="24"/>
      <c r="CI956" s="24"/>
      <c r="CJ956" s="24"/>
      <c r="CK956" s="24"/>
      <c r="DE956" s="24"/>
      <c r="DF956" s="24"/>
      <c r="DG956" s="24"/>
      <c r="DH956" s="24"/>
      <c r="DJ956" t="s">
        <v>149</v>
      </c>
      <c r="DK956" t="s">
        <v>149</v>
      </c>
      <c r="DM956">
        <v>92</v>
      </c>
      <c r="DN956">
        <v>91</v>
      </c>
      <c r="DQ956" t="s">
        <v>1001</v>
      </c>
      <c r="DR956" t="s">
        <v>149</v>
      </c>
      <c r="DS956" s="24">
        <v>46160.384426226854</v>
      </c>
    </row>
    <row r="957" spans="1:123" x14ac:dyDescent="0.3">
      <c r="A957" t="s">
        <v>1440</v>
      </c>
      <c r="D957" t="s">
        <v>223</v>
      </c>
      <c r="E957" s="24">
        <v>45856.368078703701</v>
      </c>
      <c r="G957" t="s">
        <v>90</v>
      </c>
      <c r="H957" t="s">
        <v>155</v>
      </c>
      <c r="I957" s="24"/>
      <c r="J957" s="24"/>
      <c r="K957" s="24"/>
      <c r="L957" s="24"/>
      <c r="N957" s="24"/>
      <c r="O957" s="24"/>
      <c r="P957" s="24"/>
      <c r="Q957" s="24"/>
      <c r="V957" s="24"/>
      <c r="W957" s="24"/>
      <c r="X957" s="24"/>
      <c r="Y957" s="24"/>
      <c r="AA957" s="24">
        <v>46002.675921516202</v>
      </c>
      <c r="AB957" s="24">
        <v>46002.675921516202</v>
      </c>
      <c r="AC957" s="24">
        <v>46008.489694131946</v>
      </c>
      <c r="AD957" s="24">
        <v>46008.489694131946</v>
      </c>
      <c r="AE957">
        <v>1</v>
      </c>
      <c r="AF957" s="24">
        <v>46008.489694131946</v>
      </c>
      <c r="AG957" s="24">
        <v>46008.489694131946</v>
      </c>
      <c r="AH957" s="24">
        <v>46009.511838564817</v>
      </c>
      <c r="AI957" s="24">
        <v>46009.511838564817</v>
      </c>
      <c r="AJ957">
        <v>1</v>
      </c>
      <c r="AK957" s="24"/>
      <c r="AL957" s="24"/>
      <c r="AM957" s="24"/>
      <c r="AN957" s="24"/>
      <c r="AP957" s="24"/>
      <c r="AQ957" s="24"/>
      <c r="AR957" s="24">
        <v>46002.390840810185</v>
      </c>
      <c r="AS957" s="24">
        <v>46002.390840810185</v>
      </c>
      <c r="AX957" s="24"/>
      <c r="AY957" s="24"/>
      <c r="AZ957" s="24"/>
      <c r="BA957" s="24"/>
      <c r="BC957" s="24"/>
      <c r="BD957" s="24"/>
      <c r="BE957" s="24"/>
      <c r="BF957" s="24"/>
      <c r="BH957" s="24">
        <v>46002.390840810185</v>
      </c>
      <c r="BI957" s="24">
        <v>46002.390840810185</v>
      </c>
      <c r="BJ957" s="24">
        <v>46002.675921516202</v>
      </c>
      <c r="BK957" s="24">
        <v>46002.675921516202</v>
      </c>
      <c r="BL957">
        <v>1</v>
      </c>
      <c r="BM957" s="24"/>
      <c r="BN957" s="24"/>
      <c r="BO957" s="24"/>
      <c r="BP957" s="24"/>
      <c r="BR957" s="24">
        <v>46009.511838564817</v>
      </c>
      <c r="BS957" s="24">
        <v>46009.511838564817</v>
      </c>
      <c r="BT957" s="24">
        <v>46009.511892453702</v>
      </c>
      <c r="BU957" s="24">
        <v>46009.511892453702</v>
      </c>
      <c r="BV957">
        <v>1</v>
      </c>
      <c r="BW957" s="24"/>
      <c r="BX957" s="24"/>
      <c r="BY957" s="24"/>
      <c r="BZ957" s="24"/>
      <c r="CB957" s="24"/>
      <c r="CC957" s="24"/>
      <c r="CE957" s="24">
        <v>46009.511892453702</v>
      </c>
      <c r="CF957" s="24">
        <v>46009.511892453702</v>
      </c>
      <c r="CG957">
        <v>1</v>
      </c>
      <c r="CH957" s="24"/>
      <c r="CI957" s="24"/>
      <c r="CJ957" s="24"/>
      <c r="CK957" s="24"/>
      <c r="DE957" s="24"/>
      <c r="DF957" s="24"/>
      <c r="DG957" s="24"/>
      <c r="DH957" s="24"/>
      <c r="DJ957" t="s">
        <v>149</v>
      </c>
      <c r="DK957" t="s">
        <v>149</v>
      </c>
      <c r="DM957">
        <v>8</v>
      </c>
      <c r="DN957">
        <v>7</v>
      </c>
      <c r="DQ957" t="s">
        <v>1001</v>
      </c>
      <c r="DR957" t="s">
        <v>149</v>
      </c>
      <c r="DS957" s="24">
        <v>46160.384426226854</v>
      </c>
    </row>
    <row r="958" spans="1:123" x14ac:dyDescent="0.3">
      <c r="A958" t="s">
        <v>1441</v>
      </c>
      <c r="D958" t="s">
        <v>223</v>
      </c>
      <c r="E958" s="24">
        <v>45855.459027777775</v>
      </c>
      <c r="G958" t="s">
        <v>90</v>
      </c>
      <c r="H958" t="s">
        <v>155</v>
      </c>
      <c r="I958" s="24"/>
      <c r="J958" s="24"/>
      <c r="K958" s="24"/>
      <c r="L958" s="24"/>
      <c r="N958" s="24"/>
      <c r="O958" s="24"/>
      <c r="P958" s="24"/>
      <c r="Q958" s="24"/>
      <c r="V958" s="24"/>
      <c r="W958" s="24"/>
      <c r="X958" s="24"/>
      <c r="Y958" s="24"/>
      <c r="AA958" s="24">
        <v>45891.312724756943</v>
      </c>
      <c r="AB958" s="24">
        <v>45891.312724756943</v>
      </c>
      <c r="AC958" s="24">
        <v>45894.454004502317</v>
      </c>
      <c r="AD958" s="24">
        <v>45894.454004502317</v>
      </c>
      <c r="AE958">
        <v>1</v>
      </c>
      <c r="AF958" s="24"/>
      <c r="AG958" s="24"/>
      <c r="AH958" s="24"/>
      <c r="AI958" s="24"/>
      <c r="AK958" s="24"/>
      <c r="AL958" s="24"/>
      <c r="AM958" s="24"/>
      <c r="AN958" s="24"/>
      <c r="AP958" s="24"/>
      <c r="AQ958" s="24"/>
      <c r="AR958" s="24">
        <v>45890.516230949077</v>
      </c>
      <c r="AS958" s="24">
        <v>45890.516230949077</v>
      </c>
      <c r="AX958" s="24"/>
      <c r="AY958" s="24"/>
      <c r="AZ958" s="24"/>
      <c r="BA958" s="24"/>
      <c r="BC958" s="24"/>
      <c r="BD958" s="24"/>
      <c r="BE958" s="24"/>
      <c r="BF958" s="24"/>
      <c r="BH958" s="24">
        <v>45890.516230949077</v>
      </c>
      <c r="BI958" s="24">
        <v>45890.516230949077</v>
      </c>
      <c r="BJ958" s="24">
        <v>45891.312724756943</v>
      </c>
      <c r="BK958" s="24">
        <v>45891.312724756943</v>
      </c>
      <c r="BL958">
        <v>1</v>
      </c>
      <c r="BM958" s="24"/>
      <c r="BN958" s="24"/>
      <c r="BO958" s="24"/>
      <c r="BP958" s="24"/>
      <c r="BR958" s="24">
        <v>45894.454004502317</v>
      </c>
      <c r="BS958" s="24">
        <v>45894.454004502317</v>
      </c>
      <c r="BT958" s="24">
        <v>45903.456775752318</v>
      </c>
      <c r="BU958" s="24">
        <v>45903.456775752318</v>
      </c>
      <c r="BV958">
        <v>1</v>
      </c>
      <c r="BW958" s="24"/>
      <c r="BX958" s="24"/>
      <c r="BY958" s="24"/>
      <c r="BZ958" s="24"/>
      <c r="CB958" s="24"/>
      <c r="CC958" s="24"/>
      <c r="CE958" s="24">
        <v>45903.456775752318</v>
      </c>
      <c r="CF958" s="24">
        <v>45903.456775752318</v>
      </c>
      <c r="CG958">
        <v>1</v>
      </c>
      <c r="CH958" s="24"/>
      <c r="CI958" s="24"/>
      <c r="CJ958" s="24"/>
      <c r="CK958" s="24"/>
      <c r="DE958" s="24"/>
      <c r="DF958" s="24"/>
      <c r="DG958" s="24"/>
      <c r="DH958" s="24"/>
      <c r="DJ958" t="s">
        <v>149</v>
      </c>
      <c r="DK958" t="s">
        <v>149</v>
      </c>
      <c r="DM958">
        <v>13</v>
      </c>
      <c r="DN958">
        <v>13</v>
      </c>
      <c r="DQ958" t="s">
        <v>1001</v>
      </c>
      <c r="DR958" t="s">
        <v>149</v>
      </c>
      <c r="DS958" s="24">
        <v>46160.384426226854</v>
      </c>
    </row>
    <row r="959" spans="1:123" x14ac:dyDescent="0.3">
      <c r="A959" t="s">
        <v>1442</v>
      </c>
      <c r="D959" t="s">
        <v>225</v>
      </c>
      <c r="E959" s="24">
        <v>45853.442488425928</v>
      </c>
      <c r="G959" t="s">
        <v>90</v>
      </c>
      <c r="H959" t="s">
        <v>155</v>
      </c>
      <c r="I959" s="24"/>
      <c r="J959" s="24"/>
      <c r="K959" s="24"/>
      <c r="L959" s="24"/>
      <c r="N959" s="24"/>
      <c r="O959" s="24"/>
      <c r="P959" s="24"/>
      <c r="Q959" s="24"/>
      <c r="V959" s="24"/>
      <c r="W959" s="24"/>
      <c r="X959" s="24"/>
      <c r="Y959" s="24"/>
      <c r="AA959" s="24">
        <v>45860.660825983796</v>
      </c>
      <c r="AB959" s="24">
        <v>45860.660825983796</v>
      </c>
      <c r="AC959" s="24">
        <v>45860.920491053243</v>
      </c>
      <c r="AD959" s="24">
        <v>45860.920491053243</v>
      </c>
      <c r="AE959">
        <v>1</v>
      </c>
      <c r="AF959" s="24"/>
      <c r="AG959" s="24"/>
      <c r="AH959" s="24"/>
      <c r="AI959" s="24"/>
      <c r="AK959" s="24">
        <v>45860.920491053243</v>
      </c>
      <c r="AL959" s="24">
        <v>45860.920491053243</v>
      </c>
      <c r="AM959" s="24">
        <v>45867.535409085649</v>
      </c>
      <c r="AN959" s="24">
        <v>45867.535409085649</v>
      </c>
      <c r="AO959">
        <v>1</v>
      </c>
      <c r="AP959" s="24"/>
      <c r="AQ959" s="24"/>
      <c r="AR959" s="24"/>
      <c r="AS959" s="24"/>
      <c r="AX959" s="24"/>
      <c r="AY959" s="24"/>
      <c r="AZ959" s="24"/>
      <c r="BA959" s="24"/>
      <c r="BC959" s="24">
        <v>45867.535495266202</v>
      </c>
      <c r="BD959" s="24">
        <v>45867.535495266202</v>
      </c>
      <c r="BE959" s="24">
        <v>45873.376061273149</v>
      </c>
      <c r="BF959" s="24">
        <v>45873.376061273149</v>
      </c>
      <c r="BG959">
        <v>1</v>
      </c>
      <c r="BH959" s="24"/>
      <c r="BI959" s="24"/>
      <c r="BJ959" s="24"/>
      <c r="BK959" s="24"/>
      <c r="BM959" s="24"/>
      <c r="BN959" s="24"/>
      <c r="BO959" s="24"/>
      <c r="BP959" s="24"/>
      <c r="BR959" s="24">
        <v>45867.535409085649</v>
      </c>
      <c r="BS959" s="24">
        <v>45867.535409085649</v>
      </c>
      <c r="BT959" s="24">
        <v>45867.535495266202</v>
      </c>
      <c r="BU959" s="24">
        <v>45867.535495266202</v>
      </c>
      <c r="BV959">
        <v>1</v>
      </c>
      <c r="BW959" s="24"/>
      <c r="BX959" s="24"/>
      <c r="BY959" s="24"/>
      <c r="BZ959" s="24"/>
      <c r="CB959" s="24"/>
      <c r="CC959" s="24"/>
      <c r="CE959" s="24">
        <v>45873.376061273149</v>
      </c>
      <c r="CF959" s="24">
        <v>45873.376061273149</v>
      </c>
      <c r="CG959">
        <v>1</v>
      </c>
      <c r="CH959" s="24"/>
      <c r="CI959" s="24"/>
      <c r="CJ959" s="24"/>
      <c r="CK959" s="24"/>
      <c r="DE959" s="24"/>
      <c r="DF959" s="24"/>
      <c r="DG959" s="24"/>
      <c r="DH959" s="24"/>
      <c r="DJ959" t="s">
        <v>149</v>
      </c>
      <c r="DK959" t="s">
        <v>149</v>
      </c>
      <c r="DN959">
        <v>13</v>
      </c>
      <c r="DQ959" t="s">
        <v>1001</v>
      </c>
      <c r="DR959" t="s">
        <v>149</v>
      </c>
      <c r="DS959" s="24">
        <v>46160.384426226854</v>
      </c>
    </row>
    <row r="960" spans="1:123" x14ac:dyDescent="0.3">
      <c r="A960" t="s">
        <v>1443</v>
      </c>
      <c r="D960" t="s">
        <v>225</v>
      </c>
      <c r="E960" s="24">
        <v>45847.495891203704</v>
      </c>
      <c r="G960" t="s">
        <v>90</v>
      </c>
      <c r="H960" t="s">
        <v>155</v>
      </c>
      <c r="I960" s="24"/>
      <c r="J960" s="24"/>
      <c r="K960" s="24"/>
      <c r="L960" s="24"/>
      <c r="N960" s="24"/>
      <c r="O960" s="24"/>
      <c r="P960" s="24"/>
      <c r="Q960" s="24"/>
      <c r="V960" s="24"/>
      <c r="W960" s="24"/>
      <c r="X960" s="24"/>
      <c r="Y960" s="24"/>
      <c r="AA960" s="24">
        <v>45847.534480219911</v>
      </c>
      <c r="AB960" s="24">
        <v>45847.534480219911</v>
      </c>
      <c r="AC960" s="24">
        <v>45847.594133946761</v>
      </c>
      <c r="AD960" s="24">
        <v>45847.594133946761</v>
      </c>
      <c r="AE960">
        <v>1</v>
      </c>
      <c r="AF960" s="24">
        <v>45847.594133946761</v>
      </c>
      <c r="AG960" s="24">
        <v>45847.594133946761</v>
      </c>
      <c r="AH960" s="24">
        <v>45847.598473599537</v>
      </c>
      <c r="AI960" s="24">
        <v>45847.598473599537</v>
      </c>
      <c r="AJ960">
        <v>1</v>
      </c>
      <c r="AK960" s="24">
        <v>45847.598473599537</v>
      </c>
      <c r="AL960" s="24">
        <v>45847.598473599537</v>
      </c>
      <c r="AM960" s="24">
        <v>45847.599489814813</v>
      </c>
      <c r="AN960" s="24">
        <v>45847.599489814813</v>
      </c>
      <c r="AO960">
        <v>1</v>
      </c>
      <c r="AP960" s="24"/>
      <c r="AQ960" s="24"/>
      <c r="AR960" s="24">
        <v>45847.532262256944</v>
      </c>
      <c r="AS960" s="24">
        <v>45847.532262256944</v>
      </c>
      <c r="AX960" s="24"/>
      <c r="AY960" s="24"/>
      <c r="AZ960" s="24"/>
      <c r="BA960" s="24"/>
      <c r="BC960" s="24">
        <v>45848.487283263887</v>
      </c>
      <c r="BD960" s="24">
        <v>45848.487283263887</v>
      </c>
      <c r="BE960" s="24">
        <v>45849.622942499998</v>
      </c>
      <c r="BF960" s="24">
        <v>45849.622942499998</v>
      </c>
      <c r="BG960">
        <v>1</v>
      </c>
      <c r="BH960" s="24">
        <v>45847.532262256944</v>
      </c>
      <c r="BI960" s="24">
        <v>45847.532262256944</v>
      </c>
      <c r="BJ960" s="24">
        <v>45847.534480219911</v>
      </c>
      <c r="BK960" s="24">
        <v>45847.534480219911</v>
      </c>
      <c r="BL960">
        <v>1</v>
      </c>
      <c r="BM960" s="24"/>
      <c r="BN960" s="24"/>
      <c r="BO960" s="24"/>
      <c r="BP960" s="24"/>
      <c r="BR960" s="24">
        <v>45847.599489814813</v>
      </c>
      <c r="BS960" s="24">
        <v>45847.599489814813</v>
      </c>
      <c r="BT960" s="24">
        <v>45848.487283263887</v>
      </c>
      <c r="BU960" s="24">
        <v>45848.487283263887</v>
      </c>
      <c r="BV960">
        <v>1</v>
      </c>
      <c r="BW960" s="24"/>
      <c r="BX960" s="24"/>
      <c r="BY960" s="24"/>
      <c r="BZ960" s="24"/>
      <c r="CB960" s="24"/>
      <c r="CC960" s="24"/>
      <c r="CE960" s="24">
        <v>45849.622942499998</v>
      </c>
      <c r="CF960" s="24">
        <v>45849.622942499998</v>
      </c>
      <c r="CG960">
        <v>1</v>
      </c>
      <c r="CH960" s="24"/>
      <c r="CI960" s="24"/>
      <c r="CJ960" s="24"/>
      <c r="CK960" s="24"/>
      <c r="DE960" s="24"/>
      <c r="DF960" s="24"/>
      <c r="DG960" s="24"/>
      <c r="DH960" s="24"/>
      <c r="DJ960" t="s">
        <v>149</v>
      </c>
      <c r="DK960" t="s">
        <v>149</v>
      </c>
      <c r="DM960">
        <v>3</v>
      </c>
      <c r="DN960">
        <v>3</v>
      </c>
      <c r="DQ960" t="s">
        <v>1001</v>
      </c>
      <c r="DR960" t="s">
        <v>149</v>
      </c>
      <c r="DS960" s="24">
        <v>46160.384426226854</v>
      </c>
    </row>
    <row r="961" spans="1:123" x14ac:dyDescent="0.3">
      <c r="A961" t="s">
        <v>1444</v>
      </c>
      <c r="D961" t="s">
        <v>225</v>
      </c>
      <c r="E961" s="24">
        <v>45847.431562500002</v>
      </c>
      <c r="G961" t="s">
        <v>90</v>
      </c>
      <c r="H961" t="s">
        <v>155</v>
      </c>
      <c r="I961" s="24"/>
      <c r="J961" s="24"/>
      <c r="K961" s="24"/>
      <c r="L961" s="24"/>
      <c r="N961" s="24"/>
      <c r="O961" s="24"/>
      <c r="P961" s="24"/>
      <c r="Q961" s="24"/>
      <c r="V961" s="24"/>
      <c r="W961" s="24"/>
      <c r="X961" s="24"/>
      <c r="Y961" s="24"/>
      <c r="AA961" s="24">
        <v>45853.556644004631</v>
      </c>
      <c r="AB961" s="24">
        <v>45853.556644004631</v>
      </c>
      <c r="AC961" s="24">
        <v>45856.788645393521</v>
      </c>
      <c r="AD961" s="24">
        <v>45856.788645393521</v>
      </c>
      <c r="AE961">
        <v>1</v>
      </c>
      <c r="AF961" s="24">
        <v>45856.788645393521</v>
      </c>
      <c r="AG961" s="24">
        <v>45856.788645393521</v>
      </c>
      <c r="AH961" s="24">
        <v>45862.411091030095</v>
      </c>
      <c r="AI961" s="24">
        <v>45862.411091030095</v>
      </c>
      <c r="AJ961">
        <v>1</v>
      </c>
      <c r="AK961" s="24">
        <v>45862.411091030095</v>
      </c>
      <c r="AL961" s="24">
        <v>45862.411091030095</v>
      </c>
      <c r="AM961" s="24">
        <v>45863.385686828704</v>
      </c>
      <c r="AN961" s="24">
        <v>45863.385686828704</v>
      </c>
      <c r="AO961">
        <v>1</v>
      </c>
      <c r="AP961" s="24"/>
      <c r="AQ961" s="24"/>
      <c r="AR961" s="24">
        <v>45847.498730983796</v>
      </c>
      <c r="AS961" s="24">
        <v>45847.498730983796</v>
      </c>
      <c r="AX961" s="24"/>
      <c r="AY961" s="24"/>
      <c r="AZ961" s="24"/>
      <c r="BA961" s="24"/>
      <c r="BC961" s="24">
        <v>45863.385788831016</v>
      </c>
      <c r="BD961" s="24">
        <v>45863.385788831016</v>
      </c>
      <c r="BE961" s="24">
        <v>45947.703351469907</v>
      </c>
      <c r="BF961" s="24">
        <v>45947.703351469907</v>
      </c>
      <c r="BG961">
        <v>1</v>
      </c>
      <c r="BH961" s="24">
        <v>45847.498730983796</v>
      </c>
      <c r="BI961" s="24">
        <v>45847.498730983796</v>
      </c>
      <c r="BJ961" s="24">
        <v>45853.556644004631</v>
      </c>
      <c r="BK961" s="24">
        <v>45853.556644004631</v>
      </c>
      <c r="BL961">
        <v>1</v>
      </c>
      <c r="BM961" s="24"/>
      <c r="BN961" s="24"/>
      <c r="BO961" s="24"/>
      <c r="BP961" s="24"/>
      <c r="BR961" s="24">
        <v>45863.385686828704</v>
      </c>
      <c r="BS961" s="24">
        <v>45863.385686828704</v>
      </c>
      <c r="BT961" s="24">
        <v>45863.385788831016</v>
      </c>
      <c r="BU961" s="24">
        <v>45863.385788831016</v>
      </c>
      <c r="BV961">
        <v>1</v>
      </c>
      <c r="BW961" s="24"/>
      <c r="BX961" s="24"/>
      <c r="BY961" s="24"/>
      <c r="BZ961" s="24"/>
      <c r="CB961" s="24"/>
      <c r="CC961" s="24"/>
      <c r="CE961" s="24">
        <v>45947.703351469907</v>
      </c>
      <c r="CF961" s="24">
        <v>45947.703351469907</v>
      </c>
      <c r="CG961">
        <v>1</v>
      </c>
      <c r="CH961" s="24"/>
      <c r="CI961" s="24"/>
      <c r="CJ961" s="24"/>
      <c r="CK961" s="24"/>
      <c r="DE961" s="24"/>
      <c r="DF961" s="24"/>
      <c r="DG961" s="24"/>
      <c r="DH961" s="24"/>
      <c r="DJ961" t="s">
        <v>149</v>
      </c>
      <c r="DK961" t="s">
        <v>149</v>
      </c>
      <c r="DM961">
        <v>101</v>
      </c>
      <c r="DN961">
        <v>95</v>
      </c>
      <c r="DQ961" t="s">
        <v>1001</v>
      </c>
      <c r="DR961" t="s">
        <v>149</v>
      </c>
      <c r="DS961" s="24">
        <v>46160.384426226854</v>
      </c>
    </row>
    <row r="962" spans="1:123" x14ac:dyDescent="0.3">
      <c r="A962" t="s">
        <v>1445</v>
      </c>
      <c r="D962" t="s">
        <v>223</v>
      </c>
      <c r="E962" s="24">
        <v>45847.388043981482</v>
      </c>
      <c r="G962" t="s">
        <v>90</v>
      </c>
      <c r="H962" t="s">
        <v>155</v>
      </c>
      <c r="I962" s="24"/>
      <c r="J962" s="24"/>
      <c r="K962" s="24"/>
      <c r="L962" s="24"/>
      <c r="N962" s="24"/>
      <c r="O962" s="24"/>
      <c r="P962" s="24"/>
      <c r="Q962" s="24"/>
      <c r="V962" s="24"/>
      <c r="W962" s="24"/>
      <c r="X962" s="24"/>
      <c r="Y962" s="24"/>
      <c r="AA962" s="24">
        <v>45860.646148969907</v>
      </c>
      <c r="AB962" s="24">
        <v>45860.646148969907</v>
      </c>
      <c r="AC962" s="24">
        <v>45860.646403078703</v>
      </c>
      <c r="AD962" s="24">
        <v>45860.646403078703</v>
      </c>
      <c r="AE962">
        <v>1</v>
      </c>
      <c r="AF962" s="24">
        <v>45860.646403078703</v>
      </c>
      <c r="AG962" s="24">
        <v>45860.646403078703</v>
      </c>
      <c r="AH962" s="24">
        <v>45861.41179878472</v>
      </c>
      <c r="AI962" s="24">
        <v>45861.41179878472</v>
      </c>
      <c r="AJ962">
        <v>1</v>
      </c>
      <c r="AK962" s="24"/>
      <c r="AL962" s="24"/>
      <c r="AM962" s="24"/>
      <c r="AN962" s="24"/>
      <c r="AP962" s="24"/>
      <c r="AQ962" s="24"/>
      <c r="AR962" s="24">
        <v>45847.38856269676</v>
      </c>
      <c r="AS962" s="24">
        <v>45847.38856269676</v>
      </c>
      <c r="AX962" s="24"/>
      <c r="AY962" s="24"/>
      <c r="AZ962" s="24"/>
      <c r="BA962" s="24"/>
      <c r="BC962" s="24"/>
      <c r="BD962" s="24"/>
      <c r="BE962" s="24"/>
      <c r="BF962" s="24"/>
      <c r="BH962" s="24">
        <v>45847.38856269676</v>
      </c>
      <c r="BI962" s="24">
        <v>45847.38856269676</v>
      </c>
      <c r="BJ962" s="24">
        <v>45860.646148969907</v>
      </c>
      <c r="BK962" s="24">
        <v>45860.646148969907</v>
      </c>
      <c r="BL962">
        <v>1</v>
      </c>
      <c r="BM962" s="24"/>
      <c r="BN962" s="24"/>
      <c r="BO962" s="24"/>
      <c r="BP962" s="24"/>
      <c r="BR962" s="24"/>
      <c r="BS962" s="24"/>
      <c r="BT962" s="24"/>
      <c r="BU962" s="24"/>
      <c r="BW962" s="24"/>
      <c r="BX962" s="24"/>
      <c r="BY962" s="24"/>
      <c r="BZ962" s="24"/>
      <c r="CB962" s="24"/>
      <c r="CC962" s="24"/>
      <c r="CE962" s="24">
        <v>45861.41179878472</v>
      </c>
      <c r="CF962" s="24">
        <v>45861.41179878472</v>
      </c>
      <c r="CG962">
        <v>1</v>
      </c>
      <c r="CH962" s="24"/>
      <c r="CI962" s="24"/>
      <c r="CJ962" s="24"/>
      <c r="CK962" s="24"/>
      <c r="DE962" s="24"/>
      <c r="DF962" s="24"/>
      <c r="DG962" s="24"/>
      <c r="DH962" s="24"/>
      <c r="DJ962" t="s">
        <v>149</v>
      </c>
      <c r="DK962" t="s">
        <v>149</v>
      </c>
      <c r="DM962">
        <v>15</v>
      </c>
      <c r="DN962">
        <v>1</v>
      </c>
      <c r="DQ962" t="s">
        <v>1001</v>
      </c>
      <c r="DR962" t="s">
        <v>149</v>
      </c>
      <c r="DS962" s="24">
        <v>46160.384426226854</v>
      </c>
    </row>
    <row r="963" spans="1:123" x14ac:dyDescent="0.3">
      <c r="A963" t="s">
        <v>1446</v>
      </c>
      <c r="D963" t="s">
        <v>225</v>
      </c>
      <c r="E963" s="24">
        <v>45847.382106481484</v>
      </c>
      <c r="G963" t="s">
        <v>90</v>
      </c>
      <c r="H963" t="s">
        <v>155</v>
      </c>
      <c r="I963" s="24"/>
      <c r="J963" s="24"/>
      <c r="K963" s="24"/>
      <c r="L963" s="24"/>
      <c r="N963" s="24"/>
      <c r="O963" s="24"/>
      <c r="P963" s="24"/>
      <c r="Q963" s="24"/>
      <c r="V963" s="24"/>
      <c r="W963" s="24"/>
      <c r="X963" s="24"/>
      <c r="Y963" s="24"/>
      <c r="AA963" s="24">
        <v>45856.557701168982</v>
      </c>
      <c r="AB963" s="24">
        <v>45848.63996670139</v>
      </c>
      <c r="AC963" s="24">
        <v>45855.678752581021</v>
      </c>
      <c r="AD963" s="24">
        <v>45860.632884293984</v>
      </c>
      <c r="AE963">
        <v>2</v>
      </c>
      <c r="AF963" s="24">
        <v>45860.632884293984</v>
      </c>
      <c r="AG963" s="24">
        <v>45855.678752581021</v>
      </c>
      <c r="AH963" s="24">
        <v>45856.557701168982</v>
      </c>
      <c r="AI963" s="24">
        <v>45861.297831076387</v>
      </c>
      <c r="AJ963">
        <v>2</v>
      </c>
      <c r="AK963" s="24">
        <v>45861.297831076387</v>
      </c>
      <c r="AL963" s="24">
        <v>45861.297831076387</v>
      </c>
      <c r="AM963" s="24">
        <v>45861.427586273145</v>
      </c>
      <c r="AN963" s="24">
        <v>45861.427586273145</v>
      </c>
      <c r="AO963">
        <v>1</v>
      </c>
      <c r="AP963" s="24"/>
      <c r="AQ963" s="24"/>
      <c r="AR963" s="24">
        <v>45847.49872880787</v>
      </c>
      <c r="AS963" s="24">
        <v>45847.49872880787</v>
      </c>
      <c r="AX963" s="24"/>
      <c r="AY963" s="24"/>
      <c r="AZ963" s="24"/>
      <c r="BA963" s="24"/>
      <c r="BC963" s="24">
        <v>45861.427696724539</v>
      </c>
      <c r="BD963" s="24">
        <v>45861.427696724539</v>
      </c>
      <c r="BE963" s="24">
        <v>45947.703358182873</v>
      </c>
      <c r="BF963" s="24">
        <v>45947.703358182873</v>
      </c>
      <c r="BG963">
        <v>1</v>
      </c>
      <c r="BH963" s="24">
        <v>45847.49872880787</v>
      </c>
      <c r="BI963" s="24">
        <v>45847.49872880787</v>
      </c>
      <c r="BJ963" s="24">
        <v>45848.63996670139</v>
      </c>
      <c r="BK963" s="24">
        <v>45848.63996670139</v>
      </c>
      <c r="BL963">
        <v>1</v>
      </c>
      <c r="BM963" s="24"/>
      <c r="BN963" s="24"/>
      <c r="BO963" s="24"/>
      <c r="BP963" s="24"/>
      <c r="BR963" s="24">
        <v>45861.427586273145</v>
      </c>
      <c r="BS963" s="24">
        <v>45861.427586273145</v>
      </c>
      <c r="BT963" s="24">
        <v>45861.427696724539</v>
      </c>
      <c r="BU963" s="24">
        <v>45861.427696724539</v>
      </c>
      <c r="BV963">
        <v>1</v>
      </c>
      <c r="BW963" s="24"/>
      <c r="BX963" s="24"/>
      <c r="BY963" s="24"/>
      <c r="BZ963" s="24"/>
      <c r="CB963" s="24"/>
      <c r="CC963" s="24"/>
      <c r="CE963" s="24">
        <v>45947.703358182873</v>
      </c>
      <c r="CF963" s="24">
        <v>45947.703358182873</v>
      </c>
      <c r="CG963">
        <v>1</v>
      </c>
      <c r="CH963" s="24"/>
      <c r="CI963" s="24"/>
      <c r="CJ963" s="24"/>
      <c r="CK963" s="24"/>
      <c r="DE963" s="24"/>
      <c r="DF963" s="24"/>
      <c r="DG963" s="24"/>
      <c r="DH963" s="24"/>
      <c r="DJ963" t="s">
        <v>149</v>
      </c>
      <c r="DK963" t="s">
        <v>149</v>
      </c>
      <c r="DM963">
        <v>101</v>
      </c>
      <c r="DN963">
        <v>100</v>
      </c>
      <c r="DQ963" t="s">
        <v>1001</v>
      </c>
      <c r="DR963" t="s">
        <v>149</v>
      </c>
      <c r="DS963" s="24">
        <v>46160.384426226854</v>
      </c>
    </row>
    <row r="964" spans="1:123" x14ac:dyDescent="0.3">
      <c r="A964" t="s">
        <v>1447</v>
      </c>
      <c r="D964" t="s">
        <v>225</v>
      </c>
      <c r="E964" s="24">
        <v>45847.351909722223</v>
      </c>
      <c r="G964" t="s">
        <v>90</v>
      </c>
      <c r="H964" t="s">
        <v>155</v>
      </c>
      <c r="I964" s="24"/>
      <c r="J964" s="24"/>
      <c r="K964" s="24"/>
      <c r="L964" s="24"/>
      <c r="N964" s="24"/>
      <c r="O964" s="24"/>
      <c r="P964" s="24"/>
      <c r="Q964" s="24"/>
      <c r="V964" s="24"/>
      <c r="W964" s="24"/>
      <c r="X964" s="24"/>
      <c r="Y964" s="24"/>
      <c r="AA964" s="24">
        <v>45862.451973981479</v>
      </c>
      <c r="AB964" s="24">
        <v>45862.451973981479</v>
      </c>
      <c r="AC964" s="24">
        <v>45866.153326608794</v>
      </c>
      <c r="AD964" s="24">
        <v>45866.153326608794</v>
      </c>
      <c r="AE964">
        <v>1</v>
      </c>
      <c r="AF964" s="24">
        <v>45866.153326608794</v>
      </c>
      <c r="AG964" s="24">
        <v>45866.153326608794</v>
      </c>
      <c r="AH964" s="24">
        <v>45875.386168923615</v>
      </c>
      <c r="AI964" s="24">
        <v>45875.386168923615</v>
      </c>
      <c r="AJ964">
        <v>1</v>
      </c>
      <c r="AK964" s="24">
        <v>45875.386168923615</v>
      </c>
      <c r="AL964" s="24">
        <v>45875.386168923615</v>
      </c>
      <c r="AM964" s="24">
        <v>45875.423146527777</v>
      </c>
      <c r="AN964" s="24">
        <v>45875.423146527777</v>
      </c>
      <c r="AO964">
        <v>1</v>
      </c>
      <c r="AP964" s="24"/>
      <c r="AQ964" s="24"/>
      <c r="AR964" s="24">
        <v>45861.460875173609</v>
      </c>
      <c r="AS964" s="24">
        <v>45861.460875173609</v>
      </c>
      <c r="AX964" s="24"/>
      <c r="AY964" s="24"/>
      <c r="AZ964" s="24"/>
      <c r="BA964" s="24"/>
      <c r="BC964" s="24">
        <v>45875.423275474539</v>
      </c>
      <c r="BD964" s="24">
        <v>45875.423275474539</v>
      </c>
      <c r="BE964" s="24">
        <v>45947.703358449071</v>
      </c>
      <c r="BF964" s="24">
        <v>45947.703358449071</v>
      </c>
      <c r="BG964">
        <v>1</v>
      </c>
      <c r="BH964" s="24">
        <v>45861.460875173609</v>
      </c>
      <c r="BI964" s="24">
        <v>45861.460875173609</v>
      </c>
      <c r="BJ964" s="24">
        <v>45862.451973981479</v>
      </c>
      <c r="BK964" s="24">
        <v>45862.451973981479</v>
      </c>
      <c r="BL964">
        <v>1</v>
      </c>
      <c r="BM964" s="24"/>
      <c r="BN964" s="24"/>
      <c r="BO964" s="24"/>
      <c r="BP964" s="24"/>
      <c r="BR964" s="24">
        <v>45875.423146527777</v>
      </c>
      <c r="BS964" s="24">
        <v>45875.423146527777</v>
      </c>
      <c r="BT964" s="24">
        <v>45875.423275474539</v>
      </c>
      <c r="BU964" s="24">
        <v>45875.423275474539</v>
      </c>
      <c r="BV964">
        <v>1</v>
      </c>
      <c r="BW964" s="24"/>
      <c r="BX964" s="24"/>
      <c r="BY964" s="24"/>
      <c r="BZ964" s="24"/>
      <c r="CB964" s="24"/>
      <c r="CC964" s="24"/>
      <c r="CE964" s="24">
        <v>45947.703358449071</v>
      </c>
      <c r="CF964" s="24">
        <v>45947.703358449071</v>
      </c>
      <c r="CG964">
        <v>1</v>
      </c>
      <c r="CH964" s="24"/>
      <c r="CI964" s="24"/>
      <c r="CJ964" s="24"/>
      <c r="CK964" s="24"/>
      <c r="DE964" s="24"/>
      <c r="DF964" s="24"/>
      <c r="DG964" s="24"/>
      <c r="DH964" s="24"/>
      <c r="DJ964" t="s">
        <v>149</v>
      </c>
      <c r="DK964" t="s">
        <v>149</v>
      </c>
      <c r="DM964">
        <v>87</v>
      </c>
      <c r="DN964">
        <v>86</v>
      </c>
      <c r="DQ964" t="s">
        <v>1001</v>
      </c>
      <c r="DR964" t="s">
        <v>149</v>
      </c>
      <c r="DS964" s="24">
        <v>46160.384426226854</v>
      </c>
    </row>
    <row r="965" spans="1:123" x14ac:dyDescent="0.3">
      <c r="A965" t="s">
        <v>1448</v>
      </c>
      <c r="D965" t="s">
        <v>223</v>
      </c>
      <c r="E965" s="24">
        <v>45847.350393518522</v>
      </c>
      <c r="G965" t="s">
        <v>90</v>
      </c>
      <c r="H965" t="s">
        <v>155</v>
      </c>
      <c r="I965" s="24"/>
      <c r="J965" s="24"/>
      <c r="K965" s="24"/>
      <c r="L965" s="24"/>
      <c r="N965" s="24"/>
      <c r="O965" s="24"/>
      <c r="P965" s="24"/>
      <c r="Q965" s="24"/>
      <c r="V965" s="24"/>
      <c r="W965" s="24"/>
      <c r="X965" s="24"/>
      <c r="Y965" s="24"/>
      <c r="AA965" s="24">
        <v>45849.638050439811</v>
      </c>
      <c r="AB965" s="24">
        <v>45849.638050439811</v>
      </c>
      <c r="AC965" s="24">
        <v>45861.40966809028</v>
      </c>
      <c r="AD965" s="24">
        <v>45861.40966809028</v>
      </c>
      <c r="AE965">
        <v>1</v>
      </c>
      <c r="AF965" s="24">
        <v>45861.40966809028</v>
      </c>
      <c r="AG965" s="24">
        <v>45861.40966809028</v>
      </c>
      <c r="AH965" s="24">
        <v>45861.409698796298</v>
      </c>
      <c r="AI965" s="24">
        <v>45861.409698796298</v>
      </c>
      <c r="AJ965">
        <v>1</v>
      </c>
      <c r="AK965" s="24"/>
      <c r="AL965" s="24"/>
      <c r="AM965" s="24"/>
      <c r="AN965" s="24"/>
      <c r="AP965" s="24"/>
      <c r="AQ965" s="24"/>
      <c r="AR965" s="24">
        <v>45847.351443344909</v>
      </c>
      <c r="AS965" s="24">
        <v>45847.351443344909</v>
      </c>
      <c r="AX965" s="24"/>
      <c r="AY965" s="24"/>
      <c r="AZ965" s="24"/>
      <c r="BA965" s="24"/>
      <c r="BC965" s="24"/>
      <c r="BD965" s="24"/>
      <c r="BE965" s="24"/>
      <c r="BF965" s="24"/>
      <c r="BH965" s="24">
        <v>45847.351443344909</v>
      </c>
      <c r="BI965" s="24">
        <v>45847.351443344909</v>
      </c>
      <c r="BJ965" s="24">
        <v>45849.638050439811</v>
      </c>
      <c r="BK965" s="24">
        <v>45849.638050439811</v>
      </c>
      <c r="BL965">
        <v>1</v>
      </c>
      <c r="BM965" s="24"/>
      <c r="BN965" s="24"/>
      <c r="BO965" s="24"/>
      <c r="BP965" s="24"/>
      <c r="BR965" s="24">
        <v>45861.409698796298</v>
      </c>
      <c r="BS965" s="24">
        <v>45861.409698796298</v>
      </c>
      <c r="BT965" s="24">
        <v>45861.409728935185</v>
      </c>
      <c r="BU965" s="24">
        <v>45861.409728935185</v>
      </c>
      <c r="BV965">
        <v>1</v>
      </c>
      <c r="BW965" s="24"/>
      <c r="BX965" s="24"/>
      <c r="BY965" s="24"/>
      <c r="BZ965" s="24"/>
      <c r="CB965" s="24"/>
      <c r="CC965" s="24"/>
      <c r="CE965" s="24">
        <v>45861.409728935185</v>
      </c>
      <c r="CF965" s="24">
        <v>45861.409728935185</v>
      </c>
      <c r="CG965">
        <v>1</v>
      </c>
      <c r="CH965" s="24"/>
      <c r="CI965" s="24"/>
      <c r="CJ965" s="24"/>
      <c r="CK965" s="24"/>
      <c r="DE965" s="24"/>
      <c r="DF965" s="24"/>
      <c r="DG965" s="24"/>
      <c r="DH965" s="24"/>
      <c r="DJ965" t="s">
        <v>149</v>
      </c>
      <c r="DK965" t="s">
        <v>149</v>
      </c>
      <c r="DM965">
        <v>15</v>
      </c>
      <c r="DN965">
        <v>12</v>
      </c>
      <c r="DQ965" t="s">
        <v>1001</v>
      </c>
      <c r="DR965" t="s">
        <v>149</v>
      </c>
      <c r="DS965" s="24">
        <v>46160.384426226854</v>
      </c>
    </row>
    <row r="966" spans="1:123" x14ac:dyDescent="0.3">
      <c r="A966" t="s">
        <v>1449</v>
      </c>
      <c r="D966" t="s">
        <v>223</v>
      </c>
      <c r="E966" s="24">
        <v>45847.305659722224</v>
      </c>
      <c r="G966" t="s">
        <v>90</v>
      </c>
      <c r="H966" t="s">
        <v>155</v>
      </c>
      <c r="I966" s="24"/>
      <c r="J966" s="24"/>
      <c r="K966" s="24"/>
      <c r="L966" s="24"/>
      <c r="N966" s="24"/>
      <c r="O966" s="24"/>
      <c r="P966" s="24"/>
      <c r="Q966" s="24"/>
      <c r="V966" s="24"/>
      <c r="W966" s="24"/>
      <c r="X966" s="24"/>
      <c r="Y966" s="24"/>
      <c r="AA966" s="24">
        <v>45868.606462118056</v>
      </c>
      <c r="AB966" s="24">
        <v>45868.606462118056</v>
      </c>
      <c r="AC966" s="24">
        <v>45873.394805104166</v>
      </c>
      <c r="AD966" s="24">
        <v>45873.394805104166</v>
      </c>
      <c r="AE966">
        <v>1</v>
      </c>
      <c r="AF966" s="24">
        <v>45873.394805104166</v>
      </c>
      <c r="AG966" s="24">
        <v>45873.394805104166</v>
      </c>
      <c r="AH966" s="24">
        <v>45875.452238414349</v>
      </c>
      <c r="AI966" s="24">
        <v>45875.452238414349</v>
      </c>
      <c r="AJ966">
        <v>1</v>
      </c>
      <c r="AK966" s="24"/>
      <c r="AL966" s="24"/>
      <c r="AM966" s="24"/>
      <c r="AN966" s="24"/>
      <c r="AP966" s="24"/>
      <c r="AQ966" s="24"/>
      <c r="AR966" s="24">
        <v>45847.306675983797</v>
      </c>
      <c r="AS966" s="24">
        <v>45847.306675983797</v>
      </c>
      <c r="AX966" s="24"/>
      <c r="AY966" s="24"/>
      <c r="AZ966" s="24"/>
      <c r="BA966" s="24"/>
      <c r="BC966" s="24"/>
      <c r="BD966" s="24"/>
      <c r="BE966" s="24"/>
      <c r="BF966" s="24"/>
      <c r="BH966" s="24">
        <v>45847.306675983797</v>
      </c>
      <c r="BI966" s="24">
        <v>45847.306675983797</v>
      </c>
      <c r="BJ966" s="24">
        <v>45868.606462118056</v>
      </c>
      <c r="BK966" s="24">
        <v>45868.606462118056</v>
      </c>
      <c r="BL966">
        <v>1</v>
      </c>
      <c r="BM966" s="24"/>
      <c r="BN966" s="24"/>
      <c r="BO966" s="24"/>
      <c r="BP966" s="24"/>
      <c r="BR966" s="24">
        <v>45875.452238414349</v>
      </c>
      <c r="BS966" s="24">
        <v>45875.452238414349</v>
      </c>
      <c r="BT966" s="24">
        <v>45875.452275358795</v>
      </c>
      <c r="BU966" s="24">
        <v>45875.452275358795</v>
      </c>
      <c r="BV966">
        <v>1</v>
      </c>
      <c r="BW966" s="24"/>
      <c r="BX966" s="24"/>
      <c r="BY966" s="24"/>
      <c r="BZ966" s="24"/>
      <c r="CB966" s="24"/>
      <c r="CC966" s="24"/>
      <c r="CE966" s="24">
        <v>45875.452275358795</v>
      </c>
      <c r="CF966" s="24">
        <v>45875.452275358795</v>
      </c>
      <c r="CG966">
        <v>1</v>
      </c>
      <c r="CH966" s="24"/>
      <c r="CI966" s="24"/>
      <c r="CJ966" s="24"/>
      <c r="CK966" s="24"/>
      <c r="DE966" s="24"/>
      <c r="DF966" s="24"/>
      <c r="DG966" s="24"/>
      <c r="DH966" s="24"/>
      <c r="DJ966" t="s">
        <v>149</v>
      </c>
      <c r="DK966" t="s">
        <v>149</v>
      </c>
      <c r="DM966">
        <v>29</v>
      </c>
      <c r="DN966">
        <v>7</v>
      </c>
      <c r="DQ966" t="s">
        <v>1001</v>
      </c>
      <c r="DR966" t="s">
        <v>149</v>
      </c>
      <c r="DS966" s="24">
        <v>46160.384426226854</v>
      </c>
    </row>
    <row r="967" spans="1:123" x14ac:dyDescent="0.3">
      <c r="A967" t="s">
        <v>1450</v>
      </c>
      <c r="D967" t="s">
        <v>223</v>
      </c>
      <c r="E967" s="24">
        <v>45847.299618055556</v>
      </c>
      <c r="G967" t="s">
        <v>90</v>
      </c>
      <c r="H967" t="s">
        <v>155</v>
      </c>
      <c r="I967" s="24"/>
      <c r="J967" s="24"/>
      <c r="K967" s="24"/>
      <c r="L967" s="24"/>
      <c r="N967" s="24"/>
      <c r="O967" s="24"/>
      <c r="P967" s="24"/>
      <c r="Q967" s="24"/>
      <c r="V967" s="24"/>
      <c r="W967" s="24"/>
      <c r="X967" s="24"/>
      <c r="Y967" s="24"/>
      <c r="AA967" s="24">
        <v>45849.638756342596</v>
      </c>
      <c r="AB967" s="24">
        <v>45849.638756342596</v>
      </c>
      <c r="AC967" s="24">
        <v>45856.375660277779</v>
      </c>
      <c r="AD967" s="24">
        <v>45856.375660277779</v>
      </c>
      <c r="AE967">
        <v>1</v>
      </c>
      <c r="AF967" s="24">
        <v>45856.375660277779</v>
      </c>
      <c r="AG967" s="24">
        <v>45856.375660277779</v>
      </c>
      <c r="AH967" s="24">
        <v>45856.455857314817</v>
      </c>
      <c r="AI967" s="24">
        <v>45856.455857314817</v>
      </c>
      <c r="AJ967">
        <v>1</v>
      </c>
      <c r="AK967" s="24"/>
      <c r="AL967" s="24"/>
      <c r="AM967" s="24"/>
      <c r="AN967" s="24"/>
      <c r="AP967" s="24"/>
      <c r="AQ967" s="24"/>
      <c r="AR967" s="24">
        <v>45847.304876122682</v>
      </c>
      <c r="AS967" s="24">
        <v>45847.304876122682</v>
      </c>
      <c r="AX967" s="24"/>
      <c r="AY967" s="24"/>
      <c r="AZ967" s="24"/>
      <c r="BA967" s="24"/>
      <c r="BC967" s="24"/>
      <c r="BD967" s="24"/>
      <c r="BE967" s="24"/>
      <c r="BF967" s="24"/>
      <c r="BH967" s="24">
        <v>45847.304876122682</v>
      </c>
      <c r="BI967" s="24">
        <v>45847.304876122682</v>
      </c>
      <c r="BJ967" s="24">
        <v>45849.638756342596</v>
      </c>
      <c r="BK967" s="24">
        <v>45849.638756342596</v>
      </c>
      <c r="BL967">
        <v>1</v>
      </c>
      <c r="BM967" s="24"/>
      <c r="BN967" s="24"/>
      <c r="BO967" s="24"/>
      <c r="BP967" s="24"/>
      <c r="BR967" s="24"/>
      <c r="BS967" s="24"/>
      <c r="BT967" s="24"/>
      <c r="BU967" s="24"/>
      <c r="BW967" s="24"/>
      <c r="BX967" s="24"/>
      <c r="BY967" s="24"/>
      <c r="BZ967" s="24"/>
      <c r="CB967" s="24"/>
      <c r="CC967" s="24"/>
      <c r="CE967" s="24">
        <v>45856.455857314817</v>
      </c>
      <c r="CF967" s="24">
        <v>45856.455857314817</v>
      </c>
      <c r="CG967">
        <v>1</v>
      </c>
      <c r="CH967" s="24"/>
      <c r="CI967" s="24"/>
      <c r="CJ967" s="24"/>
      <c r="CK967" s="24"/>
      <c r="DE967" s="24"/>
      <c r="DF967" s="24"/>
      <c r="DG967" s="24"/>
      <c r="DH967" s="24"/>
      <c r="DJ967" t="s">
        <v>149</v>
      </c>
      <c r="DK967" t="s">
        <v>149</v>
      </c>
      <c r="DM967">
        <v>10</v>
      </c>
      <c r="DN967">
        <v>7</v>
      </c>
      <c r="DQ967" t="s">
        <v>1001</v>
      </c>
      <c r="DR967" t="s">
        <v>149</v>
      </c>
      <c r="DS967" s="24">
        <v>46160.384426226854</v>
      </c>
    </row>
    <row r="968" spans="1:123" x14ac:dyDescent="0.3">
      <c r="A968" t="s">
        <v>1451</v>
      </c>
      <c r="D968" t="s">
        <v>225</v>
      </c>
      <c r="E968" s="24">
        <v>45845.523564814815</v>
      </c>
      <c r="G968" t="s">
        <v>90</v>
      </c>
      <c r="H968" t="s">
        <v>155</v>
      </c>
      <c r="I968" s="24"/>
      <c r="J968" s="24"/>
      <c r="K968" s="24"/>
      <c r="L968" s="24"/>
      <c r="N968" s="24"/>
      <c r="O968" s="24"/>
      <c r="P968" s="24"/>
      <c r="Q968" s="24"/>
      <c r="V968" s="24"/>
      <c r="W968" s="24"/>
      <c r="X968" s="24"/>
      <c r="Y968" s="24"/>
      <c r="AA968" s="24">
        <v>45846.479989178239</v>
      </c>
      <c r="AB968" s="24">
        <v>45846.479989178239</v>
      </c>
      <c r="AC968" s="24">
        <v>45849.503040023148</v>
      </c>
      <c r="AD968" s="24">
        <v>45849.503040023148</v>
      </c>
      <c r="AE968">
        <v>1</v>
      </c>
      <c r="AF968" s="24">
        <v>45849.503040023148</v>
      </c>
      <c r="AG968" s="24">
        <v>45849.503040023148</v>
      </c>
      <c r="AH968" s="24">
        <v>45849.582774814815</v>
      </c>
      <c r="AI968" s="24">
        <v>45849.582774814815</v>
      </c>
      <c r="AJ968">
        <v>1</v>
      </c>
      <c r="AK968" s="24">
        <v>45849.582774814815</v>
      </c>
      <c r="AL968" s="24">
        <v>45849.582774814815</v>
      </c>
      <c r="AM968" s="24">
        <v>45861.305517025467</v>
      </c>
      <c r="AN968" s="24">
        <v>45861.305517025467</v>
      </c>
      <c r="AO968">
        <v>1</v>
      </c>
      <c r="AP968" s="24"/>
      <c r="AQ968" s="24"/>
      <c r="AR968" s="24">
        <v>45845.524733437502</v>
      </c>
      <c r="AS968" s="24">
        <v>45845.524733437502</v>
      </c>
      <c r="AX968" s="24"/>
      <c r="AY968" s="24"/>
      <c r="AZ968" s="24"/>
      <c r="BA968" s="24"/>
      <c r="BC968" s="24">
        <v>45861.305630706018</v>
      </c>
      <c r="BD968" s="24">
        <v>45861.305630706018</v>
      </c>
      <c r="BE968" s="24">
        <v>45947.703358356484</v>
      </c>
      <c r="BF968" s="24">
        <v>45947.703358356484</v>
      </c>
      <c r="BG968">
        <v>1</v>
      </c>
      <c r="BH968" s="24">
        <v>45845.524733437502</v>
      </c>
      <c r="BI968" s="24">
        <v>45845.524733437502</v>
      </c>
      <c r="BJ968" s="24">
        <v>45846.479989178239</v>
      </c>
      <c r="BK968" s="24">
        <v>45846.479989178239</v>
      </c>
      <c r="BL968">
        <v>1</v>
      </c>
      <c r="BM968" s="24"/>
      <c r="BN968" s="24"/>
      <c r="BO968" s="24"/>
      <c r="BP968" s="24"/>
      <c r="BR968" s="24">
        <v>45861.305517025467</v>
      </c>
      <c r="BS968" s="24">
        <v>45861.305517025467</v>
      </c>
      <c r="BT968" s="24">
        <v>45861.305630706018</v>
      </c>
      <c r="BU968" s="24">
        <v>45861.305630706018</v>
      </c>
      <c r="BV968">
        <v>1</v>
      </c>
      <c r="BW968" s="24"/>
      <c r="BX968" s="24"/>
      <c r="BY968" s="24"/>
      <c r="BZ968" s="24"/>
      <c r="CB968" s="24"/>
      <c r="CC968" s="24"/>
      <c r="CE968" s="24">
        <v>45947.703358356484</v>
      </c>
      <c r="CF968" s="24">
        <v>45947.703358356484</v>
      </c>
      <c r="CG968">
        <v>1</v>
      </c>
      <c r="CH968" s="24"/>
      <c r="CI968" s="24"/>
      <c r="CJ968" s="24"/>
      <c r="CK968" s="24"/>
      <c r="DE968" s="24"/>
      <c r="DF968" s="24"/>
      <c r="DG968" s="24"/>
      <c r="DH968" s="24"/>
      <c r="DJ968" t="s">
        <v>149</v>
      </c>
      <c r="DK968" t="s">
        <v>149</v>
      </c>
      <c r="DM968">
        <v>103</v>
      </c>
      <c r="DN968">
        <v>102</v>
      </c>
      <c r="DQ968" t="s">
        <v>1001</v>
      </c>
      <c r="DR968" t="s">
        <v>149</v>
      </c>
      <c r="DS968" s="24">
        <v>46160.384426226854</v>
      </c>
    </row>
    <row r="969" spans="1:123" x14ac:dyDescent="0.3">
      <c r="A969" t="s">
        <v>1452</v>
      </c>
      <c r="D969" t="s">
        <v>223</v>
      </c>
      <c r="E969" s="24">
        <v>45845.382627314815</v>
      </c>
      <c r="G969" t="s">
        <v>90</v>
      </c>
      <c r="H969" t="s">
        <v>155</v>
      </c>
      <c r="I969" s="24"/>
      <c r="J969" s="24"/>
      <c r="K969" s="24"/>
      <c r="L969" s="24"/>
      <c r="N969" s="24"/>
      <c r="O969" s="24"/>
      <c r="P969" s="24"/>
      <c r="Q969" s="24"/>
      <c r="V969" s="24"/>
      <c r="W969" s="24"/>
      <c r="X969" s="24"/>
      <c r="Y969" s="24"/>
      <c r="AA969" s="24">
        <v>45947.338618738424</v>
      </c>
      <c r="AB969" s="24">
        <v>45947.338618738424</v>
      </c>
      <c r="AC969" s="24">
        <v>45947.339446319442</v>
      </c>
      <c r="AD969" s="24">
        <v>45947.339446319442</v>
      </c>
      <c r="AE969">
        <v>1</v>
      </c>
      <c r="AF969" s="24">
        <v>45947.339446319442</v>
      </c>
      <c r="AG969" s="24">
        <v>45947.339446319442</v>
      </c>
      <c r="AH969" s="24">
        <v>45947.339489097219</v>
      </c>
      <c r="AI969" s="24">
        <v>45947.339489097219</v>
      </c>
      <c r="AJ969">
        <v>1</v>
      </c>
      <c r="AK969" s="24"/>
      <c r="AL969" s="24"/>
      <c r="AM969" s="24"/>
      <c r="AN969" s="24"/>
      <c r="AP969" s="24"/>
      <c r="AQ969" s="24"/>
      <c r="AR969" s="24">
        <v>45945.606243796297</v>
      </c>
      <c r="AS969" s="24">
        <v>45945.606243796297</v>
      </c>
      <c r="AX969" s="24"/>
      <c r="AY969" s="24"/>
      <c r="AZ969" s="24"/>
      <c r="BA969" s="24"/>
      <c r="BC969" s="24"/>
      <c r="BD969" s="24"/>
      <c r="BE969" s="24"/>
      <c r="BF969" s="24"/>
      <c r="BH969" s="24">
        <v>45945.606243796297</v>
      </c>
      <c r="BI969" s="24">
        <v>45945.606243796297</v>
      </c>
      <c r="BJ969" s="24">
        <v>45947.338618738424</v>
      </c>
      <c r="BK969" s="24">
        <v>45947.338618738424</v>
      </c>
      <c r="BL969">
        <v>1</v>
      </c>
      <c r="BM969" s="24"/>
      <c r="BN969" s="24"/>
      <c r="BO969" s="24"/>
      <c r="BP969" s="24"/>
      <c r="BR969" s="24">
        <v>45947.339489097219</v>
      </c>
      <c r="BS969" s="24">
        <v>45947.339489097219</v>
      </c>
      <c r="BT969" s="24">
        <v>45947.591858356478</v>
      </c>
      <c r="BU969" s="24">
        <v>45947.591858356478</v>
      </c>
      <c r="BV969">
        <v>1</v>
      </c>
      <c r="BW969" s="24"/>
      <c r="BX969" s="24"/>
      <c r="BY969" s="24"/>
      <c r="BZ969" s="24"/>
      <c r="CB969" s="24"/>
      <c r="CC969" s="24"/>
      <c r="CE969" s="24">
        <v>45947.591858356478</v>
      </c>
      <c r="CF969" s="24">
        <v>45947.591858356478</v>
      </c>
      <c r="CG969">
        <v>1</v>
      </c>
      <c r="CH969" s="24"/>
      <c r="CI969" s="24"/>
      <c r="CJ969" s="24"/>
      <c r="CK969" s="24"/>
      <c r="DE969" s="24"/>
      <c r="DF969" s="24"/>
      <c r="DG969" s="24"/>
      <c r="DH969" s="24"/>
      <c r="DJ969" t="s">
        <v>149</v>
      </c>
      <c r="DK969" t="s">
        <v>149</v>
      </c>
      <c r="DM969">
        <v>2</v>
      </c>
      <c r="DN969">
        <v>1</v>
      </c>
      <c r="DQ969" t="s">
        <v>1001</v>
      </c>
      <c r="DR969" t="s">
        <v>149</v>
      </c>
      <c r="DS969" s="24">
        <v>46160.384426226854</v>
      </c>
    </row>
    <row r="970" spans="1:123" x14ac:dyDescent="0.3">
      <c r="A970" t="s">
        <v>1453</v>
      </c>
      <c r="D970" t="s">
        <v>223</v>
      </c>
      <c r="E970" s="24">
        <v>45845.375428240739</v>
      </c>
      <c r="G970" t="s">
        <v>90</v>
      </c>
      <c r="H970" t="s">
        <v>155</v>
      </c>
      <c r="I970" s="24"/>
      <c r="J970" s="24"/>
      <c r="K970" s="24"/>
      <c r="L970" s="24"/>
      <c r="N970" s="24"/>
      <c r="O970" s="24"/>
      <c r="P970" s="24"/>
      <c r="Q970" s="24"/>
      <c r="V970" s="24"/>
      <c r="W970" s="24"/>
      <c r="X970" s="24"/>
      <c r="Y970" s="24"/>
      <c r="AA970" s="24">
        <v>45981.556955972221</v>
      </c>
      <c r="AB970" s="24">
        <v>45981.556955972221</v>
      </c>
      <c r="AC970" s="24">
        <v>45981.646647604168</v>
      </c>
      <c r="AD970" s="24">
        <v>45981.646647604168</v>
      </c>
      <c r="AE970">
        <v>1</v>
      </c>
      <c r="AF970" s="24">
        <v>45981.646647604168</v>
      </c>
      <c r="AG970" s="24">
        <v>45981.646647604168</v>
      </c>
      <c r="AH970" s="24">
        <v>45981.646736620372</v>
      </c>
      <c r="AI970" s="24">
        <v>45981.646736620372</v>
      </c>
      <c r="AJ970">
        <v>1</v>
      </c>
      <c r="AK970" s="24"/>
      <c r="AL970" s="24"/>
      <c r="AM970" s="24"/>
      <c r="AN970" s="24"/>
      <c r="AP970" s="24"/>
      <c r="AQ970" s="24"/>
      <c r="AR970" s="24">
        <v>45981.556902951386</v>
      </c>
      <c r="AS970" s="24">
        <v>45981.556902951386</v>
      </c>
      <c r="AX970" s="24"/>
      <c r="AY970" s="24"/>
      <c r="AZ970" s="24"/>
      <c r="BA970" s="24"/>
      <c r="BC970" s="24"/>
      <c r="BD970" s="24"/>
      <c r="BE970" s="24"/>
      <c r="BF970" s="24"/>
      <c r="BH970" s="24">
        <v>45981.556902951386</v>
      </c>
      <c r="BI970" s="24">
        <v>45981.556902951386</v>
      </c>
      <c r="BJ970" s="24">
        <v>45981.556955972221</v>
      </c>
      <c r="BK970" s="24">
        <v>45981.556955972221</v>
      </c>
      <c r="BL970">
        <v>1</v>
      </c>
      <c r="BM970" s="24"/>
      <c r="BN970" s="24"/>
      <c r="BO970" s="24"/>
      <c r="BP970" s="24"/>
      <c r="BR970" s="24">
        <v>45981.646736620372</v>
      </c>
      <c r="BS970" s="24">
        <v>45981.646736620372</v>
      </c>
      <c r="BT970" s="24">
        <v>45985.444210636575</v>
      </c>
      <c r="BU970" s="24">
        <v>45985.444210636575</v>
      </c>
      <c r="BV970">
        <v>1</v>
      </c>
      <c r="BW970" s="24"/>
      <c r="BX970" s="24"/>
      <c r="BY970" s="24"/>
      <c r="BZ970" s="24"/>
      <c r="CB970" s="24"/>
      <c r="CC970" s="24"/>
      <c r="CE970" s="24">
        <v>45985.444210636575</v>
      </c>
      <c r="CF970" s="24">
        <v>45985.444210636575</v>
      </c>
      <c r="CG970">
        <v>1</v>
      </c>
      <c r="CH970" s="24"/>
      <c r="CI970" s="24"/>
      <c r="CJ970" s="24"/>
      <c r="CK970" s="24"/>
      <c r="DE970" s="24"/>
      <c r="DF970" s="24"/>
      <c r="DG970" s="24"/>
      <c r="DH970" s="24"/>
      <c r="DJ970" t="s">
        <v>149</v>
      </c>
      <c r="DK970" t="s">
        <v>149</v>
      </c>
      <c r="DM970">
        <v>4</v>
      </c>
      <c r="DN970">
        <v>4</v>
      </c>
      <c r="DQ970" t="s">
        <v>1001</v>
      </c>
      <c r="DR970" t="s">
        <v>149</v>
      </c>
      <c r="DS970" s="24">
        <v>46160.384426226854</v>
      </c>
    </row>
    <row r="971" spans="1:123" x14ac:dyDescent="0.3">
      <c r="A971" t="s">
        <v>1454</v>
      </c>
      <c r="D971" t="s">
        <v>223</v>
      </c>
      <c r="E971" s="24">
        <v>45845.373912037037</v>
      </c>
      <c r="G971" t="s">
        <v>90</v>
      </c>
      <c r="H971" t="s">
        <v>155</v>
      </c>
      <c r="I971" s="24"/>
      <c r="J971" s="24"/>
      <c r="K971" s="24"/>
      <c r="L971" s="24"/>
      <c r="N971" s="24"/>
      <c r="O971" s="24"/>
      <c r="P971" s="24"/>
      <c r="Q971" s="24"/>
      <c r="V971" s="24"/>
      <c r="W971" s="24"/>
      <c r="X971" s="24"/>
      <c r="Y971" s="24"/>
      <c r="AA971" s="24">
        <v>45863.410050844905</v>
      </c>
      <c r="AB971" s="24">
        <v>45863.410050844905</v>
      </c>
      <c r="AC971" s="24">
        <v>45863.570095937503</v>
      </c>
      <c r="AD971" s="24">
        <v>45863.570095937503</v>
      </c>
      <c r="AE971">
        <v>1</v>
      </c>
      <c r="AF971" s="24">
        <v>45863.570095937503</v>
      </c>
      <c r="AG971" s="24">
        <v>45863.570095937503</v>
      </c>
      <c r="AH971" s="24">
        <v>45873.446792685187</v>
      </c>
      <c r="AI971" s="24">
        <v>45873.446792685187</v>
      </c>
      <c r="AJ971">
        <v>1</v>
      </c>
      <c r="AK971" s="24"/>
      <c r="AL971" s="24"/>
      <c r="AM971" s="24"/>
      <c r="AN971" s="24"/>
      <c r="AP971" s="24"/>
      <c r="AQ971" s="24"/>
      <c r="AR971" s="24">
        <v>45847.49852666667</v>
      </c>
      <c r="AS971" s="24">
        <v>45847.49852666667</v>
      </c>
      <c r="AX971" s="24"/>
      <c r="AY971" s="24"/>
      <c r="AZ971" s="24"/>
      <c r="BA971" s="24"/>
      <c r="BC971" s="24"/>
      <c r="BD971" s="24"/>
      <c r="BE971" s="24"/>
      <c r="BF971" s="24"/>
      <c r="BH971" s="24">
        <v>45847.49852666667</v>
      </c>
      <c r="BI971" s="24">
        <v>45847.49852666667</v>
      </c>
      <c r="BJ971" s="24">
        <v>45863.410050844905</v>
      </c>
      <c r="BK971" s="24">
        <v>45863.410050844905</v>
      </c>
      <c r="BL971">
        <v>1</v>
      </c>
      <c r="BM971" s="24"/>
      <c r="BN971" s="24"/>
      <c r="BO971" s="24"/>
      <c r="BP971" s="24"/>
      <c r="BR971" s="24">
        <v>45873.446792685187</v>
      </c>
      <c r="BS971" s="24">
        <v>45873.446792685187</v>
      </c>
      <c r="BT971" s="24">
        <v>45873.446845798608</v>
      </c>
      <c r="BU971" s="24">
        <v>45873.446845798608</v>
      </c>
      <c r="BV971">
        <v>1</v>
      </c>
      <c r="BW971" s="24"/>
      <c r="BX971" s="24"/>
      <c r="BY971" s="24"/>
      <c r="BZ971" s="24"/>
      <c r="CB971" s="24"/>
      <c r="CC971" s="24"/>
      <c r="CE971" s="24">
        <v>45873.446845798608</v>
      </c>
      <c r="CF971" s="24">
        <v>45873.446845798608</v>
      </c>
      <c r="CG971">
        <v>1</v>
      </c>
      <c r="CH971" s="24"/>
      <c r="CI971" s="24"/>
      <c r="CJ971" s="24"/>
      <c r="CK971" s="24"/>
      <c r="DE971" s="24"/>
      <c r="DF971" s="24"/>
      <c r="DG971" s="24"/>
      <c r="DH971" s="24"/>
      <c r="DJ971" t="s">
        <v>149</v>
      </c>
      <c r="DK971" t="s">
        <v>149</v>
      </c>
      <c r="DM971">
        <v>26</v>
      </c>
      <c r="DN971">
        <v>11</v>
      </c>
      <c r="DQ971" t="s">
        <v>1001</v>
      </c>
      <c r="DR971" t="s">
        <v>149</v>
      </c>
      <c r="DS971" s="24">
        <v>46160.384426226854</v>
      </c>
    </row>
    <row r="972" spans="1:123" x14ac:dyDescent="0.3">
      <c r="A972" t="s">
        <v>1455</v>
      </c>
      <c r="D972" t="s">
        <v>225</v>
      </c>
      <c r="E972" s="24">
        <v>45840.797719907408</v>
      </c>
      <c r="G972" t="s">
        <v>102</v>
      </c>
      <c r="H972" t="s">
        <v>154</v>
      </c>
      <c r="I972" s="24"/>
      <c r="J972" s="24"/>
      <c r="K972" s="24"/>
      <c r="L972" s="24"/>
      <c r="N972" s="24"/>
      <c r="O972" s="24"/>
      <c r="P972" s="24"/>
      <c r="Q972" s="24"/>
      <c r="V972" s="24"/>
      <c r="W972" s="24"/>
      <c r="X972" s="24"/>
      <c r="Y972" s="24"/>
      <c r="AA972" s="24"/>
      <c r="AB972" s="24"/>
      <c r="AC972" s="24"/>
      <c r="AD972" s="24"/>
      <c r="AF972" s="24"/>
      <c r="AG972" s="24"/>
      <c r="AH972" s="24"/>
      <c r="AI972" s="24"/>
      <c r="AK972" s="24"/>
      <c r="AL972" s="24"/>
      <c r="AM972" s="24"/>
      <c r="AN972" s="24"/>
      <c r="AP972" s="24"/>
      <c r="AQ972" s="24"/>
      <c r="AR972" s="24"/>
      <c r="AS972" s="24"/>
      <c r="AX972" s="24"/>
      <c r="AY972" s="24"/>
      <c r="AZ972" s="24"/>
      <c r="BA972" s="24"/>
      <c r="BC972" s="24"/>
      <c r="BD972" s="24"/>
      <c r="BE972" s="24"/>
      <c r="BF972" s="24"/>
      <c r="BH972" s="24"/>
      <c r="BI972" s="24"/>
      <c r="BJ972" s="24"/>
      <c r="BK972" s="24"/>
      <c r="BM972" s="24"/>
      <c r="BN972" s="24"/>
      <c r="BO972" s="24"/>
      <c r="BP972" s="24"/>
      <c r="BR972" s="24"/>
      <c r="BS972" s="24"/>
      <c r="BT972" s="24"/>
      <c r="BU972" s="24"/>
      <c r="BW972" s="24"/>
      <c r="BX972" s="24"/>
      <c r="BY972" s="24"/>
      <c r="BZ972" s="24"/>
      <c r="CB972" s="24"/>
      <c r="CC972" s="24"/>
      <c r="CE972" s="24"/>
      <c r="CF972" s="24"/>
      <c r="CH972" s="24"/>
      <c r="CI972" s="24"/>
      <c r="CJ972" s="24"/>
      <c r="CK972" s="24"/>
      <c r="DE972" s="24"/>
      <c r="DF972" s="24"/>
      <c r="DG972" s="24"/>
      <c r="DH972" s="24"/>
      <c r="DJ972" t="s">
        <v>149</v>
      </c>
      <c r="DK972" t="s">
        <v>149</v>
      </c>
      <c r="DQ972" t="s">
        <v>1001</v>
      </c>
      <c r="DR972" t="s">
        <v>149</v>
      </c>
      <c r="DS972" s="24">
        <v>46160.384426226854</v>
      </c>
    </row>
    <row r="973" spans="1:123" x14ac:dyDescent="0.3">
      <c r="A973" t="s">
        <v>1456</v>
      </c>
      <c r="D973" t="s">
        <v>225</v>
      </c>
      <c r="E973" s="24">
        <v>45838.315821759257</v>
      </c>
      <c r="G973" t="s">
        <v>90</v>
      </c>
      <c r="H973" t="s">
        <v>155</v>
      </c>
      <c r="I973" s="24"/>
      <c r="J973" s="24"/>
      <c r="K973" s="24"/>
      <c r="L973" s="24"/>
      <c r="N973" s="24"/>
      <c r="O973" s="24"/>
      <c r="P973" s="24"/>
      <c r="Q973" s="24"/>
      <c r="V973" s="24"/>
      <c r="W973" s="24"/>
      <c r="X973" s="24"/>
      <c r="Y973" s="24"/>
      <c r="AA973" s="24">
        <v>45839.551401377314</v>
      </c>
      <c r="AB973" s="24">
        <v>45839.551401377314</v>
      </c>
      <c r="AC973" s="24">
        <v>45841.468531909719</v>
      </c>
      <c r="AD973" s="24">
        <v>45841.468531909719</v>
      </c>
      <c r="AE973">
        <v>1</v>
      </c>
      <c r="AF973" s="24">
        <v>45841.468531909719</v>
      </c>
      <c r="AG973" s="24">
        <v>45841.468531909719</v>
      </c>
      <c r="AH973" s="24">
        <v>45846.892599293984</v>
      </c>
      <c r="AI973" s="24">
        <v>45846.892599293984</v>
      </c>
      <c r="AJ973">
        <v>1</v>
      </c>
      <c r="AK973" s="24">
        <v>45846.892599293984</v>
      </c>
      <c r="AL973" s="24">
        <v>45846.892599293984</v>
      </c>
      <c r="AM973" s="24">
        <v>45847.386735046297</v>
      </c>
      <c r="AN973" s="24">
        <v>45847.386735046297</v>
      </c>
      <c r="AO973">
        <v>1</v>
      </c>
      <c r="AP973" s="24"/>
      <c r="AQ973" s="24"/>
      <c r="AR973" s="24">
        <v>45839.55133800926</v>
      </c>
      <c r="AS973" s="24">
        <v>45839.55133800926</v>
      </c>
      <c r="AX973" s="24"/>
      <c r="AY973" s="24"/>
      <c r="AZ973" s="24"/>
      <c r="BA973" s="24"/>
      <c r="BC973" s="24">
        <v>45847.387131377312</v>
      </c>
      <c r="BD973" s="24">
        <v>45847.387131377312</v>
      </c>
      <c r="BE973" s="24">
        <v>45947.703358460647</v>
      </c>
      <c r="BF973" s="24">
        <v>45947.703358460647</v>
      </c>
      <c r="BG973">
        <v>1</v>
      </c>
      <c r="BH973" s="24">
        <v>45839.55133800926</v>
      </c>
      <c r="BI973" s="24">
        <v>45839.55133800926</v>
      </c>
      <c r="BJ973" s="24">
        <v>45839.551401377314</v>
      </c>
      <c r="BK973" s="24">
        <v>45839.551401377314</v>
      </c>
      <c r="BL973">
        <v>1</v>
      </c>
      <c r="BM973" s="24"/>
      <c r="BN973" s="24"/>
      <c r="BO973" s="24"/>
      <c r="BP973" s="24"/>
      <c r="BR973" s="24">
        <v>45847.386735046297</v>
      </c>
      <c r="BS973" s="24">
        <v>45847.386735046297</v>
      </c>
      <c r="BT973" s="24">
        <v>45847.387131377312</v>
      </c>
      <c r="BU973" s="24">
        <v>45847.387131377312</v>
      </c>
      <c r="BV973">
        <v>1</v>
      </c>
      <c r="BW973" s="24"/>
      <c r="BX973" s="24"/>
      <c r="BY973" s="24"/>
      <c r="BZ973" s="24"/>
      <c r="CB973" s="24"/>
      <c r="CC973" s="24"/>
      <c r="CE973" s="24">
        <v>45947.703358460647</v>
      </c>
      <c r="CF973" s="24">
        <v>45947.703358460647</v>
      </c>
      <c r="CG973">
        <v>1</v>
      </c>
      <c r="CH973" s="24"/>
      <c r="CI973" s="24"/>
      <c r="CJ973" s="24"/>
      <c r="CK973" s="24"/>
      <c r="DE973" s="24"/>
      <c r="DF973" s="24"/>
      <c r="DG973" s="24"/>
      <c r="DH973" s="24"/>
      <c r="DJ973" t="s">
        <v>149</v>
      </c>
      <c r="DK973" t="s">
        <v>149</v>
      </c>
      <c r="DM973">
        <v>109</v>
      </c>
      <c r="DN973">
        <v>109</v>
      </c>
      <c r="DQ973" t="s">
        <v>1001</v>
      </c>
      <c r="DR973" t="s">
        <v>149</v>
      </c>
      <c r="DS973" s="24">
        <v>46160.384426226854</v>
      </c>
    </row>
    <row r="974" spans="1:123" x14ac:dyDescent="0.3">
      <c r="A974" t="s">
        <v>1457</v>
      </c>
      <c r="D974" t="s">
        <v>225</v>
      </c>
      <c r="E974" s="24">
        <v>45833.511550925927</v>
      </c>
      <c r="G974" t="s">
        <v>90</v>
      </c>
      <c r="H974" t="s">
        <v>155</v>
      </c>
      <c r="I974" s="24">
        <v>45856.561767175925</v>
      </c>
      <c r="J974" s="24">
        <v>45856.561767175925</v>
      </c>
      <c r="K974" s="24">
        <v>45856.561824675926</v>
      </c>
      <c r="L974" s="24">
        <v>45856.561824675926</v>
      </c>
      <c r="M974">
        <v>1</v>
      </c>
      <c r="N974" s="24">
        <v>45856.561637569444</v>
      </c>
      <c r="O974" s="24">
        <v>45856.561637569444</v>
      </c>
      <c r="P974" s="24">
        <v>45856.561767175925</v>
      </c>
      <c r="Q974" s="24">
        <v>45856.561767175925</v>
      </c>
      <c r="R974">
        <v>1</v>
      </c>
      <c r="V974" s="24"/>
      <c r="W974" s="24"/>
      <c r="X974" s="24"/>
      <c r="Y974" s="24"/>
      <c r="AA974" s="24">
        <v>45860.431319212963</v>
      </c>
      <c r="AB974" s="24">
        <v>45856.46393484954</v>
      </c>
      <c r="AC974" s="24">
        <v>45856.561637569444</v>
      </c>
      <c r="AD974" s="24">
        <v>45860.520827754626</v>
      </c>
      <c r="AE974">
        <v>2</v>
      </c>
      <c r="AF974" s="24">
        <v>45860.520827754626</v>
      </c>
      <c r="AG974" s="24">
        <v>45860.520827754626</v>
      </c>
      <c r="AH974" s="24">
        <v>45862.317571261578</v>
      </c>
      <c r="AI974" s="24">
        <v>45862.317571261578</v>
      </c>
      <c r="AJ974">
        <v>1</v>
      </c>
      <c r="AK974" s="24">
        <v>45862.317571261578</v>
      </c>
      <c r="AL974" s="24">
        <v>45862.317571261578</v>
      </c>
      <c r="AM974" s="24">
        <v>45863.374096388892</v>
      </c>
      <c r="AN974" s="24">
        <v>45863.374096388892</v>
      </c>
      <c r="AO974">
        <v>1</v>
      </c>
      <c r="AP974" s="24"/>
      <c r="AQ974" s="24"/>
      <c r="AR974" s="24">
        <v>45847.498295277779</v>
      </c>
      <c r="AS974" s="24">
        <v>45847.498295277779</v>
      </c>
      <c r="AX974" s="24"/>
      <c r="AY974" s="24"/>
      <c r="AZ974" s="24"/>
      <c r="BA974" s="24"/>
      <c r="BC974" s="24">
        <v>45863.374198217592</v>
      </c>
      <c r="BD974" s="24">
        <v>45863.374198217592</v>
      </c>
      <c r="BE974" s="24">
        <v>45947.703358726852</v>
      </c>
      <c r="BF974" s="24">
        <v>45947.703358726852</v>
      </c>
      <c r="BG974">
        <v>1</v>
      </c>
      <c r="BH974" s="24">
        <v>45856.561824675926</v>
      </c>
      <c r="BI974" s="24">
        <v>45847.498295277779</v>
      </c>
      <c r="BJ974" s="24">
        <v>45856.46393484954</v>
      </c>
      <c r="BK974" s="24">
        <v>45860.431319212963</v>
      </c>
      <c r="BL974">
        <v>2</v>
      </c>
      <c r="BM974" s="24"/>
      <c r="BN974" s="24"/>
      <c r="BO974" s="24"/>
      <c r="BP974" s="24"/>
      <c r="BR974" s="24">
        <v>45863.374096388892</v>
      </c>
      <c r="BS974" s="24">
        <v>45863.374096388892</v>
      </c>
      <c r="BT974" s="24">
        <v>45863.374198217592</v>
      </c>
      <c r="BU974" s="24">
        <v>45863.374198217592</v>
      </c>
      <c r="BV974">
        <v>1</v>
      </c>
      <c r="BW974" s="24"/>
      <c r="BX974" s="24"/>
      <c r="BY974" s="24"/>
      <c r="BZ974" s="24"/>
      <c r="CB974" s="24"/>
      <c r="CC974" s="24"/>
      <c r="CE974" s="24">
        <v>45947.703358726852</v>
      </c>
      <c r="CF974" s="24">
        <v>45947.703358726852</v>
      </c>
      <c r="CG974">
        <v>1</v>
      </c>
      <c r="CH974" s="24"/>
      <c r="CI974" s="24"/>
      <c r="CJ974" s="24"/>
      <c r="CK974" s="24"/>
      <c r="DE974" s="24"/>
      <c r="DF974" s="24"/>
      <c r="DG974" s="24"/>
      <c r="DH974" s="24"/>
      <c r="DJ974" t="s">
        <v>149</v>
      </c>
      <c r="DK974" t="s">
        <v>149</v>
      </c>
      <c r="DL974">
        <v>1.2951388888888889E-4</v>
      </c>
      <c r="DM974">
        <v>101</v>
      </c>
      <c r="DN974">
        <v>92</v>
      </c>
      <c r="DQ974" t="s">
        <v>1001</v>
      </c>
      <c r="DR974" t="s">
        <v>149</v>
      </c>
      <c r="DS974" s="24">
        <v>46160.384426226854</v>
      </c>
    </row>
    <row r="975" spans="1:123" x14ac:dyDescent="0.3">
      <c r="A975" t="s">
        <v>1458</v>
      </c>
      <c r="D975" t="s">
        <v>225</v>
      </c>
      <c r="E975" s="24">
        <v>45833.511122685188</v>
      </c>
      <c r="G975" t="s">
        <v>90</v>
      </c>
      <c r="H975" t="s">
        <v>155</v>
      </c>
      <c r="I975" s="24"/>
      <c r="J975" s="24"/>
      <c r="K975" s="24"/>
      <c r="L975" s="24"/>
      <c r="N975" s="24"/>
      <c r="O975" s="24"/>
      <c r="P975" s="24"/>
      <c r="Q975" s="24"/>
      <c r="V975" s="24"/>
      <c r="W975" s="24"/>
      <c r="X975" s="24"/>
      <c r="Y975" s="24"/>
      <c r="AA975" s="24">
        <v>45845.452127581018</v>
      </c>
      <c r="AB975" s="24">
        <v>45845.452127581018</v>
      </c>
      <c r="AC975" s="24">
        <v>45849.422170162034</v>
      </c>
      <c r="AD975" s="24">
        <v>45849.422170162034</v>
      </c>
      <c r="AE975">
        <v>1</v>
      </c>
      <c r="AF975" s="24">
        <v>45849.422170162034</v>
      </c>
      <c r="AG975" s="24">
        <v>45849.422170162034</v>
      </c>
      <c r="AH975" s="24">
        <v>45852.327230706018</v>
      </c>
      <c r="AI975" s="24">
        <v>45852.327230706018</v>
      </c>
      <c r="AJ975">
        <v>1</v>
      </c>
      <c r="AK975" s="24">
        <v>45852.327230706018</v>
      </c>
      <c r="AL975" s="24">
        <v>45852.327230706018</v>
      </c>
      <c r="AM975" s="24">
        <v>45859.334517407406</v>
      </c>
      <c r="AN975" s="24">
        <v>45859.334517407406</v>
      </c>
      <c r="AO975">
        <v>1</v>
      </c>
      <c r="AP975" s="24"/>
      <c r="AQ975" s="24"/>
      <c r="AR975" s="24">
        <v>45845.451973055555</v>
      </c>
      <c r="AS975" s="24">
        <v>45845.451973055555</v>
      </c>
      <c r="AX975" s="24"/>
      <c r="AY975" s="24"/>
      <c r="AZ975" s="24"/>
      <c r="BA975" s="24"/>
      <c r="BC975" s="24">
        <v>45859.334607766206</v>
      </c>
      <c r="BD975" s="24">
        <v>45859.334607766206</v>
      </c>
      <c r="BE975" s="24">
        <v>45947.703364247682</v>
      </c>
      <c r="BF975" s="24">
        <v>45947.703364247682</v>
      </c>
      <c r="BG975">
        <v>1</v>
      </c>
      <c r="BH975" s="24">
        <v>45845.451973055555</v>
      </c>
      <c r="BI975" s="24">
        <v>45845.451973055555</v>
      </c>
      <c r="BJ975" s="24">
        <v>45845.452127581018</v>
      </c>
      <c r="BK975" s="24">
        <v>45845.452127581018</v>
      </c>
      <c r="BL975">
        <v>1</v>
      </c>
      <c r="BM975" s="24"/>
      <c r="BN975" s="24"/>
      <c r="BO975" s="24"/>
      <c r="BP975" s="24"/>
      <c r="BR975" s="24">
        <v>45859.334517407406</v>
      </c>
      <c r="BS975" s="24">
        <v>45859.334517407406</v>
      </c>
      <c r="BT975" s="24">
        <v>45859.334607766206</v>
      </c>
      <c r="BU975" s="24">
        <v>45859.334607766206</v>
      </c>
      <c r="BV975">
        <v>1</v>
      </c>
      <c r="BW975" s="24"/>
      <c r="BX975" s="24"/>
      <c r="BY975" s="24"/>
      <c r="BZ975" s="24"/>
      <c r="CB975" s="24"/>
      <c r="CC975" s="24"/>
      <c r="CE975" s="24">
        <v>45947.703364247682</v>
      </c>
      <c r="CF975" s="24">
        <v>45947.703364247682</v>
      </c>
      <c r="CG975">
        <v>1</v>
      </c>
      <c r="CH975" s="24"/>
      <c r="CI975" s="24"/>
      <c r="CJ975" s="24"/>
      <c r="CK975" s="24"/>
      <c r="DE975" s="24"/>
      <c r="DF975" s="24"/>
      <c r="DG975" s="24"/>
      <c r="DH975" s="24"/>
      <c r="DJ975" t="s">
        <v>149</v>
      </c>
      <c r="DK975" t="s">
        <v>149</v>
      </c>
      <c r="DM975">
        <v>103</v>
      </c>
      <c r="DN975">
        <v>103</v>
      </c>
      <c r="DQ975" t="s">
        <v>1001</v>
      </c>
      <c r="DR975" t="s">
        <v>149</v>
      </c>
      <c r="DS975" s="24">
        <v>46160.384426226854</v>
      </c>
    </row>
    <row r="976" spans="1:123" x14ac:dyDescent="0.3">
      <c r="A976" t="s">
        <v>1459</v>
      </c>
      <c r="D976" t="s">
        <v>225</v>
      </c>
      <c r="E976" s="24">
        <v>45833.510787037034</v>
      </c>
      <c r="G976" t="s">
        <v>90</v>
      </c>
      <c r="H976" t="s">
        <v>155</v>
      </c>
      <c r="I976" s="24"/>
      <c r="J976" s="24"/>
      <c r="K976" s="24"/>
      <c r="L976" s="24"/>
      <c r="N976" s="24"/>
      <c r="O976" s="24"/>
      <c r="P976" s="24"/>
      <c r="Q976" s="24"/>
      <c r="V976" s="24"/>
      <c r="W976" s="24"/>
      <c r="X976" s="24"/>
      <c r="Y976" s="24"/>
      <c r="AA976" s="24">
        <v>45849.422356539355</v>
      </c>
      <c r="AB976" s="24">
        <v>45849.422356539355</v>
      </c>
      <c r="AC976" s="24">
        <v>45853.556604027777</v>
      </c>
      <c r="AD976" s="24">
        <v>45853.556604027777</v>
      </c>
      <c r="AE976">
        <v>1</v>
      </c>
      <c r="AF976" s="24">
        <v>45853.556604027777</v>
      </c>
      <c r="AG976" s="24">
        <v>45853.556604027777</v>
      </c>
      <c r="AH976" s="24">
        <v>45856.405924918981</v>
      </c>
      <c r="AI976" s="24">
        <v>45856.405924918981</v>
      </c>
      <c r="AJ976">
        <v>1</v>
      </c>
      <c r="AK976" s="24">
        <v>45856.405924918981</v>
      </c>
      <c r="AL976" s="24">
        <v>45856.405924918981</v>
      </c>
      <c r="AM976" s="24">
        <v>45859.435575370371</v>
      </c>
      <c r="AN976" s="24">
        <v>45859.435575370371</v>
      </c>
      <c r="AO976">
        <v>1</v>
      </c>
      <c r="AP976" s="24"/>
      <c r="AQ976" s="24"/>
      <c r="AR976" s="24">
        <v>45847.489213703702</v>
      </c>
      <c r="AS976" s="24">
        <v>45847.489213703702</v>
      </c>
      <c r="AX976" s="24"/>
      <c r="AY976" s="24"/>
      <c r="AZ976" s="24"/>
      <c r="BA976" s="24"/>
      <c r="BC976" s="24">
        <v>45859.512051203703</v>
      </c>
      <c r="BD976" s="24">
        <v>45859.512051203703</v>
      </c>
      <c r="BE976" s="24">
        <v>45947.703365613423</v>
      </c>
      <c r="BF976" s="24">
        <v>45947.703365613423</v>
      </c>
      <c r="BG976">
        <v>1</v>
      </c>
      <c r="BH976" s="24">
        <v>45847.489213703702</v>
      </c>
      <c r="BI976" s="24">
        <v>45847.489213703702</v>
      </c>
      <c r="BJ976" s="24">
        <v>45849.422356539355</v>
      </c>
      <c r="BK976" s="24">
        <v>45849.422356539355</v>
      </c>
      <c r="BL976">
        <v>1</v>
      </c>
      <c r="BM976" s="24"/>
      <c r="BN976" s="24"/>
      <c r="BO976" s="24"/>
      <c r="BP976" s="24"/>
      <c r="BR976" s="24">
        <v>45859.435575370371</v>
      </c>
      <c r="BS976" s="24">
        <v>45859.435575370371</v>
      </c>
      <c r="BT976" s="24">
        <v>45859.512051203703</v>
      </c>
      <c r="BU976" s="24">
        <v>45859.512051203703</v>
      </c>
      <c r="BV976">
        <v>1</v>
      </c>
      <c r="BW976" s="24"/>
      <c r="BX976" s="24"/>
      <c r="BY976" s="24"/>
      <c r="BZ976" s="24"/>
      <c r="CB976" s="24"/>
      <c r="CC976" s="24"/>
      <c r="CE976" s="24">
        <v>45947.703365613423</v>
      </c>
      <c r="CF976" s="24">
        <v>45947.703365613423</v>
      </c>
      <c r="CG976">
        <v>1</v>
      </c>
      <c r="CH976" s="24"/>
      <c r="CI976" s="24"/>
      <c r="CJ976" s="24"/>
      <c r="CK976" s="24"/>
      <c r="DE976" s="24"/>
      <c r="DF976" s="24"/>
      <c r="DG976" s="24"/>
      <c r="DH976" s="24"/>
      <c r="DJ976" t="s">
        <v>149</v>
      </c>
      <c r="DK976" t="s">
        <v>149</v>
      </c>
      <c r="DM976">
        <v>101</v>
      </c>
      <c r="DN976">
        <v>99</v>
      </c>
      <c r="DQ976" t="s">
        <v>1001</v>
      </c>
      <c r="DR976" t="s">
        <v>149</v>
      </c>
      <c r="DS976" s="24">
        <v>46160.384426226854</v>
      </c>
    </row>
    <row r="977" spans="1:123" x14ac:dyDescent="0.3">
      <c r="A977" t="s">
        <v>1460</v>
      </c>
      <c r="D977" t="s">
        <v>225</v>
      </c>
      <c r="E977" s="24">
        <v>45833.508425925924</v>
      </c>
      <c r="G977" t="s">
        <v>90</v>
      </c>
      <c r="H977" t="s">
        <v>155</v>
      </c>
      <c r="I977" s="24"/>
      <c r="J977" s="24"/>
      <c r="K977" s="24"/>
      <c r="L977" s="24"/>
      <c r="N977" s="24"/>
      <c r="O977" s="24"/>
      <c r="P977" s="24"/>
      <c r="Q977" s="24"/>
      <c r="V977" s="24"/>
      <c r="W977" s="24"/>
      <c r="X977" s="24"/>
      <c r="Y977" s="24"/>
      <c r="AA977" s="24">
        <v>45840.822472615742</v>
      </c>
      <c r="AB977" s="24">
        <v>45840.822472615742</v>
      </c>
      <c r="AC977" s="24">
        <v>45845.435759386572</v>
      </c>
      <c r="AD977" s="24">
        <v>45845.435759386572</v>
      </c>
      <c r="AE977">
        <v>1</v>
      </c>
      <c r="AF977" s="24">
        <v>45845.435759386572</v>
      </c>
      <c r="AG977" s="24">
        <v>45845.435759386572</v>
      </c>
      <c r="AH977" s="24">
        <v>45847.394644907406</v>
      </c>
      <c r="AI977" s="24">
        <v>45847.394644907406</v>
      </c>
      <c r="AJ977">
        <v>1</v>
      </c>
      <c r="AK977" s="24">
        <v>45847.394644907406</v>
      </c>
      <c r="AL977" s="24">
        <v>45847.394644907406</v>
      </c>
      <c r="AM977" s="24">
        <v>45847.394677638891</v>
      </c>
      <c r="AN977" s="24">
        <v>45847.394677638891</v>
      </c>
      <c r="AO977">
        <v>1</v>
      </c>
      <c r="AP977" s="24"/>
      <c r="AQ977" s="24"/>
      <c r="AR977" s="24">
        <v>45840.822442719909</v>
      </c>
      <c r="AS977" s="24">
        <v>45840.822442719909</v>
      </c>
      <c r="AX977" s="24"/>
      <c r="AY977" s="24"/>
      <c r="AZ977" s="24"/>
      <c r="BA977" s="24"/>
      <c r="BC977" s="24">
        <v>45847.394795590277</v>
      </c>
      <c r="BD977" s="24">
        <v>45847.394795590277</v>
      </c>
      <c r="BE977" s="24">
        <v>45947.703365891204</v>
      </c>
      <c r="BF977" s="24">
        <v>45947.703365891204</v>
      </c>
      <c r="BG977">
        <v>1</v>
      </c>
      <c r="BH977" s="24">
        <v>45840.822442719909</v>
      </c>
      <c r="BI977" s="24">
        <v>45840.822442719909</v>
      </c>
      <c r="BJ977" s="24">
        <v>45840.822472615742</v>
      </c>
      <c r="BK977" s="24">
        <v>45840.822472615742</v>
      </c>
      <c r="BL977">
        <v>1</v>
      </c>
      <c r="BM977" s="24"/>
      <c r="BN977" s="24"/>
      <c r="BO977" s="24"/>
      <c r="BP977" s="24"/>
      <c r="BR977" s="24">
        <v>45847.394677638891</v>
      </c>
      <c r="BS977" s="24">
        <v>45847.394677638891</v>
      </c>
      <c r="BT977" s="24">
        <v>45847.394795590277</v>
      </c>
      <c r="BU977" s="24">
        <v>45847.394795590277</v>
      </c>
      <c r="BV977">
        <v>1</v>
      </c>
      <c r="BW977" s="24"/>
      <c r="BX977" s="24"/>
      <c r="BY977" s="24"/>
      <c r="BZ977" s="24"/>
      <c r="CB977" s="24"/>
      <c r="CC977" s="24"/>
      <c r="CE977" s="24">
        <v>45947.703365891204</v>
      </c>
      <c r="CF977" s="24">
        <v>45947.703365891204</v>
      </c>
      <c r="CG977">
        <v>1</v>
      </c>
      <c r="CH977" s="24"/>
      <c r="CI977" s="24"/>
      <c r="CJ977" s="24"/>
      <c r="CK977" s="24"/>
      <c r="DE977" s="24"/>
      <c r="DF977" s="24"/>
      <c r="DG977" s="24"/>
      <c r="DH977" s="24"/>
      <c r="DJ977" t="s">
        <v>149</v>
      </c>
      <c r="DK977" t="s">
        <v>149</v>
      </c>
      <c r="DM977">
        <v>107</v>
      </c>
      <c r="DN977">
        <v>107</v>
      </c>
      <c r="DQ977" t="s">
        <v>1001</v>
      </c>
      <c r="DR977" t="s">
        <v>149</v>
      </c>
      <c r="DS977" s="24">
        <v>46160.384426226854</v>
      </c>
    </row>
    <row r="978" spans="1:123" x14ac:dyDescent="0.3">
      <c r="A978" t="s">
        <v>1461</v>
      </c>
      <c r="D978" t="s">
        <v>223</v>
      </c>
      <c r="E978" s="24">
        <v>45833.46466435185</v>
      </c>
      <c r="G978" t="s">
        <v>90</v>
      </c>
      <c r="H978" t="s">
        <v>155</v>
      </c>
      <c r="I978" s="24"/>
      <c r="J978" s="24"/>
      <c r="K978" s="24"/>
      <c r="L978" s="24"/>
      <c r="N978" s="24"/>
      <c r="O978" s="24"/>
      <c r="P978" s="24"/>
      <c r="Q978" s="24"/>
      <c r="V978" s="24"/>
      <c r="W978" s="24"/>
      <c r="X978" s="24"/>
      <c r="Y978" s="24"/>
      <c r="AA978" s="24">
        <v>45846.51750065972</v>
      </c>
      <c r="AB978" s="24">
        <v>45846.51750065972</v>
      </c>
      <c r="AC978" s="24">
        <v>45846.525225532409</v>
      </c>
      <c r="AD978" s="24">
        <v>45846.525225532409</v>
      </c>
      <c r="AE978">
        <v>1</v>
      </c>
      <c r="AF978" s="24">
        <v>45846.525225532409</v>
      </c>
      <c r="AG978" s="24">
        <v>45846.525225532409</v>
      </c>
      <c r="AH978" s="24">
        <v>45846.525271354163</v>
      </c>
      <c r="AI978" s="24">
        <v>45846.525271354163</v>
      </c>
      <c r="AJ978">
        <v>1</v>
      </c>
      <c r="AK978" s="24"/>
      <c r="AL978" s="24"/>
      <c r="AM978" s="24"/>
      <c r="AN978" s="24"/>
      <c r="AP978" s="24"/>
      <c r="AQ978" s="24"/>
      <c r="AR978" s="24">
        <v>45846.51339630787</v>
      </c>
      <c r="AS978" s="24">
        <v>45846.51339630787</v>
      </c>
      <c r="AX978" s="24"/>
      <c r="AY978" s="24"/>
      <c r="AZ978" s="24"/>
      <c r="BA978" s="24"/>
      <c r="BC978" s="24"/>
      <c r="BD978" s="24"/>
      <c r="BE978" s="24"/>
      <c r="BF978" s="24"/>
      <c r="BH978" s="24">
        <v>45846.51339630787</v>
      </c>
      <c r="BI978" s="24">
        <v>45846.51339630787</v>
      </c>
      <c r="BJ978" s="24">
        <v>45846.51750065972</v>
      </c>
      <c r="BK978" s="24">
        <v>45846.51750065972</v>
      </c>
      <c r="BL978">
        <v>1</v>
      </c>
      <c r="BM978" s="24"/>
      <c r="BN978" s="24"/>
      <c r="BO978" s="24"/>
      <c r="BP978" s="24"/>
      <c r="BR978" s="24">
        <v>45846.525271354163</v>
      </c>
      <c r="BS978" s="24">
        <v>45846.525271354163</v>
      </c>
      <c r="BT978" s="24">
        <v>45846.52531611111</v>
      </c>
      <c r="BU978" s="24">
        <v>45846.52531611111</v>
      </c>
      <c r="BV978">
        <v>1</v>
      </c>
      <c r="BW978" s="24"/>
      <c r="BX978" s="24"/>
      <c r="BY978" s="24"/>
      <c r="BZ978" s="24"/>
      <c r="CB978" s="24"/>
      <c r="CC978" s="24"/>
      <c r="CE978" s="24">
        <v>45846.52531611111</v>
      </c>
      <c r="CF978" s="24">
        <v>45846.52531611111</v>
      </c>
      <c r="CG978">
        <v>1</v>
      </c>
      <c r="CH978" s="24"/>
      <c r="CI978" s="24"/>
      <c r="CJ978" s="24"/>
      <c r="CK978" s="24"/>
      <c r="DE978" s="24"/>
      <c r="DF978" s="24"/>
      <c r="DG978" s="24"/>
      <c r="DH978" s="24"/>
      <c r="DJ978" t="s">
        <v>149</v>
      </c>
      <c r="DK978" t="s">
        <v>149</v>
      </c>
      <c r="DM978">
        <v>1</v>
      </c>
      <c r="DN978">
        <v>1</v>
      </c>
      <c r="DQ978" t="s">
        <v>1001</v>
      </c>
      <c r="DR978" t="s">
        <v>149</v>
      </c>
      <c r="DS978" s="24">
        <v>46160.384426226854</v>
      </c>
    </row>
    <row r="979" spans="1:123" x14ac:dyDescent="0.3">
      <c r="A979" t="s">
        <v>1462</v>
      </c>
      <c r="D979" t="s">
        <v>223</v>
      </c>
      <c r="E979" s="24">
        <v>45833.401805555557</v>
      </c>
      <c r="G979" t="s">
        <v>90</v>
      </c>
      <c r="H979" t="s">
        <v>155</v>
      </c>
      <c r="I979" s="24"/>
      <c r="J979" s="24"/>
      <c r="K979" s="24"/>
      <c r="L979" s="24"/>
      <c r="N979" s="24"/>
      <c r="O979" s="24"/>
      <c r="P979" s="24"/>
      <c r="Q979" s="24"/>
      <c r="V979" s="24"/>
      <c r="W979" s="24"/>
      <c r="X979" s="24"/>
      <c r="Y979" s="24"/>
      <c r="AA979" s="24">
        <v>45834.369224270835</v>
      </c>
      <c r="AB979" s="24">
        <v>45834.369224270835</v>
      </c>
      <c r="AC979" s="24">
        <v>45835.370895</v>
      </c>
      <c r="AD979" s="24">
        <v>45835.370895</v>
      </c>
      <c r="AE979">
        <v>1</v>
      </c>
      <c r="AF979" s="24">
        <v>45835.370895</v>
      </c>
      <c r="AG979" s="24">
        <v>45835.370895</v>
      </c>
      <c r="AH979" s="24">
        <v>45835.374363807867</v>
      </c>
      <c r="AI979" s="24">
        <v>45835.374363807867</v>
      </c>
      <c r="AJ979">
        <v>1</v>
      </c>
      <c r="AK979" s="24"/>
      <c r="AL979" s="24"/>
      <c r="AM979" s="24"/>
      <c r="AN979" s="24"/>
      <c r="AP979" s="24"/>
      <c r="AQ979" s="24"/>
      <c r="AR979" s="24">
        <v>45833.402822743054</v>
      </c>
      <c r="AS979" s="24">
        <v>45833.402822743054</v>
      </c>
      <c r="AX979" s="24"/>
      <c r="AY979" s="24"/>
      <c r="AZ979" s="24"/>
      <c r="BA979" s="24"/>
      <c r="BC979" s="24"/>
      <c r="BD979" s="24"/>
      <c r="BE979" s="24"/>
      <c r="BF979" s="24"/>
      <c r="BH979" s="24">
        <v>45833.402822743054</v>
      </c>
      <c r="BI979" s="24">
        <v>45833.402822743054</v>
      </c>
      <c r="BJ979" s="24">
        <v>45834.369224270835</v>
      </c>
      <c r="BK979" s="24">
        <v>45834.369224270835</v>
      </c>
      <c r="BL979">
        <v>1</v>
      </c>
      <c r="BM979" s="24"/>
      <c r="BN979" s="24"/>
      <c r="BO979" s="24"/>
      <c r="BP979" s="24"/>
      <c r="BR979" s="24">
        <v>45835.374363807867</v>
      </c>
      <c r="BS979" s="24">
        <v>45835.374363807867</v>
      </c>
      <c r="BT979" s="24">
        <v>45838.510316655091</v>
      </c>
      <c r="BU979" s="24">
        <v>45838.510316655091</v>
      </c>
      <c r="BV979">
        <v>1</v>
      </c>
      <c r="BW979" s="24"/>
      <c r="BX979" s="24"/>
      <c r="BY979" s="24"/>
      <c r="BZ979" s="24"/>
      <c r="CB979" s="24"/>
      <c r="CC979" s="24"/>
      <c r="CE979" s="24">
        <v>45838.510316655091</v>
      </c>
      <c r="CF979" s="24">
        <v>45838.510316655091</v>
      </c>
      <c r="CG979">
        <v>1</v>
      </c>
      <c r="CH979" s="24"/>
      <c r="CI979" s="24"/>
      <c r="CJ979" s="24"/>
      <c r="CK979" s="24"/>
      <c r="DE979" s="24"/>
      <c r="DF979" s="24"/>
      <c r="DG979" s="24"/>
      <c r="DH979" s="24"/>
      <c r="DJ979" t="s">
        <v>149</v>
      </c>
      <c r="DK979" t="s">
        <v>149</v>
      </c>
      <c r="DM979">
        <v>6</v>
      </c>
      <c r="DN979">
        <v>5</v>
      </c>
      <c r="DQ979" t="s">
        <v>1001</v>
      </c>
      <c r="DR979" t="s">
        <v>149</v>
      </c>
      <c r="DS979" s="24">
        <v>46160.384426226854</v>
      </c>
    </row>
    <row r="980" spans="1:123" x14ac:dyDescent="0.3">
      <c r="A980" t="s">
        <v>1463</v>
      </c>
      <c r="D980" t="s">
        <v>223</v>
      </c>
      <c r="E980" s="24">
        <v>45833.392337962963</v>
      </c>
      <c r="G980" t="s">
        <v>90</v>
      </c>
      <c r="H980" t="s">
        <v>155</v>
      </c>
      <c r="I980" s="24"/>
      <c r="J980" s="24"/>
      <c r="K980" s="24"/>
      <c r="L980" s="24"/>
      <c r="N980" s="24"/>
      <c r="O980" s="24"/>
      <c r="P980" s="24"/>
      <c r="Q980" s="24"/>
      <c r="V980" s="24"/>
      <c r="W980" s="24"/>
      <c r="X980" s="24"/>
      <c r="Y980" s="24"/>
      <c r="AA980" s="24">
        <v>45847.389452094911</v>
      </c>
      <c r="AB980" s="24">
        <v>45847.389452094911</v>
      </c>
      <c r="AC980" s="24">
        <v>45847.389553263885</v>
      </c>
      <c r="AD980" s="24">
        <v>45847.389553263885</v>
      </c>
      <c r="AE980">
        <v>1</v>
      </c>
      <c r="AF980" s="24"/>
      <c r="AG980" s="24"/>
      <c r="AH980" s="24"/>
      <c r="AI980" s="24"/>
      <c r="AK980" s="24"/>
      <c r="AL980" s="24"/>
      <c r="AM980" s="24"/>
      <c r="AN980" s="24"/>
      <c r="AP980" s="24"/>
      <c r="AQ980" s="24"/>
      <c r="AR980" s="24">
        <v>45847.387846631944</v>
      </c>
      <c r="AS980" s="24">
        <v>45847.387846631944</v>
      </c>
      <c r="AX980" s="24"/>
      <c r="AY980" s="24"/>
      <c r="AZ980" s="24"/>
      <c r="BA980" s="24"/>
      <c r="BC980" s="24"/>
      <c r="BD980" s="24"/>
      <c r="BE980" s="24"/>
      <c r="BF980" s="24"/>
      <c r="BH980" s="24">
        <v>45847.387846631944</v>
      </c>
      <c r="BI980" s="24">
        <v>45847.387846631944</v>
      </c>
      <c r="BJ980" s="24">
        <v>45847.389452094911</v>
      </c>
      <c r="BK980" s="24">
        <v>45847.389452094911</v>
      </c>
      <c r="BL980">
        <v>1</v>
      </c>
      <c r="BM980" s="24"/>
      <c r="BN980" s="24"/>
      <c r="BO980" s="24"/>
      <c r="BP980" s="24"/>
      <c r="BR980" s="24"/>
      <c r="BS980" s="24"/>
      <c r="BT980" s="24"/>
      <c r="BU980" s="24"/>
      <c r="BW980" s="24"/>
      <c r="BX980" s="24"/>
      <c r="BY980" s="24"/>
      <c r="BZ980" s="24"/>
      <c r="CB980" s="24"/>
      <c r="CC980" s="24"/>
      <c r="CE980" s="24">
        <v>45847.389553263885</v>
      </c>
      <c r="CF980" s="24">
        <v>45847.389553263885</v>
      </c>
      <c r="CG980">
        <v>1</v>
      </c>
      <c r="CH980" s="24"/>
      <c r="CI980" s="24"/>
      <c r="CJ980" s="24"/>
      <c r="CK980" s="24"/>
      <c r="DE980" s="24"/>
      <c r="DF980" s="24"/>
      <c r="DG980" s="24"/>
      <c r="DH980" s="24"/>
      <c r="DJ980" t="s">
        <v>149</v>
      </c>
      <c r="DK980" t="s">
        <v>149</v>
      </c>
      <c r="DM980">
        <v>1</v>
      </c>
      <c r="DN980">
        <v>1</v>
      </c>
      <c r="DQ980" t="s">
        <v>1001</v>
      </c>
      <c r="DR980" t="s">
        <v>149</v>
      </c>
      <c r="DS980" s="24">
        <v>46160.384426226854</v>
      </c>
    </row>
    <row r="981" spans="1:123" x14ac:dyDescent="0.3">
      <c r="A981" t="s">
        <v>1464</v>
      </c>
      <c r="D981" t="s">
        <v>223</v>
      </c>
      <c r="E981" s="24">
        <v>45833.389479166668</v>
      </c>
      <c r="G981" t="s">
        <v>90</v>
      </c>
      <c r="H981" t="s">
        <v>155</v>
      </c>
      <c r="I981" s="24"/>
      <c r="J981" s="24"/>
      <c r="K981" s="24"/>
      <c r="L981" s="24"/>
      <c r="N981" s="24"/>
      <c r="O981" s="24"/>
      <c r="P981" s="24"/>
      <c r="Q981" s="24"/>
      <c r="V981" s="24"/>
      <c r="W981" s="24"/>
      <c r="X981" s="24"/>
      <c r="Y981" s="24"/>
      <c r="AA981" s="24">
        <v>45856.308597650466</v>
      </c>
      <c r="AB981" s="24">
        <v>45856.308597650466</v>
      </c>
      <c r="AC981" s="24">
        <v>45856.325846782405</v>
      </c>
      <c r="AD981" s="24">
        <v>45856.325846782405</v>
      </c>
      <c r="AE981">
        <v>1</v>
      </c>
      <c r="AF981" s="24">
        <v>45856.325846782405</v>
      </c>
      <c r="AG981" s="24">
        <v>45856.325846782405</v>
      </c>
      <c r="AH981" s="24">
        <v>45856.325886967592</v>
      </c>
      <c r="AI981" s="24">
        <v>45856.325886967592</v>
      </c>
      <c r="AJ981">
        <v>1</v>
      </c>
      <c r="AK981" s="24">
        <v>45856.325886967592</v>
      </c>
      <c r="AL981" s="24">
        <v>45856.325886967592</v>
      </c>
      <c r="AM981" s="24">
        <v>45856.326001261572</v>
      </c>
      <c r="AN981" s="24">
        <v>45856.326001261572</v>
      </c>
      <c r="AO981">
        <v>1</v>
      </c>
      <c r="AP981" s="24"/>
      <c r="AQ981" s="24"/>
      <c r="AR981" s="24">
        <v>45833.391342430557</v>
      </c>
      <c r="AS981" s="24">
        <v>45833.391342430557</v>
      </c>
      <c r="AX981" s="24"/>
      <c r="AY981" s="24"/>
      <c r="AZ981" s="24"/>
      <c r="BA981" s="24"/>
      <c r="BC981" s="24"/>
      <c r="BD981" s="24"/>
      <c r="BE981" s="24"/>
      <c r="BF981" s="24"/>
      <c r="BH981" s="24">
        <v>45833.391342430557</v>
      </c>
      <c r="BI981" s="24">
        <v>45833.391342430557</v>
      </c>
      <c r="BJ981" s="24">
        <v>45856.308597650466</v>
      </c>
      <c r="BK981" s="24">
        <v>45856.308597650466</v>
      </c>
      <c r="BL981">
        <v>1</v>
      </c>
      <c r="BM981" s="24"/>
      <c r="BN981" s="24"/>
      <c r="BO981" s="24"/>
      <c r="BP981" s="24"/>
      <c r="BR981" s="24">
        <v>45856.326001261572</v>
      </c>
      <c r="BS981" s="24">
        <v>45856.326001261572</v>
      </c>
      <c r="BT981" s="24">
        <v>45867.447038217593</v>
      </c>
      <c r="BU981" s="24">
        <v>45867.447038217593</v>
      </c>
      <c r="BV981">
        <v>1</v>
      </c>
      <c r="BW981" s="24"/>
      <c r="BX981" s="24"/>
      <c r="BY981" s="24"/>
      <c r="BZ981" s="24"/>
      <c r="CB981" s="24"/>
      <c r="CC981" s="24"/>
      <c r="CE981" s="24">
        <v>45867.447038217593</v>
      </c>
      <c r="CF981" s="24">
        <v>45867.447038217593</v>
      </c>
      <c r="CG981">
        <v>1</v>
      </c>
      <c r="CH981" s="24"/>
      <c r="CI981" s="24"/>
      <c r="CJ981" s="24"/>
      <c r="CK981" s="24"/>
      <c r="DE981" s="24"/>
      <c r="DF981" s="24"/>
      <c r="DG981" s="24"/>
      <c r="DH981" s="24"/>
      <c r="DJ981" t="s">
        <v>149</v>
      </c>
      <c r="DK981" t="s">
        <v>149</v>
      </c>
      <c r="DM981">
        <v>35</v>
      </c>
      <c r="DN981">
        <v>12</v>
      </c>
      <c r="DQ981" t="s">
        <v>1001</v>
      </c>
      <c r="DR981" t="s">
        <v>149</v>
      </c>
      <c r="DS981" s="24">
        <v>46160.384426226854</v>
      </c>
    </row>
    <row r="982" spans="1:123" x14ac:dyDescent="0.3">
      <c r="A982" t="s">
        <v>1465</v>
      </c>
      <c r="D982" t="s">
        <v>225</v>
      </c>
      <c r="E982" s="24">
        <v>45832.611284722225</v>
      </c>
      <c r="G982" t="s">
        <v>90</v>
      </c>
      <c r="H982" t="s">
        <v>155</v>
      </c>
      <c r="I982" s="24"/>
      <c r="J982" s="24"/>
      <c r="K982" s="24"/>
      <c r="L982" s="24"/>
      <c r="N982" s="24"/>
      <c r="O982" s="24"/>
      <c r="P982" s="24"/>
      <c r="Q982" s="24"/>
      <c r="V982" s="24"/>
      <c r="W982" s="24"/>
      <c r="X982" s="24"/>
      <c r="Y982" s="24"/>
      <c r="AA982" s="24">
        <v>45834.322922974534</v>
      </c>
      <c r="AB982" s="24">
        <v>45834.322922974534</v>
      </c>
      <c r="AC982" s="24">
        <v>45834.333553425924</v>
      </c>
      <c r="AD982" s="24">
        <v>45834.333553425924</v>
      </c>
      <c r="AE982">
        <v>1</v>
      </c>
      <c r="AF982" s="24">
        <v>45834.333553425924</v>
      </c>
      <c r="AG982" s="24">
        <v>45834.333553425924</v>
      </c>
      <c r="AH982" s="24">
        <v>45834.458926574072</v>
      </c>
      <c r="AI982" s="24">
        <v>45834.458926574072</v>
      </c>
      <c r="AJ982">
        <v>1</v>
      </c>
      <c r="AK982" s="24">
        <v>45834.458926574072</v>
      </c>
      <c r="AL982" s="24">
        <v>45834.458926574072</v>
      </c>
      <c r="AM982" s="24">
        <v>45834.461669074073</v>
      </c>
      <c r="AN982" s="24">
        <v>45834.461669074073</v>
      </c>
      <c r="AO982">
        <v>1</v>
      </c>
      <c r="AP982" s="24"/>
      <c r="AQ982" s="24"/>
      <c r="AR982" s="24">
        <v>45833.400253831016</v>
      </c>
      <c r="AS982" s="24">
        <v>45833.400253831016</v>
      </c>
      <c r="AX982" s="24"/>
      <c r="AY982" s="24"/>
      <c r="AZ982" s="24"/>
      <c r="BA982" s="24"/>
      <c r="BC982" s="24">
        <v>45835.386871111114</v>
      </c>
      <c r="BD982" s="24">
        <v>45835.386871111114</v>
      </c>
      <c r="BE982" s="24">
        <v>45849.622942534719</v>
      </c>
      <c r="BF982" s="24">
        <v>45849.622942534719</v>
      </c>
      <c r="BG982">
        <v>1</v>
      </c>
      <c r="BH982" s="24">
        <v>45833.400253831016</v>
      </c>
      <c r="BI982" s="24">
        <v>45833.400253831016</v>
      </c>
      <c r="BJ982" s="24">
        <v>45834.322922974534</v>
      </c>
      <c r="BK982" s="24">
        <v>45834.322922974534</v>
      </c>
      <c r="BL982">
        <v>1</v>
      </c>
      <c r="BM982" s="24"/>
      <c r="BN982" s="24"/>
      <c r="BO982" s="24"/>
      <c r="BP982" s="24"/>
      <c r="BR982" s="24">
        <v>45834.461669074073</v>
      </c>
      <c r="BS982" s="24">
        <v>45834.461669074073</v>
      </c>
      <c r="BT982" s="24">
        <v>45835.386871111114</v>
      </c>
      <c r="BU982" s="24">
        <v>45835.386871111114</v>
      </c>
      <c r="BV982">
        <v>1</v>
      </c>
      <c r="BW982" s="24"/>
      <c r="BX982" s="24"/>
      <c r="BY982" s="24"/>
      <c r="BZ982" s="24"/>
      <c r="CB982" s="24"/>
      <c r="CC982" s="24"/>
      <c r="CE982" s="24">
        <v>45849.622942534719</v>
      </c>
      <c r="CF982" s="24">
        <v>45849.622942534719</v>
      </c>
      <c r="CG982">
        <v>1</v>
      </c>
      <c r="CH982" s="24"/>
      <c r="CI982" s="24"/>
      <c r="CJ982" s="24"/>
      <c r="CK982" s="24"/>
      <c r="DE982" s="24"/>
      <c r="DF982" s="24"/>
      <c r="DG982" s="24"/>
      <c r="DH982" s="24"/>
      <c r="DJ982" t="s">
        <v>149</v>
      </c>
      <c r="DK982" t="s">
        <v>149</v>
      </c>
      <c r="DM982">
        <v>17</v>
      </c>
      <c r="DN982">
        <v>16</v>
      </c>
      <c r="DQ982" t="s">
        <v>1001</v>
      </c>
      <c r="DR982" t="s">
        <v>149</v>
      </c>
      <c r="DS982" s="24">
        <v>46160.384426226854</v>
      </c>
    </row>
    <row r="983" spans="1:123" x14ac:dyDescent="0.3">
      <c r="A983" t="s">
        <v>1466</v>
      </c>
      <c r="D983" t="s">
        <v>225</v>
      </c>
      <c r="E983" s="24">
        <v>45832.392337962963</v>
      </c>
      <c r="G983" t="s">
        <v>90</v>
      </c>
      <c r="H983" t="s">
        <v>155</v>
      </c>
      <c r="I983" s="24"/>
      <c r="J983" s="24"/>
      <c r="K983" s="24"/>
      <c r="L983" s="24"/>
      <c r="N983" s="24"/>
      <c r="O983" s="24"/>
      <c r="P983" s="24"/>
      <c r="Q983" s="24"/>
      <c r="V983" s="24"/>
      <c r="W983" s="24"/>
      <c r="X983" s="24"/>
      <c r="Y983" s="24"/>
      <c r="AA983" s="24">
        <v>45832.694264756945</v>
      </c>
      <c r="AB983" s="24">
        <v>45832.694264756945</v>
      </c>
      <c r="AC983" s="24">
        <v>45832.695419756943</v>
      </c>
      <c r="AD983" s="24">
        <v>45832.695419756943</v>
      </c>
      <c r="AE983">
        <v>1</v>
      </c>
      <c r="AF983" s="24"/>
      <c r="AG983" s="24"/>
      <c r="AH983" s="24"/>
      <c r="AI983" s="24"/>
      <c r="AK983" s="24">
        <v>45832.695419756943</v>
      </c>
      <c r="AL983" s="24">
        <v>45832.695419756943</v>
      </c>
      <c r="AM983" s="24">
        <v>45833.383557094909</v>
      </c>
      <c r="AN983" s="24">
        <v>45833.383557094909</v>
      </c>
      <c r="AO983">
        <v>1</v>
      </c>
      <c r="AP983" s="24"/>
      <c r="AQ983" s="24"/>
      <c r="AR983" s="24">
        <v>45832.664652361113</v>
      </c>
      <c r="AS983" s="24">
        <v>45832.664652361113</v>
      </c>
      <c r="AX983" s="24"/>
      <c r="AY983" s="24"/>
      <c r="AZ983" s="24"/>
      <c r="BA983" s="24"/>
      <c r="BC983" s="24">
        <v>45833.383636469909</v>
      </c>
      <c r="BD983" s="24">
        <v>45833.383636469909</v>
      </c>
      <c r="BE983" s="24">
        <v>45838.697728472223</v>
      </c>
      <c r="BF983" s="24">
        <v>45838.697728472223</v>
      </c>
      <c r="BG983">
        <v>1</v>
      </c>
      <c r="BH983" s="24">
        <v>45832.664652361113</v>
      </c>
      <c r="BI983" s="24">
        <v>45832.664652361113</v>
      </c>
      <c r="BJ983" s="24">
        <v>45832.694264756945</v>
      </c>
      <c r="BK983" s="24">
        <v>45832.694264756945</v>
      </c>
      <c r="BL983">
        <v>1</v>
      </c>
      <c r="BM983" s="24"/>
      <c r="BN983" s="24"/>
      <c r="BO983" s="24"/>
      <c r="BP983" s="24"/>
      <c r="BR983" s="24">
        <v>45833.383557094909</v>
      </c>
      <c r="BS983" s="24">
        <v>45833.383557094909</v>
      </c>
      <c r="BT983" s="24">
        <v>45833.383636469909</v>
      </c>
      <c r="BU983" s="24">
        <v>45833.383636469909</v>
      </c>
      <c r="BV983">
        <v>1</v>
      </c>
      <c r="BW983" s="24"/>
      <c r="BX983" s="24"/>
      <c r="BY983" s="24"/>
      <c r="BZ983" s="24"/>
      <c r="CB983" s="24"/>
      <c r="CC983" s="24"/>
      <c r="CE983" s="24">
        <v>45838.697728472223</v>
      </c>
      <c r="CF983" s="24">
        <v>45838.697728472223</v>
      </c>
      <c r="CG983">
        <v>1</v>
      </c>
      <c r="CH983" s="24"/>
      <c r="CI983" s="24"/>
      <c r="CJ983" s="24"/>
      <c r="CK983" s="24"/>
      <c r="DE983" s="24"/>
      <c r="DF983" s="24"/>
      <c r="DG983" s="24"/>
      <c r="DH983" s="24"/>
      <c r="DJ983" t="s">
        <v>149</v>
      </c>
      <c r="DK983" t="s">
        <v>149</v>
      </c>
      <c r="DM983">
        <v>7</v>
      </c>
      <c r="DN983">
        <v>7</v>
      </c>
      <c r="DQ983" t="s">
        <v>1001</v>
      </c>
      <c r="DR983" t="s">
        <v>149</v>
      </c>
      <c r="DS983" s="24">
        <v>46160.384426226854</v>
      </c>
    </row>
    <row r="984" spans="1:123" x14ac:dyDescent="0.3">
      <c r="A984" t="s">
        <v>1467</v>
      </c>
      <c r="D984" t="s">
        <v>225</v>
      </c>
      <c r="E984" s="24">
        <v>45831.469826388886</v>
      </c>
      <c r="G984" t="s">
        <v>90</v>
      </c>
      <c r="H984" t="s">
        <v>155</v>
      </c>
      <c r="I984" s="24"/>
      <c r="J984" s="24"/>
      <c r="K984" s="24"/>
      <c r="L984" s="24"/>
      <c r="N984" s="24"/>
      <c r="O984" s="24"/>
      <c r="P984" s="24"/>
      <c r="Q984" s="24"/>
      <c r="V984" s="24"/>
      <c r="W984" s="24"/>
      <c r="X984" s="24"/>
      <c r="Y984" s="24"/>
      <c r="AA984" s="24">
        <v>45835.399790798612</v>
      </c>
      <c r="AB984" s="24">
        <v>45835.399790798612</v>
      </c>
      <c r="AC984" s="24">
        <v>45835.555441898148</v>
      </c>
      <c r="AD984" s="24">
        <v>45835.555441898148</v>
      </c>
      <c r="AE984">
        <v>1</v>
      </c>
      <c r="AF984" s="24">
        <v>45835.555441898148</v>
      </c>
      <c r="AG984" s="24">
        <v>45835.555441898148</v>
      </c>
      <c r="AH984" s="24">
        <v>45849.434827060184</v>
      </c>
      <c r="AI984" s="24">
        <v>45849.434827060184</v>
      </c>
      <c r="AJ984">
        <v>1</v>
      </c>
      <c r="AK984" s="24">
        <v>45849.434827060184</v>
      </c>
      <c r="AL984" s="24">
        <v>45849.434827060184</v>
      </c>
      <c r="AM984" s="24">
        <v>45859.32629996528</v>
      </c>
      <c r="AN984" s="24">
        <v>45859.32629996528</v>
      </c>
      <c r="AO984">
        <v>1</v>
      </c>
      <c r="AP984" s="24"/>
      <c r="AQ984" s="24"/>
      <c r="AR984" s="24">
        <v>45835.399682499999</v>
      </c>
      <c r="AS984" s="24">
        <v>45835.399682499999</v>
      </c>
      <c r="AX984" s="24"/>
      <c r="AY984" s="24"/>
      <c r="AZ984" s="24"/>
      <c r="BA984" s="24"/>
      <c r="BC984" s="24">
        <v>45859.326433877315</v>
      </c>
      <c r="BD984" s="24">
        <v>45859.326433877315</v>
      </c>
      <c r="BE984" s="24">
        <v>45947.703365763889</v>
      </c>
      <c r="BF984" s="24">
        <v>45947.703365763889</v>
      </c>
      <c r="BG984">
        <v>1</v>
      </c>
      <c r="BH984" s="24">
        <v>45835.399682499999</v>
      </c>
      <c r="BI984" s="24">
        <v>45835.399682499999</v>
      </c>
      <c r="BJ984" s="24">
        <v>45835.399790798612</v>
      </c>
      <c r="BK984" s="24">
        <v>45835.399790798612</v>
      </c>
      <c r="BL984">
        <v>1</v>
      </c>
      <c r="BM984" s="24"/>
      <c r="BN984" s="24"/>
      <c r="BO984" s="24"/>
      <c r="BP984" s="24"/>
      <c r="BR984" s="24">
        <v>45859.32629996528</v>
      </c>
      <c r="BS984" s="24">
        <v>45859.32629996528</v>
      </c>
      <c r="BT984" s="24">
        <v>45859.326433877315</v>
      </c>
      <c r="BU984" s="24">
        <v>45859.326433877315</v>
      </c>
      <c r="BV984">
        <v>1</v>
      </c>
      <c r="BW984" s="24"/>
      <c r="BX984" s="24"/>
      <c r="BY984" s="24"/>
      <c r="BZ984" s="24"/>
      <c r="CB984" s="24"/>
      <c r="CC984" s="24"/>
      <c r="CE984" s="24">
        <v>45947.703365763889</v>
      </c>
      <c r="CF984" s="24">
        <v>45947.703365763889</v>
      </c>
      <c r="CG984">
        <v>1</v>
      </c>
      <c r="CH984" s="24"/>
      <c r="CI984" s="24"/>
      <c r="CJ984" s="24"/>
      <c r="CK984" s="24"/>
      <c r="DE984" s="24"/>
      <c r="DF984" s="24"/>
      <c r="DG984" s="24"/>
      <c r="DH984" s="24"/>
      <c r="DJ984" t="s">
        <v>149</v>
      </c>
      <c r="DK984" t="s">
        <v>149</v>
      </c>
      <c r="DM984">
        <v>113</v>
      </c>
      <c r="DN984">
        <v>113</v>
      </c>
      <c r="DQ984" t="s">
        <v>1001</v>
      </c>
      <c r="DR984" t="s">
        <v>149</v>
      </c>
      <c r="DS984" s="24">
        <v>46160.384426226854</v>
      </c>
    </row>
    <row r="985" spans="1:123" x14ac:dyDescent="0.3">
      <c r="A985" t="s">
        <v>1468</v>
      </c>
      <c r="D985" t="s">
        <v>225</v>
      </c>
      <c r="E985" s="24">
        <v>45831.406469907408</v>
      </c>
      <c r="G985" t="s">
        <v>90</v>
      </c>
      <c r="H985" t="s">
        <v>155</v>
      </c>
      <c r="I985" s="24"/>
      <c r="J985" s="24"/>
      <c r="K985" s="24"/>
      <c r="L985" s="24"/>
      <c r="N985" s="24"/>
      <c r="O985" s="24"/>
      <c r="P985" s="24"/>
      <c r="Q985" s="24"/>
      <c r="V985" s="24"/>
      <c r="W985" s="24"/>
      <c r="X985" s="24"/>
      <c r="Y985" s="24"/>
      <c r="AA985" s="24">
        <v>45832.293130196762</v>
      </c>
      <c r="AB985" s="24">
        <v>45832.293130196762</v>
      </c>
      <c r="AC985" s="24">
        <v>45832.434333715275</v>
      </c>
      <c r="AD985" s="24">
        <v>45832.434333715275</v>
      </c>
      <c r="AE985">
        <v>1</v>
      </c>
      <c r="AF985" s="24">
        <v>45832.434333715275</v>
      </c>
      <c r="AG985" s="24">
        <v>45832.434333715275</v>
      </c>
      <c r="AH985" s="24">
        <v>45832.434374652781</v>
      </c>
      <c r="AI985" s="24">
        <v>45832.434374652781</v>
      </c>
      <c r="AJ985">
        <v>1</v>
      </c>
      <c r="AK985" s="24">
        <v>45832.434374652781</v>
      </c>
      <c r="AL985" s="24">
        <v>45832.434374652781</v>
      </c>
      <c r="AM985" s="24">
        <v>45832.434411238428</v>
      </c>
      <c r="AN985" s="24">
        <v>45832.434411238428</v>
      </c>
      <c r="AO985">
        <v>1</v>
      </c>
      <c r="AP985" s="24"/>
      <c r="AQ985" s="24"/>
      <c r="AR985" s="24">
        <v>45832.293030069442</v>
      </c>
      <c r="AS985" s="24">
        <v>45832.293030069442</v>
      </c>
      <c r="AX985" s="24"/>
      <c r="AY985" s="24"/>
      <c r="AZ985" s="24"/>
      <c r="BA985" s="24"/>
      <c r="BC985" s="24">
        <v>45838.69709577546</v>
      </c>
      <c r="BD985" s="24">
        <v>45838.69709577546</v>
      </c>
      <c r="BE985" s="24">
        <v>45838.697423819445</v>
      </c>
      <c r="BF985" s="24">
        <v>45838.697423819445</v>
      </c>
      <c r="BG985">
        <v>1</v>
      </c>
      <c r="BH985" s="24">
        <v>45832.293030069442</v>
      </c>
      <c r="BI985" s="24">
        <v>45832.293030069442</v>
      </c>
      <c r="BJ985" s="24">
        <v>45832.293130196762</v>
      </c>
      <c r="BK985" s="24">
        <v>45832.293130196762</v>
      </c>
      <c r="BL985">
        <v>1</v>
      </c>
      <c r="BM985" s="24"/>
      <c r="BN985" s="24"/>
      <c r="BO985" s="24"/>
      <c r="BP985" s="24"/>
      <c r="BR985" s="24">
        <v>45832.434411238428</v>
      </c>
      <c r="BS985" s="24">
        <v>45832.434411238428</v>
      </c>
      <c r="BT985" s="24">
        <v>45838.69709577546</v>
      </c>
      <c r="BU985" s="24">
        <v>45838.69709577546</v>
      </c>
      <c r="BV985">
        <v>1</v>
      </c>
      <c r="BW985" s="24"/>
      <c r="BX985" s="24"/>
      <c r="BY985" s="24"/>
      <c r="BZ985" s="24"/>
      <c r="CB985" s="24"/>
      <c r="CC985" s="24"/>
      <c r="CE985" s="24">
        <v>45838.697423819445</v>
      </c>
      <c r="CF985" s="24">
        <v>45838.697423819445</v>
      </c>
      <c r="CG985">
        <v>1</v>
      </c>
      <c r="CH985" s="24"/>
      <c r="CI985" s="24"/>
      <c r="CJ985" s="24"/>
      <c r="CK985" s="24"/>
      <c r="DE985" s="24"/>
      <c r="DF985" s="24"/>
      <c r="DG985" s="24"/>
      <c r="DH985" s="24"/>
      <c r="DJ985" t="s">
        <v>149</v>
      </c>
      <c r="DK985" t="s">
        <v>149</v>
      </c>
      <c r="DM985">
        <v>7</v>
      </c>
      <c r="DN985">
        <v>7</v>
      </c>
      <c r="DQ985" t="s">
        <v>1001</v>
      </c>
      <c r="DR985" t="s">
        <v>149</v>
      </c>
      <c r="DS985" s="24">
        <v>46160.384426226854</v>
      </c>
    </row>
    <row r="986" spans="1:123" x14ac:dyDescent="0.3">
      <c r="A986" t="s">
        <v>1469</v>
      </c>
      <c r="D986" t="s">
        <v>223</v>
      </c>
      <c r="E986" s="24">
        <v>45825.344317129631</v>
      </c>
      <c r="G986" t="s">
        <v>90</v>
      </c>
      <c r="H986" t="s">
        <v>155</v>
      </c>
      <c r="I986" s="24"/>
      <c r="J986" s="24"/>
      <c r="K986" s="24"/>
      <c r="L986" s="24"/>
      <c r="N986" s="24"/>
      <c r="O986" s="24"/>
      <c r="P986" s="24"/>
      <c r="Q986" s="24"/>
      <c r="V986" s="24"/>
      <c r="W986" s="24"/>
      <c r="X986" s="24"/>
      <c r="Y986" s="24"/>
      <c r="AA986" s="24">
        <v>45845.386536689817</v>
      </c>
      <c r="AB986" s="24">
        <v>45845.386536689817</v>
      </c>
      <c r="AC986" s="24">
        <v>45845.386593020834</v>
      </c>
      <c r="AD986" s="24">
        <v>45845.386593020834</v>
      </c>
      <c r="AE986">
        <v>1</v>
      </c>
      <c r="AF986" s="24">
        <v>45845.386593020834</v>
      </c>
      <c r="AG986" s="24">
        <v>45845.386593020834</v>
      </c>
      <c r="AH986" s="24">
        <v>45846.491673379627</v>
      </c>
      <c r="AI986" s="24">
        <v>45846.491673379627</v>
      </c>
      <c r="AJ986">
        <v>1</v>
      </c>
      <c r="AK986" s="24"/>
      <c r="AL986" s="24"/>
      <c r="AM986" s="24"/>
      <c r="AN986" s="24"/>
      <c r="AP986" s="24"/>
      <c r="AQ986" s="24"/>
      <c r="AR986" s="24">
        <v>45845.368243275465</v>
      </c>
      <c r="AS986" s="24">
        <v>45845.368243275465</v>
      </c>
      <c r="AX986" s="24"/>
      <c r="AY986" s="24"/>
      <c r="AZ986" s="24"/>
      <c r="BA986" s="24"/>
      <c r="BC986" s="24"/>
      <c r="BD986" s="24"/>
      <c r="BE986" s="24"/>
      <c r="BF986" s="24"/>
      <c r="BH986" s="24">
        <v>45845.368243275465</v>
      </c>
      <c r="BI986" s="24">
        <v>45845.368243275465</v>
      </c>
      <c r="BJ986" s="24">
        <v>45845.386536689817</v>
      </c>
      <c r="BK986" s="24">
        <v>45845.386536689817</v>
      </c>
      <c r="BL986">
        <v>1</v>
      </c>
      <c r="BM986" s="24"/>
      <c r="BN986" s="24"/>
      <c r="BO986" s="24"/>
      <c r="BP986" s="24"/>
      <c r="BR986" s="24">
        <v>45846.491673379627</v>
      </c>
      <c r="BS986" s="24">
        <v>45846.491673379627</v>
      </c>
      <c r="BT986" s="24">
        <v>45846.491728217596</v>
      </c>
      <c r="BU986" s="24">
        <v>45846.491728217596</v>
      </c>
      <c r="BV986">
        <v>1</v>
      </c>
      <c r="BW986" s="24"/>
      <c r="BX986" s="24"/>
      <c r="BY986" s="24"/>
      <c r="BZ986" s="24"/>
      <c r="CB986" s="24"/>
      <c r="CC986" s="24"/>
      <c r="CE986" s="24">
        <v>45846.491728217596</v>
      </c>
      <c r="CF986" s="24">
        <v>45846.491728217596</v>
      </c>
      <c r="CG986">
        <v>1</v>
      </c>
      <c r="CH986" s="24"/>
      <c r="CI986" s="24"/>
      <c r="CJ986" s="24"/>
      <c r="CK986" s="24"/>
      <c r="DE986" s="24"/>
      <c r="DF986" s="24"/>
      <c r="DG986" s="24"/>
      <c r="DH986" s="24"/>
      <c r="DJ986" t="s">
        <v>149</v>
      </c>
      <c r="DK986" t="s">
        <v>149</v>
      </c>
      <c r="DM986">
        <v>2</v>
      </c>
      <c r="DN986">
        <v>2</v>
      </c>
      <c r="DQ986" t="s">
        <v>1001</v>
      </c>
      <c r="DR986" t="s">
        <v>149</v>
      </c>
      <c r="DS986" s="24">
        <v>46160.384426226854</v>
      </c>
    </row>
    <row r="987" spans="1:123" x14ac:dyDescent="0.3">
      <c r="A987" t="s">
        <v>1470</v>
      </c>
      <c r="D987" t="s">
        <v>225</v>
      </c>
      <c r="E987" s="24">
        <v>45821.448599537034</v>
      </c>
      <c r="G987" t="s">
        <v>90</v>
      </c>
      <c r="H987" t="s">
        <v>155</v>
      </c>
      <c r="I987" s="24"/>
      <c r="J987" s="24"/>
      <c r="K987" s="24"/>
      <c r="L987" s="24"/>
      <c r="N987" s="24"/>
      <c r="O987" s="24"/>
      <c r="P987" s="24"/>
      <c r="Q987" s="24"/>
      <c r="V987" s="24"/>
      <c r="W987" s="24"/>
      <c r="X987" s="24"/>
      <c r="Y987" s="24"/>
      <c r="AA987" s="24">
        <v>46050.396048414354</v>
      </c>
      <c r="AB987" s="24">
        <v>46050.396048414354</v>
      </c>
      <c r="AC987" s="24">
        <v>46052.486723969909</v>
      </c>
      <c r="AD987" s="24">
        <v>46052.486723969909</v>
      </c>
      <c r="AE987">
        <v>1</v>
      </c>
      <c r="AF987" s="24">
        <v>46052.486723969909</v>
      </c>
      <c r="AG987" s="24">
        <v>46052.486723969909</v>
      </c>
      <c r="AH987" s="24">
        <v>46056.615904664352</v>
      </c>
      <c r="AI987" s="24">
        <v>46056.615904664352</v>
      </c>
      <c r="AJ987">
        <v>1</v>
      </c>
      <c r="AK987" s="24">
        <v>46056.615904664352</v>
      </c>
      <c r="AL987" s="24">
        <v>46056.615904664352</v>
      </c>
      <c r="AM987" s="24">
        <v>46057.429603483797</v>
      </c>
      <c r="AN987" s="24">
        <v>46057.429603483797</v>
      </c>
      <c r="AO987">
        <v>1</v>
      </c>
      <c r="AP987" s="24"/>
      <c r="AQ987" s="24"/>
      <c r="AR987" s="24">
        <v>45847.478268055558</v>
      </c>
      <c r="AS987" s="24">
        <v>45847.478268055558</v>
      </c>
      <c r="AX987" s="24"/>
      <c r="AY987" s="24"/>
      <c r="AZ987" s="24"/>
      <c r="BA987" s="24"/>
      <c r="BC987" s="24">
        <v>46057.429743854169</v>
      </c>
      <c r="BD987" s="24">
        <v>46057.429743854169</v>
      </c>
      <c r="BE987" s="24">
        <v>46057.983993923612</v>
      </c>
      <c r="BF987" s="24">
        <v>46057.983993923612</v>
      </c>
      <c r="BG987">
        <v>1</v>
      </c>
      <c r="BH987" s="24">
        <v>45847.478268055558</v>
      </c>
      <c r="BI987" s="24">
        <v>45847.478268055558</v>
      </c>
      <c r="BJ987" s="24">
        <v>46050.396048414354</v>
      </c>
      <c r="BK987" s="24">
        <v>46050.396048414354</v>
      </c>
      <c r="BL987">
        <v>1</v>
      </c>
      <c r="BM987" s="24"/>
      <c r="BN987" s="24"/>
      <c r="BO987" s="24"/>
      <c r="BP987" s="24"/>
      <c r="BR987" s="24">
        <v>46057.429603483797</v>
      </c>
      <c r="BS987" s="24">
        <v>46057.429603483797</v>
      </c>
      <c r="BT987" s="24">
        <v>46057.429743854169</v>
      </c>
      <c r="BU987" s="24">
        <v>46057.429743854169</v>
      </c>
      <c r="BV987">
        <v>1</v>
      </c>
      <c r="BW987" s="24"/>
      <c r="BX987" s="24"/>
      <c r="BY987" s="24"/>
      <c r="BZ987" s="24"/>
      <c r="CB987" s="24"/>
      <c r="CC987" s="24"/>
      <c r="CE987" s="24">
        <v>46057.983993923612</v>
      </c>
      <c r="CF987" s="24">
        <v>46057.983993923612</v>
      </c>
      <c r="CG987">
        <v>1</v>
      </c>
      <c r="CH987" s="24"/>
      <c r="CI987" s="24"/>
      <c r="CJ987" s="24"/>
      <c r="CK987" s="24"/>
      <c r="DE987" s="24"/>
      <c r="DF987" s="24"/>
      <c r="DG987" s="24"/>
      <c r="DH987" s="24"/>
      <c r="DJ987" t="s">
        <v>149</v>
      </c>
      <c r="DK987" t="s">
        <v>149</v>
      </c>
      <c r="DM987">
        <v>211</v>
      </c>
      <c r="DN987">
        <v>8</v>
      </c>
      <c r="DQ987" t="s">
        <v>1001</v>
      </c>
      <c r="DR987" t="s">
        <v>149</v>
      </c>
      <c r="DS987" s="24">
        <v>46160.384426226854</v>
      </c>
    </row>
    <row r="988" spans="1:123" x14ac:dyDescent="0.3">
      <c r="A988" t="s">
        <v>1471</v>
      </c>
      <c r="D988" t="s">
        <v>223</v>
      </c>
      <c r="E988" s="24">
        <v>45819.470277777778</v>
      </c>
      <c r="G988" t="s">
        <v>102</v>
      </c>
      <c r="H988" t="s">
        <v>154</v>
      </c>
      <c r="I988" s="24"/>
      <c r="J988" s="24"/>
      <c r="K988" s="24"/>
      <c r="L988" s="24"/>
      <c r="N988" s="24"/>
      <c r="O988" s="24"/>
      <c r="P988" s="24"/>
      <c r="Q988" s="24"/>
      <c r="V988" s="24"/>
      <c r="W988" s="24"/>
      <c r="X988" s="24"/>
      <c r="Y988" s="24"/>
      <c r="AA988" s="24"/>
      <c r="AB988" s="24"/>
      <c r="AC988" s="24"/>
      <c r="AD988" s="24"/>
      <c r="AF988" s="24"/>
      <c r="AG988" s="24"/>
      <c r="AH988" s="24"/>
      <c r="AI988" s="24"/>
      <c r="AK988" s="24"/>
      <c r="AL988" s="24"/>
      <c r="AM988" s="24"/>
      <c r="AN988" s="24"/>
      <c r="AP988" s="24"/>
      <c r="AQ988" s="24"/>
      <c r="AR988" s="24"/>
      <c r="AS988" s="24"/>
      <c r="AX988" s="24"/>
      <c r="AY988" s="24"/>
      <c r="AZ988" s="24"/>
      <c r="BA988" s="24"/>
      <c r="BC988" s="24"/>
      <c r="BD988" s="24"/>
      <c r="BE988" s="24"/>
      <c r="BF988" s="24"/>
      <c r="BH988" s="24"/>
      <c r="BI988" s="24"/>
      <c r="BJ988" s="24"/>
      <c r="BK988" s="24"/>
      <c r="BM988" s="24"/>
      <c r="BN988" s="24"/>
      <c r="BO988" s="24"/>
      <c r="BP988" s="24"/>
      <c r="BR988" s="24"/>
      <c r="BS988" s="24"/>
      <c r="BT988" s="24"/>
      <c r="BU988" s="24"/>
      <c r="BW988" s="24"/>
      <c r="BX988" s="24"/>
      <c r="BY988" s="24"/>
      <c r="BZ988" s="24"/>
      <c r="CB988" s="24"/>
      <c r="CC988" s="24"/>
      <c r="CE988" s="24"/>
      <c r="CF988" s="24"/>
      <c r="CH988" s="24"/>
      <c r="CI988" s="24"/>
      <c r="CJ988" s="24"/>
      <c r="CK988" s="24"/>
      <c r="DE988" s="24"/>
      <c r="DF988" s="24"/>
      <c r="DG988" s="24"/>
      <c r="DH988" s="24"/>
      <c r="DJ988" t="s">
        <v>149</v>
      </c>
      <c r="DK988" t="s">
        <v>149</v>
      </c>
      <c r="DQ988" t="s">
        <v>1001</v>
      </c>
      <c r="DR988" t="s">
        <v>149</v>
      </c>
      <c r="DS988" s="24">
        <v>46160.384426226854</v>
      </c>
    </row>
    <row r="989" spans="1:123" x14ac:dyDescent="0.3">
      <c r="A989" t="s">
        <v>1472</v>
      </c>
      <c r="D989" t="s">
        <v>223</v>
      </c>
      <c r="E989" s="24">
        <v>45819.463009259256</v>
      </c>
      <c r="G989" t="s">
        <v>90</v>
      </c>
      <c r="H989" t="s">
        <v>155</v>
      </c>
      <c r="I989" s="24"/>
      <c r="J989" s="24"/>
      <c r="K989" s="24"/>
      <c r="L989" s="24"/>
      <c r="N989" s="24"/>
      <c r="O989" s="24"/>
      <c r="P989" s="24"/>
      <c r="Q989" s="24"/>
      <c r="V989" s="24"/>
      <c r="W989" s="24"/>
      <c r="X989" s="24"/>
      <c r="Y989" s="24"/>
      <c r="AA989" s="24">
        <v>45819.463190497685</v>
      </c>
      <c r="AB989" s="24">
        <v>45819.463190497685</v>
      </c>
      <c r="AC989" s="24">
        <v>45819.463235219904</v>
      </c>
      <c r="AD989" s="24">
        <v>45819.463235219904</v>
      </c>
      <c r="AE989">
        <v>1</v>
      </c>
      <c r="AF989" s="24"/>
      <c r="AG989" s="24"/>
      <c r="AH989" s="24"/>
      <c r="AI989" s="24"/>
      <c r="AK989" s="24"/>
      <c r="AL989" s="24"/>
      <c r="AM989" s="24"/>
      <c r="AN989" s="24"/>
      <c r="AP989" s="24"/>
      <c r="AQ989" s="24"/>
      <c r="AR989" s="24">
        <v>45819.463157280094</v>
      </c>
      <c r="AS989" s="24">
        <v>45819.463157280094</v>
      </c>
      <c r="AX989" s="24"/>
      <c r="AY989" s="24"/>
      <c r="AZ989" s="24"/>
      <c r="BA989" s="24"/>
      <c r="BC989" s="24"/>
      <c r="BD989" s="24"/>
      <c r="BE989" s="24"/>
      <c r="BF989" s="24"/>
      <c r="BH989" s="24">
        <v>45819.463157280094</v>
      </c>
      <c r="BI989" s="24">
        <v>45819.463157280094</v>
      </c>
      <c r="BJ989" s="24">
        <v>45819.463190497685</v>
      </c>
      <c r="BK989" s="24">
        <v>45819.463190497685</v>
      </c>
      <c r="BL989">
        <v>1</v>
      </c>
      <c r="BM989" s="24"/>
      <c r="BN989" s="24"/>
      <c r="BO989" s="24"/>
      <c r="BP989" s="24"/>
      <c r="BR989" s="24"/>
      <c r="BS989" s="24"/>
      <c r="BT989" s="24"/>
      <c r="BU989" s="24"/>
      <c r="BW989" s="24"/>
      <c r="BX989" s="24"/>
      <c r="BY989" s="24"/>
      <c r="BZ989" s="24"/>
      <c r="CB989" s="24"/>
      <c r="CC989" s="24"/>
      <c r="CE989" s="24">
        <v>45819.463235219904</v>
      </c>
      <c r="CF989" s="24">
        <v>45819.463235219904</v>
      </c>
      <c r="CG989">
        <v>1</v>
      </c>
      <c r="CH989" s="24"/>
      <c r="CI989" s="24"/>
      <c r="CJ989" s="24"/>
      <c r="CK989" s="24"/>
      <c r="DE989" s="24"/>
      <c r="DF989" s="24"/>
      <c r="DG989" s="24"/>
      <c r="DH989" s="24"/>
      <c r="DJ989" t="s">
        <v>149</v>
      </c>
      <c r="DK989" t="s">
        <v>149</v>
      </c>
      <c r="DM989">
        <v>1</v>
      </c>
      <c r="DN989">
        <v>1</v>
      </c>
      <c r="DQ989" t="s">
        <v>1001</v>
      </c>
      <c r="DR989" t="s">
        <v>149</v>
      </c>
      <c r="DS989" s="24">
        <v>46160.384426226854</v>
      </c>
    </row>
    <row r="990" spans="1:123" x14ac:dyDescent="0.3">
      <c r="A990" t="s">
        <v>1473</v>
      </c>
      <c r="D990" t="s">
        <v>223</v>
      </c>
      <c r="E990" s="24">
        <v>45819.453599537039</v>
      </c>
      <c r="G990" t="s">
        <v>90</v>
      </c>
      <c r="H990" t="s">
        <v>155</v>
      </c>
      <c r="I990" s="24"/>
      <c r="J990" s="24"/>
      <c r="K990" s="24"/>
      <c r="L990" s="24"/>
      <c r="N990" s="24"/>
      <c r="O990" s="24"/>
      <c r="P990" s="24"/>
      <c r="Q990" s="24"/>
      <c r="V990" s="24"/>
      <c r="W990" s="24"/>
      <c r="X990" s="24"/>
      <c r="Y990" s="24"/>
      <c r="AA990" s="24">
        <v>45819.453875798608</v>
      </c>
      <c r="AB990" s="24">
        <v>45819.453875798608</v>
      </c>
      <c r="AC990" s="24">
        <v>45819.453936527774</v>
      </c>
      <c r="AD990" s="24">
        <v>45819.453936527774</v>
      </c>
      <c r="AE990">
        <v>1</v>
      </c>
      <c r="AF990" s="24"/>
      <c r="AG990" s="24"/>
      <c r="AH990" s="24"/>
      <c r="AI990" s="24"/>
      <c r="AK990" s="24"/>
      <c r="AL990" s="24"/>
      <c r="AM990" s="24"/>
      <c r="AN990" s="24"/>
      <c r="AP990" s="24"/>
      <c r="AQ990" s="24"/>
      <c r="AR990" s="24">
        <v>45819.453838668982</v>
      </c>
      <c r="AS990" s="24">
        <v>45819.453838668982</v>
      </c>
      <c r="AX990" s="24"/>
      <c r="AY990" s="24"/>
      <c r="AZ990" s="24"/>
      <c r="BA990" s="24"/>
      <c r="BC990" s="24"/>
      <c r="BD990" s="24"/>
      <c r="BE990" s="24"/>
      <c r="BF990" s="24"/>
      <c r="BH990" s="24">
        <v>45819.453838668982</v>
      </c>
      <c r="BI990" s="24">
        <v>45819.453838668982</v>
      </c>
      <c r="BJ990" s="24">
        <v>45819.453875798608</v>
      </c>
      <c r="BK990" s="24">
        <v>45819.453875798608</v>
      </c>
      <c r="BL990">
        <v>1</v>
      </c>
      <c r="BM990" s="24"/>
      <c r="BN990" s="24"/>
      <c r="BO990" s="24"/>
      <c r="BP990" s="24"/>
      <c r="BR990" s="24"/>
      <c r="BS990" s="24"/>
      <c r="BT990" s="24"/>
      <c r="BU990" s="24"/>
      <c r="BW990" s="24"/>
      <c r="BX990" s="24"/>
      <c r="BY990" s="24"/>
      <c r="BZ990" s="24"/>
      <c r="CB990" s="24"/>
      <c r="CC990" s="24"/>
      <c r="CE990" s="24">
        <v>45819.453936527774</v>
      </c>
      <c r="CF990" s="24">
        <v>45819.453936527774</v>
      </c>
      <c r="CG990">
        <v>1</v>
      </c>
      <c r="CH990" s="24"/>
      <c r="CI990" s="24"/>
      <c r="CJ990" s="24"/>
      <c r="CK990" s="24"/>
      <c r="DE990" s="24"/>
      <c r="DF990" s="24"/>
      <c r="DG990" s="24"/>
      <c r="DH990" s="24"/>
      <c r="DJ990" t="s">
        <v>149</v>
      </c>
      <c r="DK990" t="s">
        <v>149</v>
      </c>
      <c r="DM990">
        <v>1</v>
      </c>
      <c r="DN990">
        <v>1</v>
      </c>
      <c r="DQ990" t="s">
        <v>1001</v>
      </c>
      <c r="DR990" t="s">
        <v>149</v>
      </c>
      <c r="DS990" s="24">
        <v>46160.384426226854</v>
      </c>
    </row>
    <row r="991" spans="1:123" x14ac:dyDescent="0.3">
      <c r="A991" t="s">
        <v>1474</v>
      </c>
      <c r="D991" t="s">
        <v>223</v>
      </c>
      <c r="E991" s="24">
        <v>45819.450636574074</v>
      </c>
      <c r="G991" t="s">
        <v>90</v>
      </c>
      <c r="H991" t="s">
        <v>155</v>
      </c>
      <c r="I991" s="24"/>
      <c r="J991" s="24"/>
      <c r="K991" s="24"/>
      <c r="L991" s="24"/>
      <c r="N991" s="24"/>
      <c r="O991" s="24"/>
      <c r="P991" s="24"/>
      <c r="Q991" s="24"/>
      <c r="V991" s="24"/>
      <c r="W991" s="24"/>
      <c r="X991" s="24"/>
      <c r="Y991" s="24"/>
      <c r="AA991" s="24">
        <v>45819.450870196757</v>
      </c>
      <c r="AB991" s="24">
        <v>45819.450870196757</v>
      </c>
      <c r="AC991" s="24">
        <v>45819.450909409723</v>
      </c>
      <c r="AD991" s="24">
        <v>45819.450909409723</v>
      </c>
      <c r="AE991">
        <v>1</v>
      </c>
      <c r="AF991" s="24"/>
      <c r="AG991" s="24"/>
      <c r="AH991" s="24"/>
      <c r="AI991" s="24"/>
      <c r="AK991" s="24"/>
      <c r="AL991" s="24"/>
      <c r="AM991" s="24"/>
      <c r="AN991" s="24"/>
      <c r="AP991" s="24"/>
      <c r="AQ991" s="24"/>
      <c r="AR991" s="24">
        <v>45819.450828946756</v>
      </c>
      <c r="AS991" s="24">
        <v>45819.450828946756</v>
      </c>
      <c r="AX991" s="24"/>
      <c r="AY991" s="24"/>
      <c r="AZ991" s="24"/>
      <c r="BA991" s="24"/>
      <c r="BC991" s="24"/>
      <c r="BD991" s="24"/>
      <c r="BE991" s="24"/>
      <c r="BF991" s="24"/>
      <c r="BH991" s="24">
        <v>45819.450828946756</v>
      </c>
      <c r="BI991" s="24">
        <v>45819.450828946756</v>
      </c>
      <c r="BJ991" s="24">
        <v>45819.450870196757</v>
      </c>
      <c r="BK991" s="24">
        <v>45819.450870196757</v>
      </c>
      <c r="BL991">
        <v>1</v>
      </c>
      <c r="BM991" s="24"/>
      <c r="BN991" s="24"/>
      <c r="BO991" s="24"/>
      <c r="BP991" s="24"/>
      <c r="BR991" s="24"/>
      <c r="BS991" s="24"/>
      <c r="BT991" s="24"/>
      <c r="BU991" s="24"/>
      <c r="BW991" s="24"/>
      <c r="BX991" s="24"/>
      <c r="BY991" s="24"/>
      <c r="BZ991" s="24"/>
      <c r="CB991" s="24"/>
      <c r="CC991" s="24"/>
      <c r="CE991" s="24">
        <v>45819.450909409723</v>
      </c>
      <c r="CF991" s="24">
        <v>45819.450909409723</v>
      </c>
      <c r="CG991">
        <v>1</v>
      </c>
      <c r="CH991" s="24"/>
      <c r="CI991" s="24"/>
      <c r="CJ991" s="24"/>
      <c r="CK991" s="24"/>
      <c r="DE991" s="24"/>
      <c r="DF991" s="24"/>
      <c r="DG991" s="24"/>
      <c r="DH991" s="24"/>
      <c r="DJ991" t="s">
        <v>149</v>
      </c>
      <c r="DK991" t="s">
        <v>149</v>
      </c>
      <c r="DM991">
        <v>1</v>
      </c>
      <c r="DN991">
        <v>1</v>
      </c>
      <c r="DQ991" t="s">
        <v>1001</v>
      </c>
      <c r="DR991" t="s">
        <v>149</v>
      </c>
      <c r="DS991" s="24">
        <v>46160.384426226854</v>
      </c>
    </row>
    <row r="992" spans="1:123" x14ac:dyDescent="0.3">
      <c r="A992" t="s">
        <v>1475</v>
      </c>
      <c r="D992" t="s">
        <v>223</v>
      </c>
      <c r="E992" s="24">
        <v>45819.447870370372</v>
      </c>
      <c r="G992" t="s">
        <v>90</v>
      </c>
      <c r="H992" t="s">
        <v>155</v>
      </c>
      <c r="I992" s="24"/>
      <c r="J992" s="24"/>
      <c r="K992" s="24"/>
      <c r="L992" s="24"/>
      <c r="N992" s="24"/>
      <c r="O992" s="24"/>
      <c r="P992" s="24"/>
      <c r="Q992" s="24"/>
      <c r="V992" s="24"/>
      <c r="W992" s="24"/>
      <c r="X992" s="24"/>
      <c r="Y992" s="24"/>
      <c r="AA992" s="24">
        <v>45819.448602731478</v>
      </c>
      <c r="AB992" s="24">
        <v>45819.448602731478</v>
      </c>
      <c r="AC992" s="24">
        <v>45819.448658981484</v>
      </c>
      <c r="AD992" s="24">
        <v>45819.448658981484</v>
      </c>
      <c r="AE992">
        <v>1</v>
      </c>
      <c r="AF992" s="24"/>
      <c r="AG992" s="24"/>
      <c r="AH992" s="24"/>
      <c r="AI992" s="24"/>
      <c r="AK992" s="24"/>
      <c r="AL992" s="24"/>
      <c r="AM992" s="24"/>
      <c r="AN992" s="24"/>
      <c r="AP992" s="24"/>
      <c r="AQ992" s="24"/>
      <c r="AR992" s="24">
        <v>45819.448565983796</v>
      </c>
      <c r="AS992" s="24">
        <v>45819.448565983796</v>
      </c>
      <c r="AX992" s="24"/>
      <c r="AY992" s="24"/>
      <c r="AZ992" s="24"/>
      <c r="BA992" s="24"/>
      <c r="BC992" s="24"/>
      <c r="BD992" s="24"/>
      <c r="BE992" s="24"/>
      <c r="BF992" s="24"/>
      <c r="BH992" s="24">
        <v>45819.448565983796</v>
      </c>
      <c r="BI992" s="24">
        <v>45819.448565983796</v>
      </c>
      <c r="BJ992" s="24">
        <v>45819.448602731478</v>
      </c>
      <c r="BK992" s="24">
        <v>45819.448602731478</v>
      </c>
      <c r="BL992">
        <v>1</v>
      </c>
      <c r="BM992" s="24"/>
      <c r="BN992" s="24"/>
      <c r="BO992" s="24"/>
      <c r="BP992" s="24"/>
      <c r="BR992" s="24"/>
      <c r="BS992" s="24"/>
      <c r="BT992" s="24"/>
      <c r="BU992" s="24"/>
      <c r="BW992" s="24"/>
      <c r="BX992" s="24"/>
      <c r="BY992" s="24"/>
      <c r="BZ992" s="24"/>
      <c r="CB992" s="24"/>
      <c r="CC992" s="24"/>
      <c r="CE992" s="24">
        <v>45819.448658981484</v>
      </c>
      <c r="CF992" s="24">
        <v>45819.448658981484</v>
      </c>
      <c r="CG992">
        <v>1</v>
      </c>
      <c r="CH992" s="24"/>
      <c r="CI992" s="24"/>
      <c r="CJ992" s="24"/>
      <c r="CK992" s="24"/>
      <c r="DE992" s="24"/>
      <c r="DF992" s="24"/>
      <c r="DG992" s="24"/>
      <c r="DH992" s="24"/>
      <c r="DJ992" t="s">
        <v>149</v>
      </c>
      <c r="DK992" t="s">
        <v>149</v>
      </c>
      <c r="DM992">
        <v>1</v>
      </c>
      <c r="DN992">
        <v>1</v>
      </c>
      <c r="DQ992" t="s">
        <v>1001</v>
      </c>
      <c r="DR992" t="s">
        <v>149</v>
      </c>
      <c r="DS992" s="24">
        <v>46160.384426226854</v>
      </c>
    </row>
    <row r="993" spans="1:123" x14ac:dyDescent="0.3">
      <c r="A993" t="s">
        <v>1476</v>
      </c>
      <c r="D993" t="s">
        <v>223</v>
      </c>
      <c r="E993" s="24">
        <v>45819.447164351855</v>
      </c>
      <c r="G993" t="s">
        <v>90</v>
      </c>
      <c r="H993" t="s">
        <v>155</v>
      </c>
      <c r="I993" s="24"/>
      <c r="J993" s="24"/>
      <c r="K993" s="24"/>
      <c r="L993" s="24"/>
      <c r="N993" s="24"/>
      <c r="O993" s="24"/>
      <c r="P993" s="24"/>
      <c r="Q993" s="24"/>
      <c r="V993" s="24"/>
      <c r="W993" s="24"/>
      <c r="X993" s="24"/>
      <c r="Y993" s="24"/>
      <c r="AA993" s="24">
        <v>45819.447398807868</v>
      </c>
      <c r="AB993" s="24">
        <v>45819.447398807868</v>
      </c>
      <c r="AC993" s="24">
        <v>45819.44748116898</v>
      </c>
      <c r="AD993" s="24">
        <v>45819.44748116898</v>
      </c>
      <c r="AE993">
        <v>1</v>
      </c>
      <c r="AF993" s="24"/>
      <c r="AG993" s="24"/>
      <c r="AH993" s="24"/>
      <c r="AI993" s="24"/>
      <c r="AK993" s="24"/>
      <c r="AL993" s="24"/>
      <c r="AM993" s="24"/>
      <c r="AN993" s="24"/>
      <c r="AP993" s="24"/>
      <c r="AQ993" s="24"/>
      <c r="AR993" s="24">
        <v>45819.447259745371</v>
      </c>
      <c r="AS993" s="24">
        <v>45819.447259745371</v>
      </c>
      <c r="AX993" s="24"/>
      <c r="AY993" s="24"/>
      <c r="AZ993" s="24"/>
      <c r="BA993" s="24"/>
      <c r="BC993" s="24"/>
      <c r="BD993" s="24"/>
      <c r="BE993" s="24"/>
      <c r="BF993" s="24"/>
      <c r="BH993" s="24">
        <v>45819.447330057868</v>
      </c>
      <c r="BI993" s="24">
        <v>45819.447330057868</v>
      </c>
      <c r="BJ993" s="24">
        <v>45819.447398807868</v>
      </c>
      <c r="BK993" s="24">
        <v>45819.447398807868</v>
      </c>
      <c r="BL993">
        <v>1</v>
      </c>
      <c r="BM993" s="24"/>
      <c r="BN993" s="24"/>
      <c r="BO993" s="24"/>
      <c r="BP993" s="24"/>
      <c r="BR993" s="24">
        <v>45819.44748116898</v>
      </c>
      <c r="BS993" s="24">
        <v>45819.44748116898</v>
      </c>
      <c r="BT993" s="24">
        <v>45819.447533275466</v>
      </c>
      <c r="BU993" s="24">
        <v>45819.447533275466</v>
      </c>
      <c r="BV993">
        <v>1</v>
      </c>
      <c r="BW993" s="24">
        <v>45819.447259745371</v>
      </c>
      <c r="BX993" s="24">
        <v>45819.447259745371</v>
      </c>
      <c r="BY993" s="24">
        <v>45819.447330057868</v>
      </c>
      <c r="BZ993" s="24">
        <v>45819.447330057868</v>
      </c>
      <c r="CA993">
        <v>1</v>
      </c>
      <c r="CB993" s="24"/>
      <c r="CC993" s="24"/>
      <c r="CE993" s="24">
        <v>45819.447533275466</v>
      </c>
      <c r="CF993" s="24">
        <v>45819.447533275466</v>
      </c>
      <c r="CG993">
        <v>1</v>
      </c>
      <c r="CH993" s="24"/>
      <c r="CI993" s="24"/>
      <c r="CJ993" s="24"/>
      <c r="CK993" s="24"/>
      <c r="DE993" s="24"/>
      <c r="DF993" s="24"/>
      <c r="DG993" s="24"/>
      <c r="DH993" s="24"/>
      <c r="DJ993" t="s">
        <v>149</v>
      </c>
      <c r="DK993" t="s">
        <v>149</v>
      </c>
      <c r="DM993">
        <v>1</v>
      </c>
      <c r="DN993">
        <v>1</v>
      </c>
      <c r="DQ993" t="s">
        <v>1001</v>
      </c>
      <c r="DR993" t="s">
        <v>149</v>
      </c>
      <c r="DS993" s="24">
        <v>46160.384426226854</v>
      </c>
    </row>
    <row r="994" spans="1:123" x14ac:dyDescent="0.3">
      <c r="A994" t="s">
        <v>1477</v>
      </c>
      <c r="D994" t="s">
        <v>223</v>
      </c>
      <c r="E994" s="24">
        <v>45819.443842592591</v>
      </c>
      <c r="G994" t="s">
        <v>90</v>
      </c>
      <c r="H994" t="s">
        <v>155</v>
      </c>
      <c r="I994" s="24"/>
      <c r="J994" s="24"/>
      <c r="K994" s="24"/>
      <c r="L994" s="24"/>
      <c r="N994" s="24"/>
      <c r="O994" s="24"/>
      <c r="P994" s="24"/>
      <c r="Q994" s="24"/>
      <c r="V994" s="24"/>
      <c r="W994" s="24"/>
      <c r="X994" s="24"/>
      <c r="Y994" s="24"/>
      <c r="AA994" s="24">
        <v>45819.445119780095</v>
      </c>
      <c r="AB994" s="24">
        <v>45819.445119780095</v>
      </c>
      <c r="AC994" s="24">
        <v>45819.445436435184</v>
      </c>
      <c r="AD994" s="24">
        <v>45819.445436435184</v>
      </c>
      <c r="AE994">
        <v>1</v>
      </c>
      <c r="AF994" s="24"/>
      <c r="AG994" s="24"/>
      <c r="AH994" s="24"/>
      <c r="AI994" s="24"/>
      <c r="AK994" s="24"/>
      <c r="AL994" s="24"/>
      <c r="AM994" s="24"/>
      <c r="AN994" s="24"/>
      <c r="AP994" s="24"/>
      <c r="AQ994" s="24"/>
      <c r="AR994" s="24">
        <v>45819.445081631944</v>
      </c>
      <c r="AS994" s="24">
        <v>45819.445081631944</v>
      </c>
      <c r="AX994" s="24"/>
      <c r="AY994" s="24"/>
      <c r="AZ994" s="24"/>
      <c r="BA994" s="24"/>
      <c r="BC994" s="24"/>
      <c r="BD994" s="24"/>
      <c r="BE994" s="24"/>
      <c r="BF994" s="24"/>
      <c r="BH994" s="24">
        <v>45819.445081631944</v>
      </c>
      <c r="BI994" s="24">
        <v>45819.445081631944</v>
      </c>
      <c r="BJ994" s="24">
        <v>45819.445119780095</v>
      </c>
      <c r="BK994" s="24">
        <v>45819.445119780095</v>
      </c>
      <c r="BL994">
        <v>1</v>
      </c>
      <c r="BM994" s="24"/>
      <c r="BN994" s="24"/>
      <c r="BO994" s="24"/>
      <c r="BP994" s="24"/>
      <c r="BR994" s="24"/>
      <c r="BS994" s="24"/>
      <c r="BT994" s="24"/>
      <c r="BU994" s="24"/>
      <c r="BW994" s="24"/>
      <c r="BX994" s="24"/>
      <c r="BY994" s="24"/>
      <c r="BZ994" s="24"/>
      <c r="CB994" s="24"/>
      <c r="CC994" s="24"/>
      <c r="CE994" s="24">
        <v>45819.445436435184</v>
      </c>
      <c r="CF994" s="24">
        <v>45819.445436435184</v>
      </c>
      <c r="CG994">
        <v>1</v>
      </c>
      <c r="CH994" s="24"/>
      <c r="CI994" s="24"/>
      <c r="CJ994" s="24"/>
      <c r="CK994" s="24"/>
      <c r="DE994" s="24"/>
      <c r="DF994" s="24"/>
      <c r="DG994" s="24"/>
      <c r="DH994" s="24"/>
      <c r="DJ994" t="s">
        <v>149</v>
      </c>
      <c r="DK994" t="s">
        <v>149</v>
      </c>
      <c r="DM994">
        <v>1</v>
      </c>
      <c r="DN994">
        <v>1</v>
      </c>
      <c r="DQ994" t="s">
        <v>1001</v>
      </c>
      <c r="DR994" t="s">
        <v>149</v>
      </c>
      <c r="DS994" s="24">
        <v>46160.384426226854</v>
      </c>
    </row>
    <row r="995" spans="1:123" x14ac:dyDescent="0.3">
      <c r="A995" t="s">
        <v>1478</v>
      </c>
      <c r="D995" t="s">
        <v>223</v>
      </c>
      <c r="E995" s="24">
        <v>45819.439004629632</v>
      </c>
      <c r="G995" t="s">
        <v>90</v>
      </c>
      <c r="H995" t="s">
        <v>155</v>
      </c>
      <c r="I995" s="24"/>
      <c r="J995" s="24"/>
      <c r="K995" s="24"/>
      <c r="L995" s="24"/>
      <c r="N995" s="24"/>
      <c r="O995" s="24"/>
      <c r="P995" s="24"/>
      <c r="Q995" s="24"/>
      <c r="V995" s="24"/>
      <c r="W995" s="24"/>
      <c r="X995" s="24"/>
      <c r="Y995" s="24"/>
      <c r="AA995" s="24">
        <v>45826.62645679398</v>
      </c>
      <c r="AB995" s="24">
        <v>45826.62645679398</v>
      </c>
      <c r="AC995" s="24">
        <v>45826.678678356482</v>
      </c>
      <c r="AD995" s="24">
        <v>45826.678678356482</v>
      </c>
      <c r="AE995">
        <v>1</v>
      </c>
      <c r="AF995" s="24">
        <v>45826.678678356482</v>
      </c>
      <c r="AG995" s="24">
        <v>45826.678678356482</v>
      </c>
      <c r="AH995" s="24">
        <v>45826.695718460651</v>
      </c>
      <c r="AI995" s="24">
        <v>45826.695718460651</v>
      </c>
      <c r="AJ995">
        <v>1</v>
      </c>
      <c r="AK995" s="24"/>
      <c r="AL995" s="24"/>
      <c r="AM995" s="24"/>
      <c r="AN995" s="24"/>
      <c r="AP995" s="24"/>
      <c r="AQ995" s="24"/>
      <c r="AR995" s="24">
        <v>45819.439690219908</v>
      </c>
      <c r="AS995" s="24">
        <v>45819.439690219908</v>
      </c>
      <c r="AX995" s="24"/>
      <c r="AY995" s="24"/>
      <c r="AZ995" s="24"/>
      <c r="BA995" s="24"/>
      <c r="BC995" s="24"/>
      <c r="BD995" s="24"/>
      <c r="BE995" s="24"/>
      <c r="BF995" s="24"/>
      <c r="BH995" s="24">
        <v>45819.439690219908</v>
      </c>
      <c r="BI995" s="24">
        <v>45819.439690219908</v>
      </c>
      <c r="BJ995" s="24">
        <v>45826.62645679398</v>
      </c>
      <c r="BK995" s="24">
        <v>45826.62645679398</v>
      </c>
      <c r="BL995">
        <v>1</v>
      </c>
      <c r="BM995" s="24"/>
      <c r="BN995" s="24"/>
      <c r="BO995" s="24"/>
      <c r="BP995" s="24"/>
      <c r="BR995" s="24">
        <v>45826.695718460651</v>
      </c>
      <c r="BS995" s="24">
        <v>45826.695718460651</v>
      </c>
      <c r="BT995" s="24">
        <v>45831.445470462961</v>
      </c>
      <c r="BU995" s="24">
        <v>45831.445470462961</v>
      </c>
      <c r="BV995">
        <v>1</v>
      </c>
      <c r="BW995" s="24"/>
      <c r="BX995" s="24"/>
      <c r="BY995" s="24"/>
      <c r="BZ995" s="24"/>
      <c r="CB995" s="24"/>
      <c r="CC995" s="24"/>
      <c r="CE995" s="24">
        <v>45831.445470462961</v>
      </c>
      <c r="CF995" s="24">
        <v>45831.445470462961</v>
      </c>
      <c r="CG995">
        <v>1</v>
      </c>
      <c r="CH995" s="24"/>
      <c r="CI995" s="24"/>
      <c r="CJ995" s="24"/>
      <c r="CK995" s="24"/>
      <c r="DE995" s="24"/>
      <c r="DF995" s="24"/>
      <c r="DG995" s="24"/>
      <c r="DH995" s="24"/>
      <c r="DJ995" t="s">
        <v>149</v>
      </c>
      <c r="DK995" t="s">
        <v>149</v>
      </c>
      <c r="DM995">
        <v>13</v>
      </c>
      <c r="DN995">
        <v>5</v>
      </c>
      <c r="DQ995" t="s">
        <v>1001</v>
      </c>
      <c r="DR995" t="s">
        <v>149</v>
      </c>
      <c r="DS995" s="24">
        <v>46160.384426226854</v>
      </c>
    </row>
    <row r="996" spans="1:123" x14ac:dyDescent="0.3">
      <c r="A996" t="s">
        <v>1479</v>
      </c>
      <c r="D996" t="s">
        <v>223</v>
      </c>
      <c r="E996" s="24">
        <v>45819.40996527778</v>
      </c>
      <c r="G996" t="s">
        <v>90</v>
      </c>
      <c r="H996" t="s">
        <v>155</v>
      </c>
      <c r="I996" s="24"/>
      <c r="J996" s="24"/>
      <c r="K996" s="24"/>
      <c r="L996" s="24"/>
      <c r="N996" s="24"/>
      <c r="O996" s="24"/>
      <c r="P996" s="24"/>
      <c r="Q996" s="24"/>
      <c r="V996" s="24"/>
      <c r="W996" s="24"/>
      <c r="X996" s="24"/>
      <c r="Y996" s="24"/>
      <c r="AA996" s="24">
        <v>45832.624725972222</v>
      </c>
      <c r="AB996" s="24">
        <v>45832.624725972222</v>
      </c>
      <c r="AC996" s="24">
        <v>45832.639600486109</v>
      </c>
      <c r="AD996" s="24">
        <v>45832.639600486109</v>
      </c>
      <c r="AE996">
        <v>1</v>
      </c>
      <c r="AF996" s="24">
        <v>45832.639600486109</v>
      </c>
      <c r="AG996" s="24">
        <v>45832.639600486109</v>
      </c>
      <c r="AH996" s="24">
        <v>45832.6396337037</v>
      </c>
      <c r="AI996" s="24">
        <v>45832.6396337037</v>
      </c>
      <c r="AJ996">
        <v>1</v>
      </c>
      <c r="AK996" s="24"/>
      <c r="AL996" s="24"/>
      <c r="AM996" s="24"/>
      <c r="AN996" s="24"/>
      <c r="AP996" s="24"/>
      <c r="AQ996" s="24"/>
      <c r="AR996" s="24">
        <v>45819.411414131944</v>
      </c>
      <c r="AS996" s="24">
        <v>45819.411414131944</v>
      </c>
      <c r="AX996" s="24"/>
      <c r="AY996" s="24"/>
      <c r="AZ996" s="24"/>
      <c r="BA996" s="24"/>
      <c r="BC996" s="24"/>
      <c r="BD996" s="24"/>
      <c r="BE996" s="24"/>
      <c r="BF996" s="24"/>
      <c r="BH996" s="24">
        <v>45819.411414131944</v>
      </c>
      <c r="BI996" s="24">
        <v>45819.411414131944</v>
      </c>
      <c r="BJ996" s="24">
        <v>45832.624725972222</v>
      </c>
      <c r="BK996" s="24">
        <v>45832.624725972222</v>
      </c>
      <c r="BL996">
        <v>1</v>
      </c>
      <c r="BM996" s="24"/>
      <c r="BN996" s="24"/>
      <c r="BO996" s="24"/>
      <c r="BP996" s="24"/>
      <c r="BR996" s="24">
        <v>45832.6396337037</v>
      </c>
      <c r="BS996" s="24">
        <v>45832.6396337037</v>
      </c>
      <c r="BT996" s="24">
        <v>45832.639667106479</v>
      </c>
      <c r="BU996" s="24">
        <v>45832.639667106479</v>
      </c>
      <c r="BV996">
        <v>1</v>
      </c>
      <c r="BW996" s="24"/>
      <c r="BX996" s="24"/>
      <c r="BY996" s="24"/>
      <c r="BZ996" s="24"/>
      <c r="CB996" s="24"/>
      <c r="CC996" s="24"/>
      <c r="CE996" s="24">
        <v>45832.639667106479</v>
      </c>
      <c r="CF996" s="24">
        <v>45832.639667106479</v>
      </c>
      <c r="CG996">
        <v>1</v>
      </c>
      <c r="CH996" s="24"/>
      <c r="CI996" s="24"/>
      <c r="CJ996" s="24"/>
      <c r="CK996" s="24"/>
      <c r="DE996" s="24"/>
      <c r="DF996" s="24"/>
      <c r="DG996" s="24"/>
      <c r="DH996" s="24"/>
      <c r="DJ996" t="s">
        <v>149</v>
      </c>
      <c r="DK996" t="s">
        <v>149</v>
      </c>
      <c r="DM996">
        <v>14</v>
      </c>
      <c r="DN996">
        <v>1</v>
      </c>
      <c r="DQ996" t="s">
        <v>1001</v>
      </c>
      <c r="DR996" t="s">
        <v>149</v>
      </c>
      <c r="DS996" s="24">
        <v>46160.384426226854</v>
      </c>
    </row>
    <row r="997" spans="1:123" x14ac:dyDescent="0.3">
      <c r="A997" t="s">
        <v>1480</v>
      </c>
      <c r="D997" t="s">
        <v>225</v>
      </c>
      <c r="E997" s="24">
        <v>45819.407731481479</v>
      </c>
      <c r="G997" t="s">
        <v>90</v>
      </c>
      <c r="H997" t="s">
        <v>155</v>
      </c>
      <c r="I997" s="24"/>
      <c r="J997" s="24"/>
      <c r="K997" s="24"/>
      <c r="L997" s="24"/>
      <c r="N997" s="24"/>
      <c r="O997" s="24"/>
      <c r="P997" s="24"/>
      <c r="Q997" s="24"/>
      <c r="V997" s="24"/>
      <c r="W997" s="24"/>
      <c r="X997" s="24"/>
      <c r="Y997" s="24"/>
      <c r="AA997" s="24">
        <v>45939.438683263892</v>
      </c>
      <c r="AB997" s="24">
        <v>45939.438683263892</v>
      </c>
      <c r="AC997" s="24">
        <v>45939.593836527776</v>
      </c>
      <c r="AD997" s="24">
        <v>45939.593836527776</v>
      </c>
      <c r="AE997">
        <v>1</v>
      </c>
      <c r="AF997" s="24">
        <v>45939.593836527776</v>
      </c>
      <c r="AG997" s="24">
        <v>45939.593836527776</v>
      </c>
      <c r="AH997" s="24">
        <v>45943.611736342595</v>
      </c>
      <c r="AI997" s="24">
        <v>45943.611736342595</v>
      </c>
      <c r="AJ997">
        <v>1</v>
      </c>
      <c r="AK997" s="24">
        <v>45943.611736342595</v>
      </c>
      <c r="AL997" s="24">
        <v>45943.611736342595</v>
      </c>
      <c r="AM997" s="24">
        <v>45943.64843695602</v>
      </c>
      <c r="AN997" s="24">
        <v>45943.64843695602</v>
      </c>
      <c r="AO997">
        <v>1</v>
      </c>
      <c r="AP997" s="24"/>
      <c r="AQ997" s="24"/>
      <c r="AR997" s="24">
        <v>45847.481449259256</v>
      </c>
      <c r="AS997" s="24">
        <v>45847.481449259256</v>
      </c>
      <c r="AX997" s="24"/>
      <c r="AY997" s="24"/>
      <c r="AZ997" s="24"/>
      <c r="BA997" s="24"/>
      <c r="BC997" s="24">
        <v>45943.64853604167</v>
      </c>
      <c r="BD997" s="24">
        <v>45943.64853604167</v>
      </c>
      <c r="BE997" s="24">
        <v>45961.414392662038</v>
      </c>
      <c r="BF997" s="24">
        <v>45961.414392662038</v>
      </c>
      <c r="BG997">
        <v>1</v>
      </c>
      <c r="BH997" s="24">
        <v>45847.481449259256</v>
      </c>
      <c r="BI997" s="24">
        <v>45847.481449259256</v>
      </c>
      <c r="BJ997" s="24">
        <v>45939.438683263892</v>
      </c>
      <c r="BK997" s="24">
        <v>45939.438683263892</v>
      </c>
      <c r="BL997">
        <v>1</v>
      </c>
      <c r="BM997" s="24"/>
      <c r="BN997" s="24"/>
      <c r="BO997" s="24"/>
      <c r="BP997" s="24"/>
      <c r="BR997" s="24">
        <v>45943.64843695602</v>
      </c>
      <c r="BS997" s="24">
        <v>45943.64843695602</v>
      </c>
      <c r="BT997" s="24">
        <v>45943.64853604167</v>
      </c>
      <c r="BU997" s="24">
        <v>45943.64853604167</v>
      </c>
      <c r="BV997">
        <v>1</v>
      </c>
      <c r="BW997" s="24"/>
      <c r="BX997" s="24"/>
      <c r="BY997" s="24"/>
      <c r="BZ997" s="24"/>
      <c r="CB997" s="24"/>
      <c r="CC997" s="24"/>
      <c r="CE997" s="24">
        <v>45961.414392662038</v>
      </c>
      <c r="CF997" s="24">
        <v>45961.414392662038</v>
      </c>
      <c r="CG997">
        <v>1</v>
      </c>
      <c r="CH997" s="24"/>
      <c r="CI997" s="24"/>
      <c r="CJ997" s="24"/>
      <c r="CK997" s="24"/>
      <c r="DE997" s="24"/>
      <c r="DF997" s="24"/>
      <c r="DG997" s="24"/>
      <c r="DH997" s="24"/>
      <c r="DJ997" t="s">
        <v>149</v>
      </c>
      <c r="DK997" t="s">
        <v>149</v>
      </c>
      <c r="DM997">
        <v>114</v>
      </c>
      <c r="DN997">
        <v>22</v>
      </c>
      <c r="DQ997" t="s">
        <v>1001</v>
      </c>
      <c r="DR997" t="s">
        <v>149</v>
      </c>
      <c r="DS997" s="24">
        <v>46160.384426226854</v>
      </c>
    </row>
    <row r="998" spans="1:123" x14ac:dyDescent="0.3">
      <c r="A998" t="s">
        <v>1481</v>
      </c>
      <c r="D998" t="s">
        <v>225</v>
      </c>
      <c r="E998" s="24">
        <v>45819.403946759259</v>
      </c>
      <c r="G998" t="s">
        <v>90</v>
      </c>
      <c r="H998" t="s">
        <v>155</v>
      </c>
      <c r="I998" s="24"/>
      <c r="J998" s="24"/>
      <c r="K998" s="24"/>
      <c r="L998" s="24"/>
      <c r="N998" s="24"/>
      <c r="O998" s="24"/>
      <c r="P998" s="24"/>
      <c r="Q998" s="24"/>
      <c r="V998" s="24"/>
      <c r="W998" s="24"/>
      <c r="X998" s="24"/>
      <c r="Y998" s="24"/>
      <c r="AA998" s="24">
        <v>45832.38938641204</v>
      </c>
      <c r="AB998" s="24">
        <v>45832.38938641204</v>
      </c>
      <c r="AC998" s="24">
        <v>45832.857944687501</v>
      </c>
      <c r="AD998" s="24">
        <v>45832.857944687501</v>
      </c>
      <c r="AE998">
        <v>1</v>
      </c>
      <c r="AF998" s="24">
        <v>45832.857944687501</v>
      </c>
      <c r="AG998" s="24">
        <v>45832.857944687501</v>
      </c>
      <c r="AH998" s="24">
        <v>45838.432704467596</v>
      </c>
      <c r="AI998" s="24">
        <v>45838.432704467596</v>
      </c>
      <c r="AJ998">
        <v>1</v>
      </c>
      <c r="AK998" s="24">
        <v>45838.432704467596</v>
      </c>
      <c r="AL998" s="24">
        <v>45838.432704467596</v>
      </c>
      <c r="AM998" s="24">
        <v>45839.455792615743</v>
      </c>
      <c r="AN998" s="24">
        <v>45839.455792615743</v>
      </c>
      <c r="AO998">
        <v>1</v>
      </c>
      <c r="AP998" s="24"/>
      <c r="AQ998" s="24"/>
      <c r="AR998" s="24">
        <v>45819.411241180554</v>
      </c>
      <c r="AS998" s="24">
        <v>45819.411241180554</v>
      </c>
      <c r="AX998" s="24"/>
      <c r="AY998" s="24"/>
      <c r="AZ998" s="24"/>
      <c r="BA998" s="24"/>
      <c r="BC998" s="24">
        <v>45839.455902476853</v>
      </c>
      <c r="BD998" s="24">
        <v>45839.455902476853</v>
      </c>
      <c r="BE998" s="24">
        <v>45947.703365925925</v>
      </c>
      <c r="BF998" s="24">
        <v>45947.703365925925</v>
      </c>
      <c r="BG998">
        <v>1</v>
      </c>
      <c r="BH998" s="24">
        <v>45819.411241180554</v>
      </c>
      <c r="BI998" s="24">
        <v>45819.411241180554</v>
      </c>
      <c r="BJ998" s="24">
        <v>45832.38938641204</v>
      </c>
      <c r="BK998" s="24">
        <v>45832.38938641204</v>
      </c>
      <c r="BL998">
        <v>1</v>
      </c>
      <c r="BM998" s="24"/>
      <c r="BN998" s="24"/>
      <c r="BO998" s="24"/>
      <c r="BP998" s="24"/>
      <c r="BR998" s="24">
        <v>45839.455792615743</v>
      </c>
      <c r="BS998" s="24">
        <v>45839.455792615743</v>
      </c>
      <c r="BT998" s="24">
        <v>45839.455902476853</v>
      </c>
      <c r="BU998" s="24">
        <v>45839.455902476853</v>
      </c>
      <c r="BV998">
        <v>1</v>
      </c>
      <c r="BW998" s="24"/>
      <c r="BX998" s="24"/>
      <c r="BY998" s="24"/>
      <c r="BZ998" s="24"/>
      <c r="CB998" s="24"/>
      <c r="CC998" s="24"/>
      <c r="CE998" s="24">
        <v>45947.703365925925</v>
      </c>
      <c r="CF998" s="24">
        <v>45947.703365925925</v>
      </c>
      <c r="CG998">
        <v>1</v>
      </c>
      <c r="CH998" s="24"/>
      <c r="CI998" s="24"/>
      <c r="CJ998" s="24"/>
      <c r="CK998" s="24"/>
      <c r="DE998" s="24"/>
      <c r="DF998" s="24"/>
      <c r="DG998" s="24"/>
      <c r="DH998" s="24"/>
      <c r="DJ998" t="s">
        <v>149</v>
      </c>
      <c r="DK998" t="s">
        <v>149</v>
      </c>
      <c r="DM998">
        <v>129</v>
      </c>
      <c r="DN998">
        <v>116</v>
      </c>
      <c r="DQ998" t="s">
        <v>1001</v>
      </c>
      <c r="DR998" t="s">
        <v>149</v>
      </c>
      <c r="DS998" s="24">
        <v>46160.384426226854</v>
      </c>
    </row>
    <row r="999" spans="1:123" x14ac:dyDescent="0.3">
      <c r="A999" t="s">
        <v>1482</v>
      </c>
      <c r="D999" t="s">
        <v>223</v>
      </c>
      <c r="E999" s="24">
        <v>45819.403553240743</v>
      </c>
      <c r="G999" t="s">
        <v>90</v>
      </c>
      <c r="H999" t="s">
        <v>155</v>
      </c>
      <c r="I999" s="24"/>
      <c r="J999" s="24"/>
      <c r="K999" s="24"/>
      <c r="L999" s="24"/>
      <c r="N999" s="24"/>
      <c r="O999" s="24"/>
      <c r="P999" s="24"/>
      <c r="Q999" s="24"/>
      <c r="V999" s="24"/>
      <c r="W999" s="24"/>
      <c r="X999" s="24"/>
      <c r="Y999" s="24"/>
      <c r="AA999" s="24">
        <v>45819.459404212961</v>
      </c>
      <c r="AB999" s="24">
        <v>45819.459404212961</v>
      </c>
      <c r="AC999" s="24">
        <v>45820.325543206018</v>
      </c>
      <c r="AD999" s="24">
        <v>45820.325543206018</v>
      </c>
      <c r="AE999">
        <v>1</v>
      </c>
      <c r="AF999" s="24">
        <v>45820.325543206018</v>
      </c>
      <c r="AG999" s="24">
        <v>45820.325543206018</v>
      </c>
      <c r="AH999" s="24">
        <v>45825.442289386578</v>
      </c>
      <c r="AI999" s="24">
        <v>45825.442289386578</v>
      </c>
      <c r="AJ999">
        <v>1</v>
      </c>
      <c r="AK999" s="24"/>
      <c r="AL999" s="24"/>
      <c r="AM999" s="24"/>
      <c r="AN999" s="24"/>
      <c r="AP999" s="24"/>
      <c r="AQ999" s="24"/>
      <c r="AR999" s="24">
        <v>45819.404703831016</v>
      </c>
      <c r="AS999" s="24">
        <v>45819.404703831016</v>
      </c>
      <c r="AX999" s="24"/>
      <c r="AY999" s="24"/>
      <c r="AZ999" s="24"/>
      <c r="BA999" s="24"/>
      <c r="BC999" s="24"/>
      <c r="BD999" s="24"/>
      <c r="BE999" s="24"/>
      <c r="BF999" s="24"/>
      <c r="BH999" s="24">
        <v>45819.404703831016</v>
      </c>
      <c r="BI999" s="24">
        <v>45819.404703831016</v>
      </c>
      <c r="BJ999" s="24">
        <v>45819.459404212961</v>
      </c>
      <c r="BK999" s="24">
        <v>45819.459404212961</v>
      </c>
      <c r="BL999">
        <v>1</v>
      </c>
      <c r="BM999" s="24"/>
      <c r="BN999" s="24"/>
      <c r="BO999" s="24"/>
      <c r="BP999" s="24"/>
      <c r="BR999" s="24"/>
      <c r="BS999" s="24"/>
      <c r="BT999" s="24"/>
      <c r="BU999" s="24"/>
      <c r="BW999" s="24"/>
      <c r="BX999" s="24"/>
      <c r="BY999" s="24"/>
      <c r="BZ999" s="24"/>
      <c r="CB999" s="24"/>
      <c r="CC999" s="24"/>
      <c r="CE999" s="24">
        <v>45825.442289386578</v>
      </c>
      <c r="CF999" s="24">
        <v>45825.442289386578</v>
      </c>
      <c r="CG999">
        <v>1</v>
      </c>
      <c r="CH999" s="24"/>
      <c r="CI999" s="24"/>
      <c r="CJ999" s="24"/>
      <c r="CK999" s="24"/>
      <c r="DE999" s="24"/>
      <c r="DF999" s="24"/>
      <c r="DG999" s="24"/>
      <c r="DH999" s="24"/>
      <c r="DJ999" t="s">
        <v>149</v>
      </c>
      <c r="DK999" t="s">
        <v>149</v>
      </c>
      <c r="DM999">
        <v>7</v>
      </c>
      <c r="DN999">
        <v>6</v>
      </c>
      <c r="DQ999" t="s">
        <v>1001</v>
      </c>
      <c r="DR999" t="s">
        <v>149</v>
      </c>
      <c r="DS999" s="24">
        <v>46160.384426226854</v>
      </c>
    </row>
    <row r="1000" spans="1:123" x14ac:dyDescent="0.3">
      <c r="A1000" t="s">
        <v>1483</v>
      </c>
      <c r="D1000" t="s">
        <v>223</v>
      </c>
      <c r="E1000" s="24">
        <v>45819.400127314817</v>
      </c>
      <c r="G1000" t="s">
        <v>90</v>
      </c>
      <c r="H1000" t="s">
        <v>155</v>
      </c>
      <c r="I1000" s="24">
        <v>45819.405667013889</v>
      </c>
      <c r="J1000" s="24">
        <v>45819.405667013889</v>
      </c>
      <c r="K1000" s="24">
        <v>45819.405766469907</v>
      </c>
      <c r="L1000" s="24">
        <v>45819.405766469907</v>
      </c>
      <c r="M1000">
        <v>1</v>
      </c>
      <c r="N1000" s="24"/>
      <c r="O1000" s="24"/>
      <c r="P1000" s="24"/>
      <c r="Q1000" s="24"/>
      <c r="V1000" s="24"/>
      <c r="W1000" s="24"/>
      <c r="X1000" s="24"/>
      <c r="Y1000" s="24"/>
      <c r="AA1000" s="24">
        <v>45820.442255347225</v>
      </c>
      <c r="AB1000" s="24">
        <v>45819.405069976849</v>
      </c>
      <c r="AC1000" s="24">
        <v>45819.405667013889</v>
      </c>
      <c r="AD1000" s="24">
        <v>45826.687461886577</v>
      </c>
      <c r="AE1000">
        <v>2</v>
      </c>
      <c r="AF1000" s="24">
        <v>45826.687461886577</v>
      </c>
      <c r="AG1000" s="24">
        <v>45826.687461886577</v>
      </c>
      <c r="AH1000" s="24">
        <v>45826.687496342594</v>
      </c>
      <c r="AI1000" s="24">
        <v>45826.687496342594</v>
      </c>
      <c r="AJ1000">
        <v>1</v>
      </c>
      <c r="AK1000" s="24"/>
      <c r="AL1000" s="24"/>
      <c r="AM1000" s="24"/>
      <c r="AN1000" s="24"/>
      <c r="AP1000" s="24"/>
      <c r="AQ1000" s="24"/>
      <c r="AR1000" s="24">
        <v>45819.405054016206</v>
      </c>
      <c r="AS1000" s="24">
        <v>45819.405054016206</v>
      </c>
      <c r="AX1000" s="24"/>
      <c r="AY1000" s="24"/>
      <c r="AZ1000" s="24"/>
      <c r="BA1000" s="24"/>
      <c r="BC1000" s="24"/>
      <c r="BD1000" s="24"/>
      <c r="BE1000" s="24"/>
      <c r="BF1000" s="24"/>
      <c r="BH1000" s="24">
        <v>45819.405766469907</v>
      </c>
      <c r="BI1000" s="24">
        <v>45819.405054016206</v>
      </c>
      <c r="BJ1000" s="24">
        <v>45819.405069976849</v>
      </c>
      <c r="BK1000" s="24">
        <v>45820.442255347225</v>
      </c>
      <c r="BL1000">
        <v>2</v>
      </c>
      <c r="BM1000" s="24"/>
      <c r="BN1000" s="24"/>
      <c r="BO1000" s="24"/>
      <c r="BP1000" s="24"/>
      <c r="BR1000" s="24">
        <v>45826.687496342594</v>
      </c>
      <c r="BS1000" s="24">
        <v>45826.687496342594</v>
      </c>
      <c r="BT1000" s="24">
        <v>45826.687534699071</v>
      </c>
      <c r="BU1000" s="24">
        <v>45826.687534699071</v>
      </c>
      <c r="BV1000">
        <v>1</v>
      </c>
      <c r="BW1000" s="24"/>
      <c r="BX1000" s="24"/>
      <c r="BY1000" s="24"/>
      <c r="BZ1000" s="24"/>
      <c r="CB1000" s="24"/>
      <c r="CC1000" s="24"/>
      <c r="CE1000" s="24">
        <v>45826.687534699071</v>
      </c>
      <c r="CF1000" s="24">
        <v>45826.687534699071</v>
      </c>
      <c r="CG1000">
        <v>1</v>
      </c>
      <c r="CH1000" s="24"/>
      <c r="CI1000" s="24"/>
      <c r="CJ1000" s="24"/>
      <c r="CK1000" s="24"/>
      <c r="DE1000" s="24"/>
      <c r="DF1000" s="24"/>
      <c r="DG1000" s="24"/>
      <c r="DH1000" s="24"/>
      <c r="DJ1000" t="s">
        <v>149</v>
      </c>
      <c r="DK1000" t="s">
        <v>149</v>
      </c>
      <c r="DM1000">
        <v>8</v>
      </c>
      <c r="DN1000">
        <v>8</v>
      </c>
      <c r="DQ1000" t="s">
        <v>1001</v>
      </c>
      <c r="DR1000" t="s">
        <v>149</v>
      </c>
      <c r="DS1000" s="24">
        <v>46160.384426226854</v>
      </c>
    </row>
    <row r="1001" spans="1:123" x14ac:dyDescent="0.3">
      <c r="A1001" t="s">
        <v>1484</v>
      </c>
      <c r="D1001" t="s">
        <v>223</v>
      </c>
      <c r="E1001" s="24">
        <v>45818.485173611109</v>
      </c>
      <c r="G1001" t="s">
        <v>90</v>
      </c>
      <c r="H1001" t="s">
        <v>155</v>
      </c>
      <c r="I1001" s="24"/>
      <c r="J1001" s="24"/>
      <c r="K1001" s="24"/>
      <c r="L1001" s="24"/>
      <c r="N1001" s="24"/>
      <c r="O1001" s="24"/>
      <c r="P1001" s="24"/>
      <c r="Q1001" s="24"/>
      <c r="V1001" s="24"/>
      <c r="W1001" s="24"/>
      <c r="X1001" s="24"/>
      <c r="Y1001" s="24"/>
      <c r="AA1001" s="24">
        <v>45820.458843958331</v>
      </c>
      <c r="AB1001" s="24">
        <v>45820.458843958331</v>
      </c>
      <c r="AC1001" s="24">
        <v>45826.638310787035</v>
      </c>
      <c r="AD1001" s="24">
        <v>45826.638310787035</v>
      </c>
      <c r="AE1001">
        <v>1</v>
      </c>
      <c r="AF1001" s="24">
        <v>45826.638310787035</v>
      </c>
      <c r="AG1001" s="24">
        <v>45826.638310787035</v>
      </c>
      <c r="AH1001" s="24">
        <v>45833.437592476854</v>
      </c>
      <c r="AI1001" s="24">
        <v>45833.437592476854</v>
      </c>
      <c r="AJ1001">
        <v>1</v>
      </c>
      <c r="AK1001" s="24"/>
      <c r="AL1001" s="24"/>
      <c r="AM1001" s="24"/>
      <c r="AN1001" s="24"/>
      <c r="AP1001" s="24"/>
      <c r="AQ1001" s="24"/>
      <c r="AR1001" s="24">
        <v>45819.404908703706</v>
      </c>
      <c r="AS1001" s="24">
        <v>45819.404908703706</v>
      </c>
      <c r="AX1001" s="24"/>
      <c r="AY1001" s="24"/>
      <c r="AZ1001" s="24"/>
      <c r="BA1001" s="24"/>
      <c r="BC1001" s="24"/>
      <c r="BD1001" s="24"/>
      <c r="BE1001" s="24"/>
      <c r="BF1001" s="24"/>
      <c r="BH1001" s="24">
        <v>45819.404908703706</v>
      </c>
      <c r="BI1001" s="24">
        <v>45819.404908703706</v>
      </c>
      <c r="BJ1001" s="24">
        <v>45820.458843958331</v>
      </c>
      <c r="BK1001" s="24">
        <v>45820.458843958331</v>
      </c>
      <c r="BL1001">
        <v>1</v>
      </c>
      <c r="BM1001" s="24"/>
      <c r="BN1001" s="24"/>
      <c r="BO1001" s="24"/>
      <c r="BP1001" s="24"/>
      <c r="BR1001" s="24"/>
      <c r="BS1001" s="24"/>
      <c r="BT1001" s="24"/>
      <c r="BU1001" s="24"/>
      <c r="BW1001" s="24"/>
      <c r="BX1001" s="24"/>
      <c r="BY1001" s="24"/>
      <c r="BZ1001" s="24"/>
      <c r="CB1001" s="24"/>
      <c r="CC1001" s="24"/>
      <c r="CE1001" s="24">
        <v>45833.437592476854</v>
      </c>
      <c r="CF1001" s="24">
        <v>45833.437592476854</v>
      </c>
      <c r="CG1001">
        <v>1</v>
      </c>
      <c r="CH1001" s="24"/>
      <c r="CI1001" s="24"/>
      <c r="CJ1001" s="24"/>
      <c r="CK1001" s="24"/>
      <c r="DE1001" s="24"/>
      <c r="DF1001" s="24"/>
      <c r="DG1001" s="24"/>
      <c r="DH1001" s="24"/>
      <c r="DJ1001" t="s">
        <v>149</v>
      </c>
      <c r="DK1001" t="s">
        <v>149</v>
      </c>
      <c r="DM1001">
        <v>15</v>
      </c>
      <c r="DN1001">
        <v>13</v>
      </c>
      <c r="DQ1001" t="s">
        <v>1001</v>
      </c>
      <c r="DR1001" t="s">
        <v>149</v>
      </c>
      <c r="DS1001" s="24">
        <v>46160.384426226854</v>
      </c>
    </row>
    <row r="1002" spans="1:123" x14ac:dyDescent="0.3">
      <c r="A1002" t="s">
        <v>1485</v>
      </c>
      <c r="D1002" t="s">
        <v>223</v>
      </c>
      <c r="E1002" s="24">
        <v>45818.482881944445</v>
      </c>
      <c r="G1002" t="s">
        <v>90</v>
      </c>
      <c r="H1002" t="s">
        <v>155</v>
      </c>
      <c r="I1002" s="24"/>
      <c r="J1002" s="24"/>
      <c r="K1002" s="24"/>
      <c r="L1002" s="24"/>
      <c r="N1002" s="24"/>
      <c r="O1002" s="24"/>
      <c r="P1002" s="24"/>
      <c r="Q1002" s="24"/>
      <c r="V1002" s="24"/>
      <c r="W1002" s="24"/>
      <c r="X1002" s="24"/>
      <c r="Y1002" s="24"/>
      <c r="AA1002" s="24">
        <v>45819.426885995374</v>
      </c>
      <c r="AB1002" s="24">
        <v>45819.426885995374</v>
      </c>
      <c r="AC1002" s="24">
        <v>45826.702032997688</v>
      </c>
      <c r="AD1002" s="24">
        <v>45826.702032997688</v>
      </c>
      <c r="AE1002">
        <v>1</v>
      </c>
      <c r="AF1002" s="24">
        <v>45826.702032997688</v>
      </c>
      <c r="AG1002" s="24">
        <v>45826.702032997688</v>
      </c>
      <c r="AH1002" s="24">
        <v>45833.436990428243</v>
      </c>
      <c r="AI1002" s="24">
        <v>45833.436990428243</v>
      </c>
      <c r="AJ1002">
        <v>1</v>
      </c>
      <c r="AK1002" s="24"/>
      <c r="AL1002" s="24"/>
      <c r="AM1002" s="24"/>
      <c r="AN1002" s="24"/>
      <c r="AP1002" s="24"/>
      <c r="AQ1002" s="24"/>
      <c r="AR1002" s="24">
        <v>45819.404267754631</v>
      </c>
      <c r="AS1002" s="24">
        <v>45819.404267754631</v>
      </c>
      <c r="AX1002" s="24"/>
      <c r="AY1002" s="24"/>
      <c r="AZ1002" s="24"/>
      <c r="BA1002" s="24"/>
      <c r="BC1002" s="24"/>
      <c r="BD1002" s="24"/>
      <c r="BE1002" s="24"/>
      <c r="BF1002" s="24"/>
      <c r="BH1002" s="24">
        <v>45819.404267754631</v>
      </c>
      <c r="BI1002" s="24">
        <v>45819.404267754631</v>
      </c>
      <c r="BJ1002" s="24">
        <v>45819.426885995374</v>
      </c>
      <c r="BK1002" s="24">
        <v>45819.426885995374</v>
      </c>
      <c r="BL1002">
        <v>1</v>
      </c>
      <c r="BM1002" s="24"/>
      <c r="BN1002" s="24"/>
      <c r="BO1002" s="24"/>
      <c r="BP1002" s="24"/>
      <c r="BR1002" s="24"/>
      <c r="BS1002" s="24"/>
      <c r="BT1002" s="24"/>
      <c r="BU1002" s="24"/>
      <c r="BW1002" s="24"/>
      <c r="BX1002" s="24"/>
      <c r="BY1002" s="24"/>
      <c r="BZ1002" s="24"/>
      <c r="CB1002" s="24"/>
      <c r="CC1002" s="24"/>
      <c r="CE1002" s="24">
        <v>45833.436990428243</v>
      </c>
      <c r="CF1002" s="24">
        <v>45833.436990428243</v>
      </c>
      <c r="CG1002">
        <v>1</v>
      </c>
      <c r="CH1002" s="24"/>
      <c r="CI1002" s="24"/>
      <c r="CJ1002" s="24"/>
      <c r="CK1002" s="24"/>
      <c r="DE1002" s="24"/>
      <c r="DF1002" s="24"/>
      <c r="DG1002" s="24"/>
      <c r="DH1002" s="24"/>
      <c r="DJ1002" t="s">
        <v>149</v>
      </c>
      <c r="DK1002" t="s">
        <v>149</v>
      </c>
      <c r="DM1002">
        <v>15</v>
      </c>
      <c r="DN1002">
        <v>15</v>
      </c>
      <c r="DQ1002" t="s">
        <v>1001</v>
      </c>
      <c r="DR1002" t="s">
        <v>149</v>
      </c>
      <c r="DS1002" s="24">
        <v>46160.384426226854</v>
      </c>
    </row>
    <row r="1003" spans="1:123" x14ac:dyDescent="0.3">
      <c r="A1003" t="s">
        <v>1486</v>
      </c>
      <c r="D1003" t="s">
        <v>223</v>
      </c>
      <c r="E1003" s="24">
        <v>45818.481435185182</v>
      </c>
      <c r="G1003" t="s">
        <v>90</v>
      </c>
      <c r="H1003" t="s">
        <v>155</v>
      </c>
      <c r="I1003" s="24"/>
      <c r="J1003" s="24"/>
      <c r="K1003" s="24"/>
      <c r="L1003" s="24"/>
      <c r="N1003" s="24"/>
      <c r="O1003" s="24"/>
      <c r="P1003" s="24"/>
      <c r="Q1003" s="24"/>
      <c r="V1003" s="24"/>
      <c r="W1003" s="24"/>
      <c r="X1003" s="24"/>
      <c r="Y1003" s="24"/>
      <c r="AA1003" s="24">
        <v>45826.638812685182</v>
      </c>
      <c r="AB1003" s="24">
        <v>45826.638812685182</v>
      </c>
      <c r="AC1003" s="24">
        <v>45826.668038993055</v>
      </c>
      <c r="AD1003" s="24">
        <v>45826.668038993055</v>
      </c>
      <c r="AE1003">
        <v>1</v>
      </c>
      <c r="AF1003" s="24">
        <v>45826.668038993055</v>
      </c>
      <c r="AG1003" s="24">
        <v>45826.668038993055</v>
      </c>
      <c r="AH1003" s="24">
        <v>45826.668079814815</v>
      </c>
      <c r="AI1003" s="24">
        <v>45826.668079814815</v>
      </c>
      <c r="AJ1003">
        <v>1</v>
      </c>
      <c r="AK1003" s="24"/>
      <c r="AL1003" s="24"/>
      <c r="AM1003" s="24"/>
      <c r="AN1003" s="24"/>
      <c r="AP1003" s="24"/>
      <c r="AQ1003" s="24"/>
      <c r="AR1003" s="24">
        <v>45818.482585833335</v>
      </c>
      <c r="AS1003" s="24">
        <v>45818.482585833335</v>
      </c>
      <c r="AX1003" s="24"/>
      <c r="AY1003" s="24"/>
      <c r="AZ1003" s="24"/>
      <c r="BA1003" s="24"/>
      <c r="BC1003" s="24"/>
      <c r="BD1003" s="24"/>
      <c r="BE1003" s="24"/>
      <c r="BF1003" s="24"/>
      <c r="BH1003" s="24">
        <v>45818.482585833335</v>
      </c>
      <c r="BI1003" s="24">
        <v>45818.482585833335</v>
      </c>
      <c r="BJ1003" s="24">
        <v>45826.638812685182</v>
      </c>
      <c r="BK1003" s="24">
        <v>45826.638812685182</v>
      </c>
      <c r="BL1003">
        <v>1</v>
      </c>
      <c r="BM1003" s="24"/>
      <c r="BN1003" s="24"/>
      <c r="BO1003" s="24"/>
      <c r="BP1003" s="24"/>
      <c r="BR1003" s="24">
        <v>45826.668079814815</v>
      </c>
      <c r="BS1003" s="24">
        <v>45826.668079814815</v>
      </c>
      <c r="BT1003" s="24">
        <v>45826.668125312499</v>
      </c>
      <c r="BU1003" s="24">
        <v>45826.668125312499</v>
      </c>
      <c r="BV1003">
        <v>1</v>
      </c>
      <c r="BW1003" s="24"/>
      <c r="BX1003" s="24"/>
      <c r="BY1003" s="24"/>
      <c r="BZ1003" s="24"/>
      <c r="CB1003" s="24"/>
      <c r="CC1003" s="24"/>
      <c r="CE1003" s="24">
        <v>45826.668125312499</v>
      </c>
      <c r="CF1003" s="24">
        <v>45826.668125312499</v>
      </c>
      <c r="CG1003">
        <v>1</v>
      </c>
      <c r="CH1003" s="24"/>
      <c r="CI1003" s="24"/>
      <c r="CJ1003" s="24"/>
      <c r="CK1003" s="24"/>
      <c r="DE1003" s="24"/>
      <c r="DF1003" s="24"/>
      <c r="DG1003" s="24"/>
      <c r="DH1003" s="24"/>
      <c r="DJ1003" t="s">
        <v>149</v>
      </c>
      <c r="DK1003" t="s">
        <v>149</v>
      </c>
      <c r="DM1003">
        <v>9</v>
      </c>
      <c r="DN1003">
        <v>1</v>
      </c>
      <c r="DQ1003" t="s">
        <v>1001</v>
      </c>
      <c r="DR1003" t="s">
        <v>149</v>
      </c>
      <c r="DS1003" s="24">
        <v>46160.384426226854</v>
      </c>
    </row>
    <row r="1004" spans="1:123" x14ac:dyDescent="0.3">
      <c r="A1004" t="s">
        <v>1487</v>
      </c>
      <c r="D1004" t="s">
        <v>224</v>
      </c>
      <c r="E1004" s="24">
        <v>45818.477337962962</v>
      </c>
      <c r="G1004" t="s">
        <v>90</v>
      </c>
      <c r="H1004" t="s">
        <v>155</v>
      </c>
      <c r="I1004" s="24"/>
      <c r="J1004" s="24"/>
      <c r="K1004" s="24"/>
      <c r="L1004" s="24"/>
      <c r="N1004" s="24"/>
      <c r="O1004" s="24"/>
      <c r="P1004" s="24"/>
      <c r="Q1004" s="24"/>
      <c r="V1004" s="24"/>
      <c r="W1004" s="24"/>
      <c r="X1004" s="24"/>
      <c r="Y1004" s="24"/>
      <c r="AA1004" s="24">
        <v>45819.585593414355</v>
      </c>
      <c r="AB1004" s="24">
        <v>45819.585593414355</v>
      </c>
      <c r="AC1004" s="24">
        <v>45819.645665891207</v>
      </c>
      <c r="AD1004" s="24">
        <v>45819.645665891207</v>
      </c>
      <c r="AE1004">
        <v>1</v>
      </c>
      <c r="AF1004" s="24">
        <v>45819.645665891207</v>
      </c>
      <c r="AG1004" s="24">
        <v>45819.645665891207</v>
      </c>
      <c r="AH1004" s="24">
        <v>45820.312399432871</v>
      </c>
      <c r="AI1004" s="24">
        <v>45820.312399432871</v>
      </c>
      <c r="AJ1004">
        <v>1</v>
      </c>
      <c r="AK1004" s="24">
        <v>45820.312399432871</v>
      </c>
      <c r="AL1004" s="24">
        <v>45820.312399432871</v>
      </c>
      <c r="AM1004" s="24">
        <v>45826.511938414355</v>
      </c>
      <c r="AN1004" s="24">
        <v>45826.511938414355</v>
      </c>
      <c r="AO1004">
        <v>1</v>
      </c>
      <c r="AP1004" s="24"/>
      <c r="AQ1004" s="24"/>
      <c r="AR1004" s="24">
        <v>45819.404756944445</v>
      </c>
      <c r="AS1004" s="24">
        <v>45819.404756944445</v>
      </c>
      <c r="AX1004" s="24"/>
      <c r="AY1004" s="24"/>
      <c r="AZ1004" s="24"/>
      <c r="BA1004" s="24"/>
      <c r="BC1004" s="24">
        <v>45826.512383067129</v>
      </c>
      <c r="BD1004" s="24">
        <v>45826.512383067129</v>
      </c>
      <c r="BE1004" s="24">
        <v>45838.697728553241</v>
      </c>
      <c r="BF1004" s="24">
        <v>45838.697728553241</v>
      </c>
      <c r="BG1004">
        <v>1</v>
      </c>
      <c r="BH1004" s="24">
        <v>45819.404756944445</v>
      </c>
      <c r="BI1004" s="24">
        <v>45819.404756944445</v>
      </c>
      <c r="BJ1004" s="24">
        <v>45819.585593414355</v>
      </c>
      <c r="BK1004" s="24">
        <v>45819.585593414355</v>
      </c>
      <c r="BL1004">
        <v>1</v>
      </c>
      <c r="BM1004" s="24"/>
      <c r="BN1004" s="24"/>
      <c r="BO1004" s="24"/>
      <c r="BP1004" s="24"/>
      <c r="BR1004" s="24">
        <v>45826.511938414355</v>
      </c>
      <c r="BS1004" s="24">
        <v>45826.511938414355</v>
      </c>
      <c r="BT1004" s="24">
        <v>45826.512383067129</v>
      </c>
      <c r="BU1004" s="24">
        <v>45826.512383067129</v>
      </c>
      <c r="BV1004">
        <v>1</v>
      </c>
      <c r="BW1004" s="24"/>
      <c r="BX1004" s="24"/>
      <c r="BY1004" s="24"/>
      <c r="BZ1004" s="24"/>
      <c r="CB1004" s="24"/>
      <c r="CC1004" s="24"/>
      <c r="CE1004" s="24">
        <v>45838.697728553241</v>
      </c>
      <c r="CF1004" s="24">
        <v>45838.697728553241</v>
      </c>
      <c r="CG1004">
        <v>1</v>
      </c>
      <c r="CH1004" s="24"/>
      <c r="CI1004" s="24"/>
      <c r="CJ1004" s="24"/>
      <c r="CK1004" s="24"/>
      <c r="DE1004" s="24"/>
      <c r="DF1004" s="24"/>
      <c r="DG1004" s="24"/>
      <c r="DH1004" s="24"/>
      <c r="DJ1004" t="s">
        <v>149</v>
      </c>
      <c r="DK1004" t="s">
        <v>149</v>
      </c>
      <c r="DM1004">
        <v>20</v>
      </c>
      <c r="DN1004">
        <v>20</v>
      </c>
      <c r="DQ1004" t="s">
        <v>1001</v>
      </c>
      <c r="DR1004" t="s">
        <v>149</v>
      </c>
      <c r="DS1004" s="24">
        <v>46160.384426226854</v>
      </c>
    </row>
    <row r="1005" spans="1:123" x14ac:dyDescent="0.3">
      <c r="A1005" t="s">
        <v>1488</v>
      </c>
      <c r="D1005" t="s">
        <v>223</v>
      </c>
      <c r="E1005" s="24">
        <v>45818.473275462966</v>
      </c>
      <c r="G1005" t="s">
        <v>90</v>
      </c>
      <c r="H1005" t="s">
        <v>155</v>
      </c>
      <c r="I1005" s="24"/>
      <c r="J1005" s="24"/>
      <c r="K1005" s="24"/>
      <c r="L1005" s="24"/>
      <c r="N1005" s="24"/>
      <c r="O1005" s="24"/>
      <c r="P1005" s="24"/>
      <c r="Q1005" s="24"/>
      <c r="V1005" s="24"/>
      <c r="W1005" s="24"/>
      <c r="X1005" s="24"/>
      <c r="Y1005" s="24"/>
      <c r="AA1005" s="24">
        <v>45821.423843923614</v>
      </c>
      <c r="AB1005" s="24">
        <v>45821.423843923614</v>
      </c>
      <c r="AC1005" s="24">
        <v>45821.513332291666</v>
      </c>
      <c r="AD1005" s="24">
        <v>45821.513332291666</v>
      </c>
      <c r="AE1005">
        <v>1</v>
      </c>
      <c r="AF1005" s="24">
        <v>45821.513332291666</v>
      </c>
      <c r="AG1005" s="24">
        <v>45821.513332291666</v>
      </c>
      <c r="AH1005" s="24">
        <v>45825.379077708334</v>
      </c>
      <c r="AI1005" s="24">
        <v>45825.379077708334</v>
      </c>
      <c r="AJ1005">
        <v>1</v>
      </c>
      <c r="AK1005" s="24"/>
      <c r="AL1005" s="24"/>
      <c r="AM1005" s="24"/>
      <c r="AN1005" s="24"/>
      <c r="AP1005" s="24"/>
      <c r="AQ1005" s="24"/>
      <c r="AR1005" s="24">
        <v>45818.475677361108</v>
      </c>
      <c r="AS1005" s="24">
        <v>45818.475677361108</v>
      </c>
      <c r="AX1005" s="24"/>
      <c r="AY1005" s="24"/>
      <c r="AZ1005" s="24"/>
      <c r="BA1005" s="24"/>
      <c r="BC1005" s="24"/>
      <c r="BD1005" s="24"/>
      <c r="BE1005" s="24"/>
      <c r="BF1005" s="24"/>
      <c r="BH1005" s="24">
        <v>45818.475677361108</v>
      </c>
      <c r="BI1005" s="24">
        <v>45818.475677361108</v>
      </c>
      <c r="BJ1005" s="24">
        <v>45821.423843923614</v>
      </c>
      <c r="BK1005" s="24">
        <v>45821.423843923614</v>
      </c>
      <c r="BL1005">
        <v>1</v>
      </c>
      <c r="BM1005" s="24"/>
      <c r="BN1005" s="24"/>
      <c r="BO1005" s="24"/>
      <c r="BP1005" s="24"/>
      <c r="BR1005" s="24">
        <v>45825.379077708334</v>
      </c>
      <c r="BS1005" s="24">
        <v>45825.379077708334</v>
      </c>
      <c r="BT1005" s="24">
        <v>45825.379108449073</v>
      </c>
      <c r="BU1005" s="24">
        <v>45825.379108449073</v>
      </c>
      <c r="BV1005">
        <v>1</v>
      </c>
      <c r="BW1005" s="24"/>
      <c r="BX1005" s="24"/>
      <c r="BY1005" s="24"/>
      <c r="BZ1005" s="24"/>
      <c r="CB1005" s="24"/>
      <c r="CC1005" s="24"/>
      <c r="CE1005" s="24">
        <v>45825.379108449073</v>
      </c>
      <c r="CF1005" s="24">
        <v>45825.379108449073</v>
      </c>
      <c r="CG1005">
        <v>1</v>
      </c>
      <c r="CH1005" s="24"/>
      <c r="CI1005" s="24"/>
      <c r="CJ1005" s="24"/>
      <c r="CK1005" s="24"/>
      <c r="DE1005" s="24"/>
      <c r="DF1005" s="24"/>
      <c r="DG1005" s="24"/>
      <c r="DH1005" s="24"/>
      <c r="DJ1005" t="s">
        <v>149</v>
      </c>
      <c r="DK1005" t="s">
        <v>149</v>
      </c>
      <c r="DM1005">
        <v>7</v>
      </c>
      <c r="DN1005">
        <v>4</v>
      </c>
      <c r="DQ1005" t="s">
        <v>1001</v>
      </c>
      <c r="DR1005" t="s">
        <v>149</v>
      </c>
      <c r="DS1005" s="24">
        <v>46160.384426226854</v>
      </c>
    </row>
    <row r="1006" spans="1:123" x14ac:dyDescent="0.3">
      <c r="A1006" t="s">
        <v>1489</v>
      </c>
      <c r="D1006" t="s">
        <v>224</v>
      </c>
      <c r="E1006" s="24">
        <v>45803.454363425924</v>
      </c>
      <c r="G1006" t="s">
        <v>150</v>
      </c>
      <c r="H1006" t="s">
        <v>155</v>
      </c>
      <c r="I1006" s="24"/>
      <c r="J1006" s="24"/>
      <c r="K1006" s="24"/>
      <c r="L1006" s="24"/>
      <c r="N1006" s="24"/>
      <c r="O1006" s="24"/>
      <c r="P1006" s="24"/>
      <c r="Q1006" s="24"/>
      <c r="V1006" s="24"/>
      <c r="W1006" s="24"/>
      <c r="X1006" s="24"/>
      <c r="Y1006" s="24"/>
      <c r="AA1006" s="24">
        <v>45803.733043171298</v>
      </c>
      <c r="AB1006" s="24">
        <v>45803.733043171298</v>
      </c>
      <c r="AC1006" s="24">
        <v>45805.476844247685</v>
      </c>
      <c r="AD1006" s="24">
        <v>45805.476844247685</v>
      </c>
      <c r="AE1006">
        <v>1</v>
      </c>
      <c r="AF1006" s="24"/>
      <c r="AG1006" s="24"/>
      <c r="AH1006" s="24"/>
      <c r="AI1006" s="24"/>
      <c r="AK1006" s="24">
        <v>45805.476844247685</v>
      </c>
      <c r="AL1006" s="24">
        <v>45805.476844247685</v>
      </c>
      <c r="AM1006" s="24">
        <v>45805.476927673611</v>
      </c>
      <c r="AN1006" s="24">
        <v>45805.476927673611</v>
      </c>
      <c r="AO1006">
        <v>1</v>
      </c>
      <c r="AP1006" s="24"/>
      <c r="AQ1006" s="24"/>
      <c r="AR1006" s="24">
        <v>45803.732361921298</v>
      </c>
      <c r="AS1006" s="24">
        <v>45803.732361921298</v>
      </c>
      <c r="AX1006" s="24"/>
      <c r="AY1006" s="24"/>
      <c r="AZ1006" s="24"/>
      <c r="BA1006" s="24"/>
      <c r="BC1006" s="24"/>
      <c r="BD1006" s="24"/>
      <c r="BE1006" s="24"/>
      <c r="BF1006" s="24"/>
      <c r="BH1006" s="24">
        <v>45803.732361921298</v>
      </c>
      <c r="BI1006" s="24">
        <v>45803.732361921298</v>
      </c>
      <c r="BJ1006" s="24">
        <v>45803.733043171298</v>
      </c>
      <c r="BK1006" s="24">
        <v>45803.733043171298</v>
      </c>
      <c r="BL1006">
        <v>1</v>
      </c>
      <c r="BM1006" s="24"/>
      <c r="BN1006" s="24"/>
      <c r="BO1006" s="24"/>
      <c r="BP1006" s="24"/>
      <c r="BR1006" s="24">
        <v>45805.476927673611</v>
      </c>
      <c r="BS1006" s="24">
        <v>45805.476927673611</v>
      </c>
      <c r="BT1006" s="24">
        <v>45805.477270196759</v>
      </c>
      <c r="BU1006" s="24">
        <v>45805.477270196759</v>
      </c>
      <c r="BV1006">
        <v>1</v>
      </c>
      <c r="BW1006" s="24"/>
      <c r="BX1006" s="24"/>
      <c r="BY1006" s="24"/>
      <c r="BZ1006" s="24"/>
      <c r="CB1006" s="24">
        <v>45805.477270196759</v>
      </c>
      <c r="CC1006" s="24">
        <v>45805.477270196759</v>
      </c>
      <c r="CD1006">
        <v>1</v>
      </c>
      <c r="CE1006" s="24"/>
      <c r="CF1006" s="24"/>
      <c r="CH1006" s="24"/>
      <c r="CI1006" s="24"/>
      <c r="CJ1006" s="24"/>
      <c r="CK1006" s="24"/>
      <c r="DE1006" s="24"/>
      <c r="DF1006" s="24"/>
      <c r="DG1006" s="24"/>
      <c r="DH1006" s="24"/>
      <c r="DJ1006" t="s">
        <v>149</v>
      </c>
      <c r="DK1006" t="s">
        <v>149</v>
      </c>
      <c r="DQ1006" t="s">
        <v>1001</v>
      </c>
      <c r="DR1006" t="s">
        <v>149</v>
      </c>
      <c r="DS1006" s="24">
        <v>46160.384426226854</v>
      </c>
    </row>
    <row r="1007" spans="1:123" x14ac:dyDescent="0.3">
      <c r="A1007" t="s">
        <v>1490</v>
      </c>
      <c r="D1007" t="s">
        <v>225</v>
      </c>
      <c r="E1007" s="24">
        <v>45799.414687500001</v>
      </c>
      <c r="G1007" t="s">
        <v>90</v>
      </c>
      <c r="H1007" t="s">
        <v>155</v>
      </c>
      <c r="I1007" s="24"/>
      <c r="J1007" s="24"/>
      <c r="K1007" s="24"/>
      <c r="L1007" s="24"/>
      <c r="N1007" s="24"/>
      <c r="O1007" s="24"/>
      <c r="P1007" s="24"/>
      <c r="Q1007" s="24"/>
      <c r="V1007" s="24"/>
      <c r="W1007" s="24"/>
      <c r="X1007" s="24"/>
      <c r="Y1007" s="24"/>
      <c r="AA1007" s="24">
        <v>45821.483637430552</v>
      </c>
      <c r="AB1007" s="24">
        <v>45821.483637430552</v>
      </c>
      <c r="AC1007" s="24">
        <v>45832.378915567133</v>
      </c>
      <c r="AD1007" s="24">
        <v>45832.378915567133</v>
      </c>
      <c r="AE1007">
        <v>1</v>
      </c>
      <c r="AF1007" s="24">
        <v>45832.378915567133</v>
      </c>
      <c r="AG1007" s="24">
        <v>45832.378915567133</v>
      </c>
      <c r="AH1007" s="24">
        <v>45834.928008645831</v>
      </c>
      <c r="AI1007" s="24">
        <v>45834.928008645831</v>
      </c>
      <c r="AJ1007">
        <v>1</v>
      </c>
      <c r="AK1007" s="24">
        <v>45834.928008645831</v>
      </c>
      <c r="AL1007" s="24">
        <v>45834.928008645831</v>
      </c>
      <c r="AM1007" s="24">
        <v>45839.466839085646</v>
      </c>
      <c r="AN1007" s="24">
        <v>45839.466839085646</v>
      </c>
      <c r="AO1007">
        <v>1</v>
      </c>
      <c r="AP1007" s="24"/>
      <c r="AQ1007" s="24"/>
      <c r="AR1007" s="24">
        <v>45803.562282280094</v>
      </c>
      <c r="AS1007" s="24">
        <v>45803.562282280094</v>
      </c>
      <c r="AX1007" s="24"/>
      <c r="AY1007" s="24"/>
      <c r="AZ1007" s="24"/>
      <c r="BA1007" s="24"/>
      <c r="BC1007" s="24">
        <v>45839.466938611113</v>
      </c>
      <c r="BD1007" s="24">
        <v>45839.466938611113</v>
      </c>
      <c r="BE1007" s="24">
        <v>45947.703365717593</v>
      </c>
      <c r="BF1007" s="24">
        <v>45947.703365717593</v>
      </c>
      <c r="BG1007">
        <v>1</v>
      </c>
      <c r="BH1007" s="24">
        <v>45803.562282280094</v>
      </c>
      <c r="BI1007" s="24">
        <v>45803.562282280094</v>
      </c>
      <c r="BJ1007" s="24">
        <v>45821.483637430552</v>
      </c>
      <c r="BK1007" s="24">
        <v>45821.483637430552</v>
      </c>
      <c r="BL1007">
        <v>1</v>
      </c>
      <c r="BM1007" s="24"/>
      <c r="BN1007" s="24"/>
      <c r="BO1007" s="24"/>
      <c r="BP1007" s="24"/>
      <c r="BR1007" s="24">
        <v>45839.466839085646</v>
      </c>
      <c r="BS1007" s="24">
        <v>45839.466839085646</v>
      </c>
      <c r="BT1007" s="24">
        <v>45839.466938611113</v>
      </c>
      <c r="BU1007" s="24">
        <v>45839.466938611113</v>
      </c>
      <c r="BV1007">
        <v>1</v>
      </c>
      <c r="BW1007" s="24"/>
      <c r="BX1007" s="24"/>
      <c r="BY1007" s="24"/>
      <c r="BZ1007" s="24"/>
      <c r="CB1007" s="24"/>
      <c r="CC1007" s="24"/>
      <c r="CE1007" s="24">
        <v>45947.703365717593</v>
      </c>
      <c r="CF1007" s="24">
        <v>45947.703365717593</v>
      </c>
      <c r="CG1007">
        <v>1</v>
      </c>
      <c r="CH1007" s="24"/>
      <c r="CI1007" s="24"/>
      <c r="CJ1007" s="24"/>
      <c r="CK1007" s="24"/>
      <c r="DE1007" s="24"/>
      <c r="DF1007" s="24"/>
      <c r="DG1007" s="24"/>
      <c r="DH1007" s="24"/>
      <c r="DJ1007" t="s">
        <v>149</v>
      </c>
      <c r="DK1007" t="s">
        <v>149</v>
      </c>
      <c r="DM1007">
        <v>145</v>
      </c>
      <c r="DN1007">
        <v>127</v>
      </c>
      <c r="DQ1007" t="s">
        <v>1001</v>
      </c>
      <c r="DR1007" t="s">
        <v>149</v>
      </c>
      <c r="DS1007" s="24">
        <v>46160.384426226854</v>
      </c>
    </row>
    <row r="1008" spans="1:123" x14ac:dyDescent="0.3">
      <c r="A1008" t="s">
        <v>1491</v>
      </c>
      <c r="D1008" t="s">
        <v>223</v>
      </c>
      <c r="E1008" s="24">
        <v>45798.572384259256</v>
      </c>
      <c r="G1008" t="s">
        <v>90</v>
      </c>
      <c r="H1008" t="s">
        <v>155</v>
      </c>
      <c r="I1008" s="24"/>
      <c r="J1008" s="24"/>
      <c r="K1008" s="24"/>
      <c r="L1008" s="24"/>
      <c r="N1008" s="24"/>
      <c r="O1008" s="24"/>
      <c r="P1008" s="24"/>
      <c r="Q1008" s="24"/>
      <c r="V1008" s="24"/>
      <c r="W1008" s="24"/>
      <c r="X1008" s="24"/>
      <c r="Y1008" s="24"/>
      <c r="AA1008" s="24">
        <v>45812.304733831021</v>
      </c>
      <c r="AB1008" s="24">
        <v>45812.304733831021</v>
      </c>
      <c r="AC1008" s="24">
        <v>45813.40621021991</v>
      </c>
      <c r="AD1008" s="24">
        <v>45813.40621021991</v>
      </c>
      <c r="AE1008">
        <v>1</v>
      </c>
      <c r="AF1008" s="24">
        <v>45813.40621021991</v>
      </c>
      <c r="AG1008" s="24">
        <v>45813.40621021991</v>
      </c>
      <c r="AH1008" s="24">
        <v>45819.384079236108</v>
      </c>
      <c r="AI1008" s="24">
        <v>45819.384079236108</v>
      </c>
      <c r="AJ1008">
        <v>1</v>
      </c>
      <c r="AK1008" s="24"/>
      <c r="AL1008" s="24"/>
      <c r="AM1008" s="24"/>
      <c r="AN1008" s="24"/>
      <c r="AP1008" s="24"/>
      <c r="AQ1008" s="24"/>
      <c r="AR1008" s="24">
        <v>45805.477424363424</v>
      </c>
      <c r="AS1008" s="24">
        <v>45805.477424363424</v>
      </c>
      <c r="AX1008" s="24"/>
      <c r="AY1008" s="24"/>
      <c r="AZ1008" s="24"/>
      <c r="BA1008" s="24"/>
      <c r="BC1008" s="24"/>
      <c r="BD1008" s="24"/>
      <c r="BE1008" s="24"/>
      <c r="BF1008" s="24"/>
      <c r="BH1008" s="24">
        <v>45805.477424363424</v>
      </c>
      <c r="BI1008" s="24">
        <v>45805.477424363424</v>
      </c>
      <c r="BJ1008" s="24">
        <v>45812.304733831021</v>
      </c>
      <c r="BK1008" s="24">
        <v>45812.304733831021</v>
      </c>
      <c r="BL1008">
        <v>1</v>
      </c>
      <c r="BM1008" s="24"/>
      <c r="BN1008" s="24"/>
      <c r="BO1008" s="24"/>
      <c r="BP1008" s="24"/>
      <c r="BR1008" s="24"/>
      <c r="BS1008" s="24"/>
      <c r="BT1008" s="24"/>
      <c r="BU1008" s="24"/>
      <c r="BW1008" s="24"/>
      <c r="BX1008" s="24"/>
      <c r="BY1008" s="24"/>
      <c r="BZ1008" s="24"/>
      <c r="CB1008" s="24"/>
      <c r="CC1008" s="24"/>
      <c r="CE1008" s="24">
        <v>45819.384079236108</v>
      </c>
      <c r="CF1008" s="24">
        <v>45819.384079236108</v>
      </c>
      <c r="CG1008">
        <v>1</v>
      </c>
      <c r="CH1008" s="24"/>
      <c r="CI1008" s="24"/>
      <c r="CJ1008" s="24"/>
      <c r="CK1008" s="24"/>
      <c r="DE1008" s="24"/>
      <c r="DF1008" s="24"/>
      <c r="DG1008" s="24"/>
      <c r="DH1008" s="24"/>
      <c r="DJ1008" t="s">
        <v>149</v>
      </c>
      <c r="DK1008" t="s">
        <v>149</v>
      </c>
      <c r="DM1008">
        <v>14</v>
      </c>
      <c r="DN1008">
        <v>8</v>
      </c>
      <c r="DQ1008" t="s">
        <v>1001</v>
      </c>
      <c r="DR1008" t="s">
        <v>149</v>
      </c>
      <c r="DS1008" s="24">
        <v>46160.384426226854</v>
      </c>
    </row>
    <row r="1009" spans="1:123" x14ac:dyDescent="0.3">
      <c r="A1009" t="s">
        <v>1492</v>
      </c>
      <c r="D1009" t="s">
        <v>225</v>
      </c>
      <c r="E1009" s="24">
        <v>45798.571122685185</v>
      </c>
      <c r="G1009" t="s">
        <v>103</v>
      </c>
      <c r="H1009" t="s">
        <v>154</v>
      </c>
      <c r="I1009" s="24">
        <v>45875.457325740739</v>
      </c>
      <c r="J1009" s="24">
        <v>45875.457325740739</v>
      </c>
      <c r="K1009" s="24"/>
      <c r="L1009" s="24"/>
      <c r="M1009">
        <v>1</v>
      </c>
      <c r="N1009" s="24"/>
      <c r="O1009" s="24"/>
      <c r="P1009" s="24"/>
      <c r="Q1009" s="24"/>
      <c r="V1009" s="24"/>
      <c r="W1009" s="24"/>
      <c r="X1009" s="24"/>
      <c r="Y1009" s="24"/>
      <c r="AA1009" s="24">
        <v>45821.407670856483</v>
      </c>
      <c r="AB1009" s="24">
        <v>45821.407670856483</v>
      </c>
      <c r="AC1009" s="24">
        <v>45875.457325740739</v>
      </c>
      <c r="AD1009" s="24">
        <v>45875.457325740739</v>
      </c>
      <c r="AE1009">
        <v>1</v>
      </c>
      <c r="AF1009" s="24"/>
      <c r="AG1009" s="24"/>
      <c r="AH1009" s="24"/>
      <c r="AI1009" s="24"/>
      <c r="AK1009" s="24"/>
      <c r="AL1009" s="24"/>
      <c r="AM1009" s="24"/>
      <c r="AN1009" s="24"/>
      <c r="AP1009" s="24"/>
      <c r="AQ1009" s="24"/>
      <c r="AR1009" s="24"/>
      <c r="AS1009" s="24"/>
      <c r="AX1009" s="24"/>
      <c r="AY1009" s="24"/>
      <c r="AZ1009" s="24"/>
      <c r="BA1009" s="24"/>
      <c r="BC1009" s="24"/>
      <c r="BD1009" s="24"/>
      <c r="BE1009" s="24"/>
      <c r="BF1009" s="24"/>
      <c r="BH1009" s="24"/>
      <c r="BI1009" s="24"/>
      <c r="BJ1009" s="24"/>
      <c r="BK1009" s="24"/>
      <c r="BM1009" s="24"/>
      <c r="BN1009" s="24"/>
      <c r="BO1009" s="24"/>
      <c r="BP1009" s="24"/>
      <c r="BR1009" s="24"/>
      <c r="BS1009" s="24"/>
      <c r="BT1009" s="24"/>
      <c r="BU1009" s="24"/>
      <c r="BW1009" s="24"/>
      <c r="BX1009" s="24"/>
      <c r="BY1009" s="24"/>
      <c r="BZ1009" s="24"/>
      <c r="CB1009" s="24"/>
      <c r="CC1009" s="24"/>
      <c r="CE1009" s="24"/>
      <c r="CF1009" s="24"/>
      <c r="CH1009" s="24"/>
      <c r="CI1009" s="24"/>
      <c r="CJ1009" s="24"/>
      <c r="CK1009" s="24"/>
      <c r="DE1009" s="24"/>
      <c r="DF1009" s="24"/>
      <c r="DG1009" s="24"/>
      <c r="DH1009" s="24"/>
      <c r="DJ1009" t="s">
        <v>149</v>
      </c>
      <c r="DK1009" t="s">
        <v>149</v>
      </c>
      <c r="DO1009">
        <v>339</v>
      </c>
      <c r="DP1009">
        <v>285</v>
      </c>
      <c r="DQ1009" t="s">
        <v>1001</v>
      </c>
      <c r="DR1009" t="s">
        <v>149</v>
      </c>
      <c r="DS1009" s="24">
        <v>46160.384426226854</v>
      </c>
    </row>
    <row r="1010" spans="1:123" x14ac:dyDescent="0.3">
      <c r="A1010" t="s">
        <v>1493</v>
      </c>
      <c r="D1010" t="s">
        <v>225</v>
      </c>
      <c r="E1010" s="24">
        <v>45791.500520833331</v>
      </c>
      <c r="G1010" t="s">
        <v>90</v>
      </c>
      <c r="H1010" t="s">
        <v>155</v>
      </c>
      <c r="I1010" s="24"/>
      <c r="J1010" s="24"/>
      <c r="K1010" s="24"/>
      <c r="L1010" s="24"/>
      <c r="N1010" s="24"/>
      <c r="O1010" s="24"/>
      <c r="P1010" s="24"/>
      <c r="Q1010" s="24"/>
      <c r="V1010" s="24"/>
      <c r="W1010" s="24"/>
      <c r="X1010" s="24"/>
      <c r="Y1010" s="24"/>
      <c r="AA1010" s="24">
        <v>45796.446096087966</v>
      </c>
      <c r="AB1010" s="24">
        <v>45796.446096087966</v>
      </c>
      <c r="AC1010" s="24">
        <v>45799.934459363423</v>
      </c>
      <c r="AD1010" s="24">
        <v>45799.934459363423</v>
      </c>
      <c r="AE1010">
        <v>1</v>
      </c>
      <c r="AF1010" s="24">
        <v>45799.934459363423</v>
      </c>
      <c r="AG1010" s="24">
        <v>45799.934459363423</v>
      </c>
      <c r="AH1010" s="24">
        <v>45799.934491932872</v>
      </c>
      <c r="AI1010" s="24">
        <v>45799.934491932872</v>
      </c>
      <c r="AJ1010">
        <v>1</v>
      </c>
      <c r="AK1010" s="24">
        <v>45799.934491932872</v>
      </c>
      <c r="AL1010" s="24">
        <v>45799.934491932872</v>
      </c>
      <c r="AM1010" s="24">
        <v>45799.934526712961</v>
      </c>
      <c r="AN1010" s="24">
        <v>45799.934526712961</v>
      </c>
      <c r="AO1010">
        <v>1</v>
      </c>
      <c r="AP1010" s="24"/>
      <c r="AQ1010" s="24"/>
      <c r="AR1010" s="24">
        <v>45791.50251215278</v>
      </c>
      <c r="AS1010" s="24">
        <v>45791.50251215278</v>
      </c>
      <c r="AX1010" s="24"/>
      <c r="AY1010" s="24"/>
      <c r="AZ1010" s="24"/>
      <c r="BA1010" s="24"/>
      <c r="BC1010" s="24">
        <v>45799.934959930557</v>
      </c>
      <c r="BD1010" s="24">
        <v>45799.934959930557</v>
      </c>
      <c r="BE1010" s="24">
        <v>46049.615167002317</v>
      </c>
      <c r="BF1010" s="24">
        <v>46049.615167002317</v>
      </c>
      <c r="BG1010">
        <v>1</v>
      </c>
      <c r="BH1010" s="24">
        <v>45791.50251215278</v>
      </c>
      <c r="BI1010" s="24">
        <v>45791.50251215278</v>
      </c>
      <c r="BJ1010" s="24">
        <v>45796.446096087966</v>
      </c>
      <c r="BK1010" s="24">
        <v>45796.446096087966</v>
      </c>
      <c r="BL1010">
        <v>1</v>
      </c>
      <c r="BM1010" s="24"/>
      <c r="BN1010" s="24"/>
      <c r="BO1010" s="24"/>
      <c r="BP1010" s="24"/>
      <c r="BR1010" s="24">
        <v>45799.934526712961</v>
      </c>
      <c r="BS1010" s="24">
        <v>45799.934526712961</v>
      </c>
      <c r="BT1010" s="24">
        <v>45799.934959930557</v>
      </c>
      <c r="BU1010" s="24">
        <v>45799.934959930557</v>
      </c>
      <c r="BV1010">
        <v>1</v>
      </c>
      <c r="BW1010" s="24"/>
      <c r="BX1010" s="24"/>
      <c r="BY1010" s="24"/>
      <c r="BZ1010" s="24"/>
      <c r="CB1010" s="24"/>
      <c r="CC1010" s="24"/>
      <c r="CE1010" s="24">
        <v>46049.615167002317</v>
      </c>
      <c r="CF1010" s="24">
        <v>46049.615167002317</v>
      </c>
      <c r="CG1010">
        <v>1</v>
      </c>
      <c r="CH1010" s="24"/>
      <c r="CI1010" s="24"/>
      <c r="CJ1010" s="24"/>
      <c r="CK1010" s="24"/>
      <c r="DE1010" s="24"/>
      <c r="DF1010" s="24"/>
      <c r="DG1010" s="24"/>
      <c r="DH1010" s="24"/>
      <c r="DJ1010" t="s">
        <v>149</v>
      </c>
      <c r="DK1010" t="s">
        <v>149</v>
      </c>
      <c r="DM1010">
        <v>259</v>
      </c>
      <c r="DN1010">
        <v>254</v>
      </c>
      <c r="DQ1010" t="s">
        <v>1001</v>
      </c>
      <c r="DR1010" t="s">
        <v>149</v>
      </c>
      <c r="DS1010" s="24">
        <v>46160.384426226854</v>
      </c>
    </row>
    <row r="1011" spans="1:123" x14ac:dyDescent="0.3">
      <c r="A1011" t="s">
        <v>1494</v>
      </c>
      <c r="D1011" t="s">
        <v>225</v>
      </c>
      <c r="E1011" s="24">
        <v>45791.484189814815</v>
      </c>
      <c r="G1011" t="s">
        <v>90</v>
      </c>
      <c r="H1011" t="s">
        <v>155</v>
      </c>
      <c r="I1011" s="24"/>
      <c r="J1011" s="24"/>
      <c r="K1011" s="24"/>
      <c r="L1011" s="24"/>
      <c r="N1011" s="24"/>
      <c r="O1011" s="24"/>
      <c r="P1011" s="24"/>
      <c r="Q1011" s="24"/>
      <c r="V1011" s="24"/>
      <c r="W1011" s="24"/>
      <c r="X1011" s="24"/>
      <c r="Y1011" s="24"/>
      <c r="AA1011" s="24">
        <v>45792.629208634258</v>
      </c>
      <c r="AB1011" s="24">
        <v>45792.629208634258</v>
      </c>
      <c r="AC1011" s="24">
        <v>45792.640482326387</v>
      </c>
      <c r="AD1011" s="24">
        <v>45792.640482326387</v>
      </c>
      <c r="AE1011">
        <v>1</v>
      </c>
      <c r="AF1011" s="24">
        <v>45792.640482326387</v>
      </c>
      <c r="AG1011" s="24">
        <v>45792.640482326387</v>
      </c>
      <c r="AH1011" s="24">
        <v>45792.64052061343</v>
      </c>
      <c r="AI1011" s="24">
        <v>45792.64052061343</v>
      </c>
      <c r="AJ1011">
        <v>1</v>
      </c>
      <c r="AK1011" s="24">
        <v>45792.64052061343</v>
      </c>
      <c r="AL1011" s="24">
        <v>45792.64052061343</v>
      </c>
      <c r="AM1011" s="24">
        <v>45793.410388518518</v>
      </c>
      <c r="AN1011" s="24">
        <v>45793.410388518518</v>
      </c>
      <c r="AO1011">
        <v>1</v>
      </c>
      <c r="AP1011" s="24"/>
      <c r="AQ1011" s="24"/>
      <c r="AR1011" s="24">
        <v>45792.628433865742</v>
      </c>
      <c r="AS1011" s="24">
        <v>45792.628433865742</v>
      </c>
      <c r="AX1011" s="24"/>
      <c r="AY1011" s="24"/>
      <c r="AZ1011" s="24"/>
      <c r="BA1011" s="24"/>
      <c r="BC1011" s="24">
        <v>45797.496647685184</v>
      </c>
      <c r="BD1011" s="24">
        <v>45797.496647685184</v>
      </c>
      <c r="BE1011" s="24">
        <v>45797.497403923611</v>
      </c>
      <c r="BF1011" s="24">
        <v>45797.497403923611</v>
      </c>
      <c r="BG1011">
        <v>1</v>
      </c>
      <c r="BH1011" s="24">
        <v>45792.628433865742</v>
      </c>
      <c r="BI1011" s="24">
        <v>45792.628433865742</v>
      </c>
      <c r="BJ1011" s="24">
        <v>45792.629208634258</v>
      </c>
      <c r="BK1011" s="24">
        <v>45792.629208634258</v>
      </c>
      <c r="BL1011">
        <v>1</v>
      </c>
      <c r="BM1011" s="24"/>
      <c r="BN1011" s="24"/>
      <c r="BO1011" s="24"/>
      <c r="BP1011" s="24"/>
      <c r="BR1011" s="24">
        <v>45793.410388518518</v>
      </c>
      <c r="BS1011" s="24">
        <v>45793.410388518518</v>
      </c>
      <c r="BT1011" s="24">
        <v>45797.496647685184</v>
      </c>
      <c r="BU1011" s="24">
        <v>45797.496647685184</v>
      </c>
      <c r="BV1011">
        <v>1</v>
      </c>
      <c r="BW1011" s="24"/>
      <c r="BX1011" s="24"/>
      <c r="BY1011" s="24"/>
      <c r="BZ1011" s="24"/>
      <c r="CB1011" s="24"/>
      <c r="CC1011" s="24"/>
      <c r="CE1011" s="24">
        <v>45797.497403923611</v>
      </c>
      <c r="CF1011" s="24">
        <v>45797.497403923611</v>
      </c>
      <c r="CG1011">
        <v>1</v>
      </c>
      <c r="CH1011" s="24"/>
      <c r="CI1011" s="24"/>
      <c r="CJ1011" s="24"/>
      <c r="CK1011" s="24"/>
      <c r="DE1011" s="24"/>
      <c r="DF1011" s="24"/>
      <c r="DG1011" s="24"/>
      <c r="DH1011" s="24"/>
      <c r="DJ1011" t="s">
        <v>149</v>
      </c>
      <c r="DK1011" t="s">
        <v>149</v>
      </c>
      <c r="DM1011">
        <v>5</v>
      </c>
      <c r="DN1011">
        <v>5</v>
      </c>
      <c r="DQ1011" t="s">
        <v>1001</v>
      </c>
      <c r="DR1011" t="s">
        <v>149</v>
      </c>
      <c r="DS1011" s="24">
        <v>46160.384426226854</v>
      </c>
    </row>
    <row r="1012" spans="1:123" x14ac:dyDescent="0.3">
      <c r="A1012" t="s">
        <v>1495</v>
      </c>
      <c r="D1012" t="s">
        <v>223</v>
      </c>
      <c r="E1012" s="24">
        <v>45791.429062499999</v>
      </c>
      <c r="G1012" t="s">
        <v>90</v>
      </c>
      <c r="H1012" t="s">
        <v>155</v>
      </c>
      <c r="I1012" s="24"/>
      <c r="J1012" s="24"/>
      <c r="K1012" s="24"/>
      <c r="L1012" s="24"/>
      <c r="N1012" s="24"/>
      <c r="O1012" s="24"/>
      <c r="P1012" s="24"/>
      <c r="Q1012" s="24"/>
      <c r="V1012" s="24"/>
      <c r="W1012" s="24"/>
      <c r="X1012" s="24"/>
      <c r="Y1012" s="24"/>
      <c r="AA1012" s="24">
        <v>45805.430300196756</v>
      </c>
      <c r="AB1012" s="24">
        <v>45805.430300196756</v>
      </c>
      <c r="AC1012" s="24">
        <v>45805.443884918983</v>
      </c>
      <c r="AD1012" s="24">
        <v>45805.443884918983</v>
      </c>
      <c r="AE1012">
        <v>1</v>
      </c>
      <c r="AF1012" s="24"/>
      <c r="AG1012" s="24"/>
      <c r="AH1012" s="24"/>
      <c r="AI1012" s="24"/>
      <c r="AK1012" s="24"/>
      <c r="AL1012" s="24"/>
      <c r="AM1012" s="24"/>
      <c r="AN1012" s="24"/>
      <c r="AP1012" s="24"/>
      <c r="AQ1012" s="24"/>
      <c r="AR1012" s="24">
        <v>45805.430248900462</v>
      </c>
      <c r="AS1012" s="24">
        <v>45805.430248900462</v>
      </c>
      <c r="AX1012" s="24"/>
      <c r="AY1012" s="24"/>
      <c r="AZ1012" s="24"/>
      <c r="BA1012" s="24"/>
      <c r="BC1012" s="24"/>
      <c r="BD1012" s="24"/>
      <c r="BE1012" s="24"/>
      <c r="BF1012" s="24"/>
      <c r="BH1012" s="24">
        <v>45805.430248900462</v>
      </c>
      <c r="BI1012" s="24">
        <v>45805.430248900462</v>
      </c>
      <c r="BJ1012" s="24">
        <v>45805.430300196756</v>
      </c>
      <c r="BK1012" s="24">
        <v>45805.430300196756</v>
      </c>
      <c r="BL1012">
        <v>1</v>
      </c>
      <c r="BM1012" s="24"/>
      <c r="BN1012" s="24"/>
      <c r="BO1012" s="24"/>
      <c r="BP1012" s="24"/>
      <c r="BR1012" s="24"/>
      <c r="BS1012" s="24"/>
      <c r="BT1012" s="24"/>
      <c r="BU1012" s="24"/>
      <c r="BW1012" s="24"/>
      <c r="BX1012" s="24"/>
      <c r="BY1012" s="24"/>
      <c r="BZ1012" s="24"/>
      <c r="CB1012" s="24"/>
      <c r="CC1012" s="24"/>
      <c r="CE1012" s="24">
        <v>45805.443884918983</v>
      </c>
      <c r="CF1012" s="24">
        <v>45805.443884918983</v>
      </c>
      <c r="CG1012">
        <v>1</v>
      </c>
      <c r="CH1012" s="24"/>
      <c r="CI1012" s="24"/>
      <c r="CJ1012" s="24"/>
      <c r="CK1012" s="24"/>
      <c r="DE1012" s="24"/>
      <c r="DF1012" s="24"/>
      <c r="DG1012" s="24"/>
      <c r="DH1012" s="24"/>
      <c r="DJ1012" t="s">
        <v>149</v>
      </c>
      <c r="DK1012" t="s">
        <v>149</v>
      </c>
      <c r="DM1012">
        <v>1</v>
      </c>
      <c r="DN1012">
        <v>1</v>
      </c>
      <c r="DQ1012" t="s">
        <v>1001</v>
      </c>
      <c r="DR1012" t="s">
        <v>149</v>
      </c>
      <c r="DS1012" s="24">
        <v>46160.384426226854</v>
      </c>
    </row>
    <row r="1013" spans="1:123" x14ac:dyDescent="0.3">
      <c r="A1013" t="s">
        <v>1496</v>
      </c>
      <c r="D1013" t="s">
        <v>223</v>
      </c>
      <c r="E1013" s="24">
        <v>45789.590717592589</v>
      </c>
      <c r="G1013" t="s">
        <v>90</v>
      </c>
      <c r="H1013" t="s">
        <v>155</v>
      </c>
      <c r="I1013" s="24"/>
      <c r="J1013" s="24"/>
      <c r="K1013" s="24"/>
      <c r="L1013" s="24"/>
      <c r="N1013" s="24"/>
      <c r="O1013" s="24"/>
      <c r="P1013" s="24"/>
      <c r="Q1013" s="24"/>
      <c r="V1013" s="24"/>
      <c r="W1013" s="24"/>
      <c r="X1013" s="24"/>
      <c r="Y1013" s="24"/>
      <c r="AA1013" s="24">
        <v>45811.336927083335</v>
      </c>
      <c r="AB1013" s="24">
        <v>45811.336927083335</v>
      </c>
      <c r="AC1013" s="24">
        <v>45811.586524351849</v>
      </c>
      <c r="AD1013" s="24">
        <v>45811.586524351849</v>
      </c>
      <c r="AE1013">
        <v>1</v>
      </c>
      <c r="AF1013" s="24">
        <v>45811.586524351849</v>
      </c>
      <c r="AG1013" s="24">
        <v>45811.586524351849</v>
      </c>
      <c r="AH1013" s="24">
        <v>45812.454086377315</v>
      </c>
      <c r="AI1013" s="24">
        <v>45812.454086377315</v>
      </c>
      <c r="AJ1013">
        <v>1</v>
      </c>
      <c r="AK1013" s="24"/>
      <c r="AL1013" s="24"/>
      <c r="AM1013" s="24"/>
      <c r="AN1013" s="24"/>
      <c r="AP1013" s="24"/>
      <c r="AQ1013" s="24"/>
      <c r="AR1013" s="24">
        <v>45805.47693646991</v>
      </c>
      <c r="AS1013" s="24">
        <v>45805.47693646991</v>
      </c>
      <c r="AX1013" s="24"/>
      <c r="AY1013" s="24"/>
      <c r="AZ1013" s="24"/>
      <c r="BA1013" s="24"/>
      <c r="BC1013" s="24"/>
      <c r="BD1013" s="24"/>
      <c r="BE1013" s="24"/>
      <c r="BF1013" s="24"/>
      <c r="BH1013" s="24">
        <v>45805.47693646991</v>
      </c>
      <c r="BI1013" s="24">
        <v>45805.47693646991</v>
      </c>
      <c r="BJ1013" s="24">
        <v>45811.336927083335</v>
      </c>
      <c r="BK1013" s="24">
        <v>45811.336927083335</v>
      </c>
      <c r="BL1013">
        <v>1</v>
      </c>
      <c r="BM1013" s="24"/>
      <c r="BN1013" s="24"/>
      <c r="BO1013" s="24"/>
      <c r="BP1013" s="24"/>
      <c r="BR1013" s="24"/>
      <c r="BS1013" s="24"/>
      <c r="BT1013" s="24"/>
      <c r="BU1013" s="24"/>
      <c r="BW1013" s="24"/>
      <c r="BX1013" s="24"/>
      <c r="BY1013" s="24"/>
      <c r="BZ1013" s="24"/>
      <c r="CB1013" s="24"/>
      <c r="CC1013" s="24"/>
      <c r="CE1013" s="24">
        <v>45812.454086377315</v>
      </c>
      <c r="CF1013" s="24">
        <v>45812.454086377315</v>
      </c>
      <c r="CG1013">
        <v>1</v>
      </c>
      <c r="CH1013" s="24"/>
      <c r="CI1013" s="24"/>
      <c r="CJ1013" s="24"/>
      <c r="CK1013" s="24"/>
      <c r="DE1013" s="24"/>
      <c r="DF1013" s="24"/>
      <c r="DG1013" s="24"/>
      <c r="DH1013" s="24"/>
      <c r="DJ1013" t="s">
        <v>149</v>
      </c>
      <c r="DK1013" t="s">
        <v>149</v>
      </c>
      <c r="DM1013">
        <v>7</v>
      </c>
      <c r="DN1013">
        <v>2</v>
      </c>
      <c r="DQ1013" t="s">
        <v>1001</v>
      </c>
      <c r="DR1013" t="s">
        <v>149</v>
      </c>
      <c r="DS1013" s="24">
        <v>46160.384426226854</v>
      </c>
    </row>
    <row r="1014" spans="1:123" x14ac:dyDescent="0.3">
      <c r="A1014" t="s">
        <v>1497</v>
      </c>
      <c r="D1014" t="s">
        <v>225</v>
      </c>
      <c r="E1014" s="24">
        <v>45775.41002314815</v>
      </c>
      <c r="G1014" t="s">
        <v>90</v>
      </c>
      <c r="H1014" t="s">
        <v>155</v>
      </c>
      <c r="I1014" s="24"/>
      <c r="J1014" s="24"/>
      <c r="K1014" s="24"/>
      <c r="L1014" s="24"/>
      <c r="N1014" s="24"/>
      <c r="O1014" s="24"/>
      <c r="P1014" s="24"/>
      <c r="Q1014" s="24"/>
      <c r="V1014" s="24"/>
      <c r="W1014" s="24"/>
      <c r="X1014" s="24"/>
      <c r="Y1014" s="24"/>
      <c r="AA1014" s="24">
        <v>45810.637657303239</v>
      </c>
      <c r="AB1014" s="24">
        <v>45810.637657303239</v>
      </c>
      <c r="AC1014" s="24">
        <v>45810.688598842593</v>
      </c>
      <c r="AD1014" s="24">
        <v>45810.688598842593</v>
      </c>
      <c r="AE1014">
        <v>1</v>
      </c>
      <c r="AF1014" s="24">
        <v>45810.688598842593</v>
      </c>
      <c r="AG1014" s="24">
        <v>45810.688598842593</v>
      </c>
      <c r="AH1014" s="24">
        <v>45812.677940983798</v>
      </c>
      <c r="AI1014" s="24">
        <v>45812.677940983798</v>
      </c>
      <c r="AJ1014">
        <v>1</v>
      </c>
      <c r="AK1014" s="24">
        <v>45812.677940983798</v>
      </c>
      <c r="AL1014" s="24">
        <v>45812.677940983798</v>
      </c>
      <c r="AM1014" s="24">
        <v>45814.615275717595</v>
      </c>
      <c r="AN1014" s="24">
        <v>45814.615275717595</v>
      </c>
      <c r="AO1014">
        <v>1</v>
      </c>
      <c r="AP1014" s="24"/>
      <c r="AQ1014" s="24"/>
      <c r="AR1014" s="24">
        <v>45805.481322870372</v>
      </c>
      <c r="AS1014" s="24">
        <v>45805.481322870372</v>
      </c>
      <c r="AX1014" s="24"/>
      <c r="AY1014" s="24"/>
      <c r="AZ1014" s="24"/>
      <c r="BA1014" s="24"/>
      <c r="BC1014" s="24">
        <v>45818.445836979168</v>
      </c>
      <c r="BD1014" s="24">
        <v>45818.445836979168</v>
      </c>
      <c r="BE1014" s="24">
        <v>45947.703370196759</v>
      </c>
      <c r="BF1014" s="24">
        <v>45947.703370196759</v>
      </c>
      <c r="BG1014">
        <v>1</v>
      </c>
      <c r="BH1014" s="24">
        <v>45805.481322870372</v>
      </c>
      <c r="BI1014" s="24">
        <v>45805.481322870372</v>
      </c>
      <c r="BJ1014" s="24">
        <v>45810.637657303239</v>
      </c>
      <c r="BK1014" s="24">
        <v>45810.637657303239</v>
      </c>
      <c r="BL1014">
        <v>1</v>
      </c>
      <c r="BM1014" s="24"/>
      <c r="BN1014" s="24"/>
      <c r="BO1014" s="24"/>
      <c r="BP1014" s="24"/>
      <c r="BR1014" s="24">
        <v>45814.615275717595</v>
      </c>
      <c r="BS1014" s="24">
        <v>45814.615275717595</v>
      </c>
      <c r="BT1014" s="24">
        <v>45818.445836979168</v>
      </c>
      <c r="BU1014" s="24">
        <v>45818.445836979168</v>
      </c>
      <c r="BV1014">
        <v>1</v>
      </c>
      <c r="BW1014" s="24"/>
      <c r="BX1014" s="24"/>
      <c r="BY1014" s="24"/>
      <c r="BZ1014" s="24"/>
      <c r="CB1014" s="24"/>
      <c r="CC1014" s="24"/>
      <c r="CE1014" s="24">
        <v>45947.703370196759</v>
      </c>
      <c r="CF1014" s="24">
        <v>45947.703370196759</v>
      </c>
      <c r="CG1014">
        <v>1</v>
      </c>
      <c r="CH1014" s="24"/>
      <c r="CI1014" s="24"/>
      <c r="CJ1014" s="24"/>
      <c r="CK1014" s="24"/>
      <c r="DE1014" s="24"/>
      <c r="DF1014" s="24"/>
      <c r="DG1014" s="24"/>
      <c r="DH1014" s="24"/>
      <c r="DJ1014" t="s">
        <v>149</v>
      </c>
      <c r="DK1014" t="s">
        <v>149</v>
      </c>
      <c r="DM1014">
        <v>143</v>
      </c>
      <c r="DN1014">
        <v>138</v>
      </c>
      <c r="DQ1014" t="s">
        <v>1001</v>
      </c>
      <c r="DR1014" t="s">
        <v>149</v>
      </c>
      <c r="DS1014" s="24">
        <v>46160.384426226854</v>
      </c>
    </row>
    <row r="1015" spans="1:123" x14ac:dyDescent="0.3">
      <c r="A1015" t="s">
        <v>1498</v>
      </c>
      <c r="D1015" t="s">
        <v>225</v>
      </c>
      <c r="E1015" s="24">
        <v>45775.409155092595</v>
      </c>
      <c r="G1015" t="s">
        <v>90</v>
      </c>
      <c r="H1015" t="s">
        <v>155</v>
      </c>
      <c r="I1015" s="24"/>
      <c r="J1015" s="24"/>
      <c r="K1015" s="24"/>
      <c r="L1015" s="24"/>
      <c r="N1015" s="24"/>
      <c r="O1015" s="24"/>
      <c r="P1015" s="24"/>
      <c r="Q1015" s="24"/>
      <c r="V1015" s="24"/>
      <c r="W1015" s="24"/>
      <c r="X1015" s="24"/>
      <c r="Y1015" s="24"/>
      <c r="AA1015" s="24">
        <v>45799.675791168978</v>
      </c>
      <c r="AB1015" s="24">
        <v>45799.675791168978</v>
      </c>
      <c r="AC1015" s="24">
        <v>45821.424645219908</v>
      </c>
      <c r="AD1015" s="24">
        <v>45821.424645219908</v>
      </c>
      <c r="AE1015">
        <v>1</v>
      </c>
      <c r="AF1015" s="24">
        <v>45821.424645219908</v>
      </c>
      <c r="AG1015" s="24">
        <v>45821.424645219908</v>
      </c>
      <c r="AH1015" s="24">
        <v>45825.437760416666</v>
      </c>
      <c r="AI1015" s="24">
        <v>45825.437760416666</v>
      </c>
      <c r="AJ1015">
        <v>1</v>
      </c>
      <c r="AK1015" s="24">
        <v>45825.437760416666</v>
      </c>
      <c r="AL1015" s="24">
        <v>45825.437760416666</v>
      </c>
      <c r="AM1015" s="24">
        <v>45831.471244618057</v>
      </c>
      <c r="AN1015" s="24">
        <v>45831.471244618057</v>
      </c>
      <c r="AO1015">
        <v>1</v>
      </c>
      <c r="AP1015" s="24"/>
      <c r="AQ1015" s="24"/>
      <c r="AR1015" s="24">
        <v>45799.675757233796</v>
      </c>
      <c r="AS1015" s="24">
        <v>45799.675757233796</v>
      </c>
      <c r="AX1015" s="24"/>
      <c r="AY1015" s="24"/>
      <c r="AZ1015" s="24"/>
      <c r="BA1015" s="24"/>
      <c r="BC1015" s="24">
        <v>45831.471349340274</v>
      </c>
      <c r="BD1015" s="24">
        <v>45831.471349340274</v>
      </c>
      <c r="BE1015" s="24">
        <v>45947.703371435186</v>
      </c>
      <c r="BF1015" s="24">
        <v>45947.703371435186</v>
      </c>
      <c r="BG1015">
        <v>1</v>
      </c>
      <c r="BH1015" s="24">
        <v>45799.675757233796</v>
      </c>
      <c r="BI1015" s="24">
        <v>45799.675757233796</v>
      </c>
      <c r="BJ1015" s="24">
        <v>45799.675791168978</v>
      </c>
      <c r="BK1015" s="24">
        <v>45799.675791168978</v>
      </c>
      <c r="BL1015">
        <v>1</v>
      </c>
      <c r="BM1015" s="24"/>
      <c r="BN1015" s="24"/>
      <c r="BO1015" s="24"/>
      <c r="BP1015" s="24"/>
      <c r="BR1015" s="24">
        <v>45831.471244618057</v>
      </c>
      <c r="BS1015" s="24">
        <v>45831.471244618057</v>
      </c>
      <c r="BT1015" s="24">
        <v>45831.471349340274</v>
      </c>
      <c r="BU1015" s="24">
        <v>45831.471349340274</v>
      </c>
      <c r="BV1015">
        <v>1</v>
      </c>
      <c r="BW1015" s="24"/>
      <c r="BX1015" s="24"/>
      <c r="BY1015" s="24"/>
      <c r="BZ1015" s="24"/>
      <c r="CB1015" s="24"/>
      <c r="CC1015" s="24"/>
      <c r="CE1015" s="24">
        <v>45947.703371435186</v>
      </c>
      <c r="CF1015" s="24">
        <v>45947.703371435186</v>
      </c>
      <c r="CG1015">
        <v>1</v>
      </c>
      <c r="CH1015" s="24"/>
      <c r="CI1015" s="24"/>
      <c r="CJ1015" s="24"/>
      <c r="CK1015" s="24"/>
      <c r="DE1015" s="24"/>
      <c r="DF1015" s="24"/>
      <c r="DG1015" s="24"/>
      <c r="DH1015" s="24"/>
      <c r="DJ1015" t="s">
        <v>149</v>
      </c>
      <c r="DK1015" t="s">
        <v>149</v>
      </c>
      <c r="DM1015">
        <v>149</v>
      </c>
      <c r="DN1015">
        <v>149</v>
      </c>
      <c r="DQ1015" t="s">
        <v>1001</v>
      </c>
      <c r="DR1015" t="s">
        <v>149</v>
      </c>
      <c r="DS1015" s="24">
        <v>46160.384426226854</v>
      </c>
    </row>
    <row r="1016" spans="1:123" x14ac:dyDescent="0.3">
      <c r="A1016" t="s">
        <v>1499</v>
      </c>
      <c r="D1016" t="s">
        <v>225</v>
      </c>
      <c r="E1016" s="24">
        <v>45775.407557870371</v>
      </c>
      <c r="G1016" t="s">
        <v>90</v>
      </c>
      <c r="H1016" t="s">
        <v>155</v>
      </c>
      <c r="I1016" s="24"/>
      <c r="J1016" s="24"/>
      <c r="K1016" s="24"/>
      <c r="L1016" s="24"/>
      <c r="N1016" s="24"/>
      <c r="O1016" s="24"/>
      <c r="P1016" s="24"/>
      <c r="Q1016" s="24"/>
      <c r="V1016" s="24"/>
      <c r="W1016" s="24"/>
      <c r="X1016" s="24"/>
      <c r="Y1016" s="24"/>
      <c r="AA1016" s="24">
        <v>45838.73430048611</v>
      </c>
      <c r="AB1016" s="24">
        <v>45838.73430048611</v>
      </c>
      <c r="AC1016" s="24">
        <v>45840.792488935185</v>
      </c>
      <c r="AD1016" s="24">
        <v>45840.792488935185</v>
      </c>
      <c r="AE1016">
        <v>1</v>
      </c>
      <c r="AF1016" s="24">
        <v>45840.792488935185</v>
      </c>
      <c r="AG1016" s="24">
        <v>45840.792488935185</v>
      </c>
      <c r="AH1016" s="24">
        <v>45846.495751863426</v>
      </c>
      <c r="AI1016" s="24">
        <v>45846.495751863426</v>
      </c>
      <c r="AJ1016">
        <v>1</v>
      </c>
      <c r="AK1016" s="24">
        <v>45846.495751863426</v>
      </c>
      <c r="AL1016" s="24">
        <v>45846.495751863426</v>
      </c>
      <c r="AM1016" s="24">
        <v>45846.531092546298</v>
      </c>
      <c r="AN1016" s="24">
        <v>45846.531092546298</v>
      </c>
      <c r="AO1016">
        <v>1</v>
      </c>
      <c r="AP1016" s="24"/>
      <c r="AQ1016" s="24"/>
      <c r="AR1016" s="24">
        <v>45819.40445717593</v>
      </c>
      <c r="AS1016" s="24">
        <v>45819.40445717593</v>
      </c>
      <c r="AX1016" s="24"/>
      <c r="AY1016" s="24"/>
      <c r="AZ1016" s="24"/>
      <c r="BA1016" s="24"/>
      <c r="BC1016" s="24">
        <v>45847.471027129628</v>
      </c>
      <c r="BD1016" s="24">
        <v>45847.471027129628</v>
      </c>
      <c r="BE1016" s="24">
        <v>45947.703373217591</v>
      </c>
      <c r="BF1016" s="24">
        <v>45947.703373217591</v>
      </c>
      <c r="BG1016">
        <v>1</v>
      </c>
      <c r="BH1016" s="24">
        <v>45819.40445717593</v>
      </c>
      <c r="BI1016" s="24">
        <v>45819.40445717593</v>
      </c>
      <c r="BJ1016" s="24">
        <v>45838.73430048611</v>
      </c>
      <c r="BK1016" s="24">
        <v>45838.73430048611</v>
      </c>
      <c r="BL1016">
        <v>1</v>
      </c>
      <c r="BM1016" s="24"/>
      <c r="BN1016" s="24"/>
      <c r="BO1016" s="24"/>
      <c r="BP1016" s="24"/>
      <c r="BR1016" s="24">
        <v>45846.531092546298</v>
      </c>
      <c r="BS1016" s="24">
        <v>45846.531092546298</v>
      </c>
      <c r="BT1016" s="24">
        <v>45847.471027129628</v>
      </c>
      <c r="BU1016" s="24">
        <v>45847.471027129628</v>
      </c>
      <c r="BV1016">
        <v>1</v>
      </c>
      <c r="BW1016" s="24"/>
      <c r="BX1016" s="24"/>
      <c r="BY1016" s="24"/>
      <c r="BZ1016" s="24"/>
      <c r="CB1016" s="24"/>
      <c r="CC1016" s="24"/>
      <c r="CE1016" s="24">
        <v>45947.703373217591</v>
      </c>
      <c r="CF1016" s="24">
        <v>45947.703373217591</v>
      </c>
      <c r="CG1016">
        <v>1</v>
      </c>
      <c r="CH1016" s="24"/>
      <c r="CI1016" s="24"/>
      <c r="CJ1016" s="24"/>
      <c r="CK1016" s="24"/>
      <c r="DE1016" s="24"/>
      <c r="DF1016" s="24"/>
      <c r="DG1016" s="24"/>
      <c r="DH1016" s="24"/>
      <c r="DJ1016" t="s">
        <v>149</v>
      </c>
      <c r="DK1016" t="s">
        <v>149</v>
      </c>
      <c r="DM1016">
        <v>129</v>
      </c>
      <c r="DN1016">
        <v>109</v>
      </c>
      <c r="DQ1016" t="s">
        <v>1001</v>
      </c>
      <c r="DR1016" t="s">
        <v>149</v>
      </c>
      <c r="DS1016" s="24">
        <v>46160.384426226854</v>
      </c>
    </row>
    <row r="1017" spans="1:123" x14ac:dyDescent="0.3">
      <c r="A1017" t="s">
        <v>1500</v>
      </c>
      <c r="D1017" t="s">
        <v>225</v>
      </c>
      <c r="E1017" s="24">
        <v>45775.405624999999</v>
      </c>
      <c r="G1017" t="s">
        <v>90</v>
      </c>
      <c r="H1017" t="s">
        <v>155</v>
      </c>
      <c r="I1017" s="24"/>
      <c r="J1017" s="24"/>
      <c r="K1017" s="24"/>
      <c r="L1017" s="24"/>
      <c r="N1017" s="24"/>
      <c r="O1017" s="24"/>
      <c r="P1017" s="24"/>
      <c r="Q1017" s="24"/>
      <c r="V1017" s="24"/>
      <c r="W1017" s="24"/>
      <c r="X1017" s="24"/>
      <c r="Y1017" s="24"/>
      <c r="AA1017" s="24">
        <v>45835.404934768521</v>
      </c>
      <c r="AB1017" s="24">
        <v>45835.404934768521</v>
      </c>
      <c r="AC1017" s="24">
        <v>45838.734259155091</v>
      </c>
      <c r="AD1017" s="24">
        <v>45838.734259155091</v>
      </c>
      <c r="AE1017">
        <v>1</v>
      </c>
      <c r="AF1017" s="24">
        <v>45838.734259155091</v>
      </c>
      <c r="AG1017" s="24">
        <v>45838.734259155091</v>
      </c>
      <c r="AH1017" s="24">
        <v>45839.549876423611</v>
      </c>
      <c r="AI1017" s="24">
        <v>45839.549876423611</v>
      </c>
      <c r="AJ1017">
        <v>1</v>
      </c>
      <c r="AK1017" s="24">
        <v>45839.549876423611</v>
      </c>
      <c r="AL1017" s="24">
        <v>45839.549876423611</v>
      </c>
      <c r="AM1017" s="24">
        <v>45845.334237407405</v>
      </c>
      <c r="AN1017" s="24">
        <v>45845.334237407405</v>
      </c>
      <c r="AO1017">
        <v>1</v>
      </c>
      <c r="AP1017" s="24"/>
      <c r="AQ1017" s="24"/>
      <c r="AR1017" s="24">
        <v>45819.404608888886</v>
      </c>
      <c r="AS1017" s="24">
        <v>45819.404608888886</v>
      </c>
      <c r="AX1017" s="24"/>
      <c r="AY1017" s="24"/>
      <c r="AZ1017" s="24"/>
      <c r="BA1017" s="24"/>
      <c r="BC1017" s="24">
        <v>45845.33435125</v>
      </c>
      <c r="BD1017" s="24">
        <v>45845.33435125</v>
      </c>
      <c r="BE1017" s="24">
        <v>45947.703373564815</v>
      </c>
      <c r="BF1017" s="24">
        <v>45947.703373564815</v>
      </c>
      <c r="BG1017">
        <v>1</v>
      </c>
      <c r="BH1017" s="24">
        <v>45819.404608888886</v>
      </c>
      <c r="BI1017" s="24">
        <v>45819.404608888886</v>
      </c>
      <c r="BJ1017" s="24">
        <v>45835.404934768521</v>
      </c>
      <c r="BK1017" s="24">
        <v>45835.404934768521</v>
      </c>
      <c r="BL1017">
        <v>1</v>
      </c>
      <c r="BM1017" s="24"/>
      <c r="BN1017" s="24"/>
      <c r="BO1017" s="24"/>
      <c r="BP1017" s="24"/>
      <c r="BR1017" s="24">
        <v>45845.334237407405</v>
      </c>
      <c r="BS1017" s="24">
        <v>45845.334237407405</v>
      </c>
      <c r="BT1017" s="24">
        <v>45845.33435125</v>
      </c>
      <c r="BU1017" s="24">
        <v>45845.33435125</v>
      </c>
      <c r="BV1017">
        <v>1</v>
      </c>
      <c r="BW1017" s="24"/>
      <c r="BX1017" s="24"/>
      <c r="BY1017" s="24"/>
      <c r="BZ1017" s="24"/>
      <c r="CB1017" s="24"/>
      <c r="CC1017" s="24"/>
      <c r="CE1017" s="24">
        <v>45947.703373564815</v>
      </c>
      <c r="CF1017" s="24">
        <v>45947.703373564815</v>
      </c>
      <c r="CG1017">
        <v>1</v>
      </c>
      <c r="CH1017" s="24"/>
      <c r="CI1017" s="24"/>
      <c r="CJ1017" s="24"/>
      <c r="CK1017" s="24"/>
      <c r="DE1017" s="24"/>
      <c r="DF1017" s="24"/>
      <c r="DG1017" s="24"/>
      <c r="DH1017" s="24"/>
      <c r="DJ1017" t="s">
        <v>149</v>
      </c>
      <c r="DK1017" t="s">
        <v>149</v>
      </c>
      <c r="DM1017">
        <v>129</v>
      </c>
      <c r="DN1017">
        <v>113</v>
      </c>
      <c r="DQ1017" t="s">
        <v>1001</v>
      </c>
      <c r="DR1017" t="s">
        <v>149</v>
      </c>
      <c r="DS1017" s="24">
        <v>46160.384426226854</v>
      </c>
    </row>
    <row r="1018" spans="1:123" x14ac:dyDescent="0.3">
      <c r="A1018" t="s">
        <v>1501</v>
      </c>
      <c r="D1018" t="s">
        <v>225</v>
      </c>
      <c r="E1018" s="24">
        <v>45775.403240740743</v>
      </c>
      <c r="G1018" t="s">
        <v>90</v>
      </c>
      <c r="H1018" t="s">
        <v>155</v>
      </c>
      <c r="I1018" s="24"/>
      <c r="J1018" s="24"/>
      <c r="K1018" s="24"/>
      <c r="L1018" s="24"/>
      <c r="N1018" s="24"/>
      <c r="O1018" s="24"/>
      <c r="P1018" s="24"/>
      <c r="Q1018" s="24"/>
      <c r="V1018" s="24"/>
      <c r="W1018" s="24"/>
      <c r="X1018" s="24"/>
      <c r="Y1018" s="24"/>
      <c r="AA1018" s="24">
        <v>45799.633552361112</v>
      </c>
      <c r="AB1018" s="24">
        <v>45799.633552361112</v>
      </c>
      <c r="AC1018" s="24">
        <v>45799.674652106478</v>
      </c>
      <c r="AD1018" s="24">
        <v>45799.674652106478</v>
      </c>
      <c r="AE1018">
        <v>1</v>
      </c>
      <c r="AF1018" s="24">
        <v>45799.674652106478</v>
      </c>
      <c r="AG1018" s="24">
        <v>45799.674652106478</v>
      </c>
      <c r="AH1018" s="24">
        <v>45819.3883216088</v>
      </c>
      <c r="AI1018" s="24">
        <v>45819.3883216088</v>
      </c>
      <c r="AJ1018">
        <v>1</v>
      </c>
      <c r="AK1018" s="24">
        <v>45819.3883216088</v>
      </c>
      <c r="AL1018" s="24">
        <v>45819.3883216088</v>
      </c>
      <c r="AM1018" s="24">
        <v>45819.389244745369</v>
      </c>
      <c r="AN1018" s="24">
        <v>45819.389244745369</v>
      </c>
      <c r="AO1018">
        <v>1</v>
      </c>
      <c r="AP1018" s="24"/>
      <c r="AQ1018" s="24"/>
      <c r="AR1018" s="24">
        <v>45789.579447372686</v>
      </c>
      <c r="AS1018" s="24">
        <v>45789.579447372686</v>
      </c>
      <c r="AX1018" s="24"/>
      <c r="AY1018" s="24"/>
      <c r="AZ1018" s="24"/>
      <c r="BA1018" s="24"/>
      <c r="BC1018" s="24">
        <v>45819.389396041668</v>
      </c>
      <c r="BD1018" s="24">
        <v>45819.389396041668</v>
      </c>
      <c r="BE1018" s="24">
        <v>45947.70337408565</v>
      </c>
      <c r="BF1018" s="24">
        <v>45947.70337408565</v>
      </c>
      <c r="BG1018">
        <v>1</v>
      </c>
      <c r="BH1018" s="24">
        <v>45789.579447372686</v>
      </c>
      <c r="BI1018" s="24">
        <v>45789.579447372686</v>
      </c>
      <c r="BJ1018" s="24">
        <v>45799.633552361112</v>
      </c>
      <c r="BK1018" s="24">
        <v>45799.633552361112</v>
      </c>
      <c r="BL1018">
        <v>1</v>
      </c>
      <c r="BM1018" s="24"/>
      <c r="BN1018" s="24"/>
      <c r="BO1018" s="24"/>
      <c r="BP1018" s="24"/>
      <c r="BR1018" s="24">
        <v>45819.389244745369</v>
      </c>
      <c r="BS1018" s="24">
        <v>45819.389244745369</v>
      </c>
      <c r="BT1018" s="24">
        <v>45819.389396041668</v>
      </c>
      <c r="BU1018" s="24">
        <v>45819.389396041668</v>
      </c>
      <c r="BV1018">
        <v>1</v>
      </c>
      <c r="BW1018" s="24"/>
      <c r="BX1018" s="24"/>
      <c r="BY1018" s="24"/>
      <c r="BZ1018" s="24"/>
      <c r="CB1018" s="24"/>
      <c r="CC1018" s="24"/>
      <c r="CE1018" s="24">
        <v>45947.70337408565</v>
      </c>
      <c r="CF1018" s="24">
        <v>45947.70337408565</v>
      </c>
      <c r="CG1018">
        <v>1</v>
      </c>
      <c r="CH1018" s="24"/>
      <c r="CI1018" s="24"/>
      <c r="CJ1018" s="24"/>
      <c r="CK1018" s="24"/>
      <c r="DE1018" s="24"/>
      <c r="DF1018" s="24"/>
      <c r="DG1018" s="24"/>
      <c r="DH1018" s="24"/>
      <c r="DJ1018" t="s">
        <v>149</v>
      </c>
      <c r="DK1018" t="s">
        <v>149</v>
      </c>
      <c r="DM1018">
        <v>159</v>
      </c>
      <c r="DN1018">
        <v>149</v>
      </c>
      <c r="DQ1018" t="s">
        <v>1001</v>
      </c>
      <c r="DR1018" t="s">
        <v>149</v>
      </c>
      <c r="DS1018" s="24">
        <v>46160.384426226854</v>
      </c>
    </row>
    <row r="1019" spans="1:123" x14ac:dyDescent="0.3">
      <c r="A1019" t="s">
        <v>1502</v>
      </c>
      <c r="D1019" t="s">
        <v>225</v>
      </c>
      <c r="E1019" s="24">
        <v>45775.388159722221</v>
      </c>
      <c r="G1019" t="s">
        <v>90</v>
      </c>
      <c r="H1019" t="s">
        <v>155</v>
      </c>
      <c r="I1019" s="24"/>
      <c r="J1019" s="24"/>
      <c r="K1019" s="24"/>
      <c r="L1019" s="24"/>
      <c r="N1019" s="24"/>
      <c r="O1019" s="24"/>
      <c r="P1019" s="24"/>
      <c r="Q1019" s="24"/>
      <c r="V1019" s="24"/>
      <c r="W1019" s="24"/>
      <c r="X1019" s="24"/>
      <c r="Y1019" s="24"/>
      <c r="AA1019" s="24">
        <v>45782.370891550927</v>
      </c>
      <c r="AB1019" s="24">
        <v>45782.370891550927</v>
      </c>
      <c r="AC1019" s="24">
        <v>45789.307594895836</v>
      </c>
      <c r="AD1019" s="24">
        <v>45789.307594895836</v>
      </c>
      <c r="AE1019">
        <v>1</v>
      </c>
      <c r="AF1019" s="24">
        <v>45789.307594895836</v>
      </c>
      <c r="AG1019" s="24">
        <v>45789.307594895836</v>
      </c>
      <c r="AH1019" s="24">
        <v>45790.333743645831</v>
      </c>
      <c r="AI1019" s="24">
        <v>45790.333743645831</v>
      </c>
      <c r="AJ1019">
        <v>1</v>
      </c>
      <c r="AK1019" s="24">
        <v>45790.333743645831</v>
      </c>
      <c r="AL1019" s="24">
        <v>45790.333743645831</v>
      </c>
      <c r="AM1019" s="24">
        <v>45790.333759155095</v>
      </c>
      <c r="AN1019" s="24">
        <v>45790.333759155095</v>
      </c>
      <c r="AO1019">
        <v>1</v>
      </c>
      <c r="AP1019" s="24"/>
      <c r="AQ1019" s="24"/>
      <c r="AR1019" s="24">
        <v>45776.454249421295</v>
      </c>
      <c r="AS1019" s="24">
        <v>45776.454249421295</v>
      </c>
      <c r="AX1019" s="24"/>
      <c r="AY1019" s="24"/>
      <c r="AZ1019" s="24"/>
      <c r="BA1019" s="24"/>
      <c r="BC1019" s="24">
        <v>45791.44526104167</v>
      </c>
      <c r="BD1019" s="24">
        <v>45791.44526104167</v>
      </c>
      <c r="BE1019" s="24">
        <v>45792.627706932872</v>
      </c>
      <c r="BF1019" s="24">
        <v>45792.627706932872</v>
      </c>
      <c r="BG1019">
        <v>1</v>
      </c>
      <c r="BH1019" s="24">
        <v>45776.454249421295</v>
      </c>
      <c r="BI1019" s="24">
        <v>45776.454249421295</v>
      </c>
      <c r="BJ1019" s="24">
        <v>45782.370891550927</v>
      </c>
      <c r="BK1019" s="24">
        <v>45782.370891550927</v>
      </c>
      <c r="BL1019">
        <v>1</v>
      </c>
      <c r="BM1019" s="24"/>
      <c r="BN1019" s="24"/>
      <c r="BO1019" s="24"/>
      <c r="BP1019" s="24"/>
      <c r="BR1019" s="24">
        <v>45790.333759155095</v>
      </c>
      <c r="BS1019" s="24">
        <v>45790.333759155095</v>
      </c>
      <c r="BT1019" s="24">
        <v>45791.44526104167</v>
      </c>
      <c r="BU1019" s="24">
        <v>45791.44526104167</v>
      </c>
      <c r="BV1019">
        <v>1</v>
      </c>
      <c r="BW1019" s="24"/>
      <c r="BX1019" s="24"/>
      <c r="BY1019" s="24"/>
      <c r="BZ1019" s="24"/>
      <c r="CB1019" s="24"/>
      <c r="CC1019" s="24"/>
      <c r="CE1019" s="24">
        <v>45792.627706932872</v>
      </c>
      <c r="CF1019" s="24">
        <v>45792.627706932872</v>
      </c>
      <c r="CG1019">
        <v>1</v>
      </c>
      <c r="CH1019" s="24"/>
      <c r="CI1019" s="24"/>
      <c r="CJ1019" s="24"/>
      <c r="CK1019" s="24"/>
      <c r="DE1019" s="24"/>
      <c r="DF1019" s="24"/>
      <c r="DG1019" s="24"/>
      <c r="DH1019" s="24"/>
      <c r="DJ1019" t="s">
        <v>149</v>
      </c>
      <c r="DK1019" t="s">
        <v>149</v>
      </c>
      <c r="DM1019">
        <v>17</v>
      </c>
      <c r="DN1019">
        <v>11</v>
      </c>
      <c r="DQ1019" t="s">
        <v>1001</v>
      </c>
      <c r="DR1019" t="s">
        <v>149</v>
      </c>
      <c r="DS1019" s="24">
        <v>46160.384426226854</v>
      </c>
    </row>
    <row r="1020" spans="1:123" x14ac:dyDescent="0.3">
      <c r="A1020" t="s">
        <v>1503</v>
      </c>
      <c r="D1020" t="s">
        <v>223</v>
      </c>
      <c r="E1020" s="24">
        <v>45775.385405092595</v>
      </c>
      <c r="G1020" t="s">
        <v>90</v>
      </c>
      <c r="H1020" t="s">
        <v>155</v>
      </c>
      <c r="I1020" s="24"/>
      <c r="J1020" s="24"/>
      <c r="K1020" s="24"/>
      <c r="L1020" s="24"/>
      <c r="N1020" s="24"/>
      <c r="O1020" s="24"/>
      <c r="P1020" s="24"/>
      <c r="Q1020" s="24"/>
      <c r="V1020" s="24"/>
      <c r="W1020" s="24"/>
      <c r="X1020" s="24"/>
      <c r="Y1020" s="24"/>
      <c r="AA1020" s="24">
        <v>45783.447720821758</v>
      </c>
      <c r="AB1020" s="24">
        <v>45783.447720821758</v>
      </c>
      <c r="AC1020" s="24">
        <v>45783.448014421294</v>
      </c>
      <c r="AD1020" s="24">
        <v>45783.448014421294</v>
      </c>
      <c r="AE1020">
        <v>1</v>
      </c>
      <c r="AF1020" s="24">
        <v>45783.448014421294</v>
      </c>
      <c r="AG1020" s="24">
        <v>45783.448014421294</v>
      </c>
      <c r="AH1020" s="24">
        <v>45783.448067175923</v>
      </c>
      <c r="AI1020" s="24">
        <v>45783.448067175923</v>
      </c>
      <c r="AJ1020">
        <v>1</v>
      </c>
      <c r="AK1020" s="24"/>
      <c r="AL1020" s="24"/>
      <c r="AM1020" s="24"/>
      <c r="AN1020" s="24"/>
      <c r="AP1020" s="24"/>
      <c r="AQ1020" s="24"/>
      <c r="AR1020" s="24">
        <v>45776.45951090278</v>
      </c>
      <c r="AS1020" s="24">
        <v>45776.45951090278</v>
      </c>
      <c r="AX1020" s="24"/>
      <c r="AY1020" s="24"/>
      <c r="AZ1020" s="24"/>
      <c r="BA1020" s="24"/>
      <c r="BC1020" s="24"/>
      <c r="BD1020" s="24"/>
      <c r="BE1020" s="24"/>
      <c r="BF1020" s="24"/>
      <c r="BH1020" s="24">
        <v>45776.45951090278</v>
      </c>
      <c r="BI1020" s="24">
        <v>45776.45951090278</v>
      </c>
      <c r="BJ1020" s="24">
        <v>45783.447720821758</v>
      </c>
      <c r="BK1020" s="24">
        <v>45783.447720821758</v>
      </c>
      <c r="BL1020">
        <v>1</v>
      </c>
      <c r="BM1020" s="24"/>
      <c r="BN1020" s="24"/>
      <c r="BO1020" s="24"/>
      <c r="BP1020" s="24"/>
      <c r="BR1020" s="24"/>
      <c r="BS1020" s="24"/>
      <c r="BT1020" s="24"/>
      <c r="BU1020" s="24"/>
      <c r="BW1020" s="24"/>
      <c r="BX1020" s="24"/>
      <c r="BY1020" s="24"/>
      <c r="BZ1020" s="24"/>
      <c r="CB1020" s="24"/>
      <c r="CC1020" s="24"/>
      <c r="CE1020" s="24">
        <v>45783.448067175923</v>
      </c>
      <c r="CF1020" s="24">
        <v>45783.448067175923</v>
      </c>
      <c r="CG1020">
        <v>1</v>
      </c>
      <c r="CH1020" s="24"/>
      <c r="CI1020" s="24"/>
      <c r="CJ1020" s="24"/>
      <c r="CK1020" s="24"/>
      <c r="DE1020" s="24"/>
      <c r="DF1020" s="24"/>
      <c r="DG1020" s="24"/>
      <c r="DH1020" s="24"/>
      <c r="DJ1020" t="s">
        <v>149</v>
      </c>
      <c r="DK1020" t="s">
        <v>149</v>
      </c>
      <c r="DM1020">
        <v>7</v>
      </c>
      <c r="DN1020">
        <v>1</v>
      </c>
      <c r="DQ1020" t="s">
        <v>1001</v>
      </c>
      <c r="DR1020" t="s">
        <v>149</v>
      </c>
      <c r="DS1020" s="24">
        <v>46160.384426226854</v>
      </c>
    </row>
    <row r="1021" spans="1:123" x14ac:dyDescent="0.3">
      <c r="A1021" t="s">
        <v>1504</v>
      </c>
      <c r="D1021" t="s">
        <v>223</v>
      </c>
      <c r="E1021" s="24">
        <v>45775.385069444441</v>
      </c>
      <c r="G1021" t="s">
        <v>90</v>
      </c>
      <c r="H1021" t="s">
        <v>155</v>
      </c>
      <c r="I1021" s="24"/>
      <c r="J1021" s="24"/>
      <c r="K1021" s="24"/>
      <c r="L1021" s="24"/>
      <c r="N1021" s="24"/>
      <c r="O1021" s="24"/>
      <c r="P1021" s="24"/>
      <c r="Q1021" s="24"/>
      <c r="V1021" s="24"/>
      <c r="W1021" s="24"/>
      <c r="X1021" s="24"/>
      <c r="Y1021" s="24"/>
      <c r="AA1021" s="24">
        <v>45783.284817557869</v>
      </c>
      <c r="AB1021" s="24">
        <v>45783.284817557869</v>
      </c>
      <c r="AC1021" s="24">
        <v>45783.288104375002</v>
      </c>
      <c r="AD1021" s="24">
        <v>45783.288104375002</v>
      </c>
      <c r="AE1021">
        <v>1</v>
      </c>
      <c r="AF1021" s="24">
        <v>45783.288104375002</v>
      </c>
      <c r="AG1021" s="24">
        <v>45783.288104375002</v>
      </c>
      <c r="AH1021" s="24">
        <v>45791.445010578704</v>
      </c>
      <c r="AI1021" s="24">
        <v>45791.445010578704</v>
      </c>
      <c r="AJ1021">
        <v>1</v>
      </c>
      <c r="AK1021" s="24"/>
      <c r="AL1021" s="24"/>
      <c r="AM1021" s="24"/>
      <c r="AN1021" s="24"/>
      <c r="AP1021" s="24"/>
      <c r="AQ1021" s="24"/>
      <c r="AR1021" s="24">
        <v>45776.448623715274</v>
      </c>
      <c r="AS1021" s="24">
        <v>45776.448623715274</v>
      </c>
      <c r="AX1021" s="24"/>
      <c r="AY1021" s="24"/>
      <c r="AZ1021" s="24"/>
      <c r="BA1021" s="24"/>
      <c r="BC1021" s="24"/>
      <c r="BD1021" s="24"/>
      <c r="BE1021" s="24"/>
      <c r="BF1021" s="24"/>
      <c r="BH1021" s="24">
        <v>45776.448623715274</v>
      </c>
      <c r="BI1021" s="24">
        <v>45776.448623715274</v>
      </c>
      <c r="BJ1021" s="24">
        <v>45783.284817557869</v>
      </c>
      <c r="BK1021" s="24">
        <v>45783.284817557869</v>
      </c>
      <c r="BL1021">
        <v>1</v>
      </c>
      <c r="BM1021" s="24"/>
      <c r="BN1021" s="24"/>
      <c r="BO1021" s="24"/>
      <c r="BP1021" s="24"/>
      <c r="BR1021" s="24"/>
      <c r="BS1021" s="24"/>
      <c r="BT1021" s="24"/>
      <c r="BU1021" s="24"/>
      <c r="BW1021" s="24"/>
      <c r="BX1021" s="24"/>
      <c r="BY1021" s="24"/>
      <c r="BZ1021" s="24"/>
      <c r="CB1021" s="24"/>
      <c r="CC1021" s="24"/>
      <c r="CE1021" s="24">
        <v>45791.445010578704</v>
      </c>
      <c r="CF1021" s="24">
        <v>45791.445010578704</v>
      </c>
      <c r="CG1021">
        <v>1</v>
      </c>
      <c r="CH1021" s="24"/>
      <c r="CI1021" s="24"/>
      <c r="CJ1021" s="24"/>
      <c r="CK1021" s="24"/>
      <c r="DE1021" s="24"/>
      <c r="DF1021" s="24"/>
      <c r="DG1021" s="24"/>
      <c r="DH1021" s="24"/>
      <c r="DJ1021" t="s">
        <v>149</v>
      </c>
      <c r="DK1021" t="s">
        <v>149</v>
      </c>
      <c r="DM1021">
        <v>15</v>
      </c>
      <c r="DN1021">
        <v>9</v>
      </c>
      <c r="DQ1021" t="s">
        <v>1001</v>
      </c>
      <c r="DR1021" t="s">
        <v>149</v>
      </c>
      <c r="DS1021" s="24">
        <v>46160.384426226854</v>
      </c>
    </row>
    <row r="1022" spans="1:123" x14ac:dyDescent="0.3">
      <c r="A1022" t="s">
        <v>1505</v>
      </c>
      <c r="D1022" t="s">
        <v>225</v>
      </c>
      <c r="E1022" s="24">
        <v>45775.3828587963</v>
      </c>
      <c r="G1022" t="s">
        <v>90</v>
      </c>
      <c r="H1022" t="s">
        <v>155</v>
      </c>
      <c r="I1022" s="24"/>
      <c r="J1022" s="24"/>
      <c r="K1022" s="24"/>
      <c r="L1022" s="24"/>
      <c r="N1022" s="24"/>
      <c r="O1022" s="24"/>
      <c r="P1022" s="24"/>
      <c r="Q1022" s="24"/>
      <c r="V1022" s="24"/>
      <c r="W1022" s="24"/>
      <c r="X1022" s="24"/>
      <c r="Y1022" s="24"/>
      <c r="AA1022" s="24">
        <v>45792.343151782406</v>
      </c>
      <c r="AB1022" s="24">
        <v>45792.343151782406</v>
      </c>
      <c r="AC1022" s="24">
        <v>45792.439519988424</v>
      </c>
      <c r="AD1022" s="24">
        <v>45792.439519988424</v>
      </c>
      <c r="AE1022">
        <v>1</v>
      </c>
      <c r="AF1022" s="24">
        <v>45792.439519988424</v>
      </c>
      <c r="AG1022" s="24">
        <v>45792.439519988424</v>
      </c>
      <c r="AH1022" s="24">
        <v>45792.539429872682</v>
      </c>
      <c r="AI1022" s="24">
        <v>45792.539429872682</v>
      </c>
      <c r="AJ1022">
        <v>1</v>
      </c>
      <c r="AK1022" s="24">
        <v>45792.539429872682</v>
      </c>
      <c r="AL1022" s="24">
        <v>45792.539429872682</v>
      </c>
      <c r="AM1022" s="24">
        <v>45793.414033877314</v>
      </c>
      <c r="AN1022" s="24">
        <v>45793.414033877314</v>
      </c>
      <c r="AO1022">
        <v>1</v>
      </c>
      <c r="AP1022" s="24"/>
      <c r="AQ1022" s="24"/>
      <c r="AR1022" s="24">
        <v>45776.462312326388</v>
      </c>
      <c r="AS1022" s="24">
        <v>45776.462312326388</v>
      </c>
      <c r="AX1022" s="24"/>
      <c r="AY1022" s="24"/>
      <c r="AZ1022" s="24"/>
      <c r="BA1022" s="24"/>
      <c r="BC1022" s="24">
        <v>45793.414149398151</v>
      </c>
      <c r="BD1022" s="24">
        <v>45793.414149398151</v>
      </c>
      <c r="BE1022" s="24">
        <v>45797.49740359954</v>
      </c>
      <c r="BF1022" s="24">
        <v>45797.49740359954</v>
      </c>
      <c r="BG1022">
        <v>1</v>
      </c>
      <c r="BH1022" s="24">
        <v>45776.462312326388</v>
      </c>
      <c r="BI1022" s="24">
        <v>45776.462312326388</v>
      </c>
      <c r="BJ1022" s="24">
        <v>45792.343151782406</v>
      </c>
      <c r="BK1022" s="24">
        <v>45792.343151782406</v>
      </c>
      <c r="BL1022">
        <v>1</v>
      </c>
      <c r="BM1022" s="24"/>
      <c r="BN1022" s="24"/>
      <c r="BO1022" s="24"/>
      <c r="BP1022" s="24"/>
      <c r="BR1022" s="24">
        <v>45793.414033877314</v>
      </c>
      <c r="BS1022" s="24">
        <v>45793.414033877314</v>
      </c>
      <c r="BT1022" s="24">
        <v>45793.414149398151</v>
      </c>
      <c r="BU1022" s="24">
        <v>45793.414149398151</v>
      </c>
      <c r="BV1022">
        <v>1</v>
      </c>
      <c r="BW1022" s="24"/>
      <c r="BX1022" s="24"/>
      <c r="BY1022" s="24"/>
      <c r="BZ1022" s="24"/>
      <c r="CB1022" s="24"/>
      <c r="CC1022" s="24"/>
      <c r="CE1022" s="24">
        <v>45797.49740359954</v>
      </c>
      <c r="CF1022" s="24">
        <v>45797.49740359954</v>
      </c>
      <c r="CG1022">
        <v>1</v>
      </c>
      <c r="CH1022" s="24"/>
      <c r="CI1022" s="24"/>
      <c r="CJ1022" s="24"/>
      <c r="CK1022" s="24"/>
      <c r="DE1022" s="24"/>
      <c r="DF1022" s="24"/>
      <c r="DG1022" s="24"/>
      <c r="DH1022" s="24"/>
      <c r="DJ1022" t="s">
        <v>149</v>
      </c>
      <c r="DK1022" t="s">
        <v>149</v>
      </c>
      <c r="DM1022">
        <v>22</v>
      </c>
      <c r="DN1022">
        <v>6</v>
      </c>
      <c r="DQ1022" t="s">
        <v>1001</v>
      </c>
      <c r="DR1022" t="s">
        <v>149</v>
      </c>
      <c r="DS1022" s="24">
        <v>46160.384426226854</v>
      </c>
    </row>
    <row r="1023" spans="1:123" x14ac:dyDescent="0.3">
      <c r="A1023" t="s">
        <v>1506</v>
      </c>
      <c r="D1023" t="s">
        <v>225</v>
      </c>
      <c r="E1023" s="24">
        <v>45775.380208333336</v>
      </c>
      <c r="G1023" t="s">
        <v>90</v>
      </c>
      <c r="H1023" t="s">
        <v>155</v>
      </c>
      <c r="I1023" s="24"/>
      <c r="J1023" s="24"/>
      <c r="K1023" s="24"/>
      <c r="L1023" s="24"/>
      <c r="N1023" s="24"/>
      <c r="O1023" s="24"/>
      <c r="P1023" s="24"/>
      <c r="Q1023" s="24"/>
      <c r="V1023" s="24"/>
      <c r="W1023" s="24"/>
      <c r="X1023" s="24"/>
      <c r="Y1023" s="24"/>
      <c r="AA1023" s="24">
        <v>45810.286706932871</v>
      </c>
      <c r="AB1023" s="24">
        <v>45810.286706932871</v>
      </c>
      <c r="AC1023" s="24">
        <v>45813.649682673611</v>
      </c>
      <c r="AD1023" s="24">
        <v>45813.649682673611</v>
      </c>
      <c r="AE1023">
        <v>1</v>
      </c>
      <c r="AF1023" s="24">
        <v>45813.649682673611</v>
      </c>
      <c r="AG1023" s="24">
        <v>45813.649682673611</v>
      </c>
      <c r="AH1023" s="24">
        <v>45814.441064155093</v>
      </c>
      <c r="AI1023" s="24">
        <v>45814.441064155093</v>
      </c>
      <c r="AJ1023">
        <v>1</v>
      </c>
      <c r="AK1023" s="24">
        <v>45814.441064155093</v>
      </c>
      <c r="AL1023" s="24">
        <v>45814.441064155093</v>
      </c>
      <c r="AM1023" s="24">
        <v>45818.688105393521</v>
      </c>
      <c r="AN1023" s="24">
        <v>45818.688105393521</v>
      </c>
      <c r="AO1023">
        <v>1</v>
      </c>
      <c r="AP1023" s="24"/>
      <c r="AQ1023" s="24"/>
      <c r="AR1023" s="24">
        <v>45776.463155405094</v>
      </c>
      <c r="AS1023" s="24">
        <v>45776.463155405094</v>
      </c>
      <c r="AX1023" s="24"/>
      <c r="AY1023" s="24"/>
      <c r="AZ1023" s="24"/>
      <c r="BA1023" s="24"/>
      <c r="BC1023" s="24">
        <v>45818.688249525461</v>
      </c>
      <c r="BD1023" s="24">
        <v>45818.688249525461</v>
      </c>
      <c r="BE1023" s="24">
        <v>46049.615347673614</v>
      </c>
      <c r="BF1023" s="24">
        <v>46049.615347673614</v>
      </c>
      <c r="BG1023">
        <v>1</v>
      </c>
      <c r="BH1023" s="24">
        <v>45776.464035972225</v>
      </c>
      <c r="BI1023" s="24">
        <v>45776.464035972225</v>
      </c>
      <c r="BJ1023" s="24">
        <v>45810.286706932871</v>
      </c>
      <c r="BK1023" s="24">
        <v>45810.286706932871</v>
      </c>
      <c r="BL1023">
        <v>1</v>
      </c>
      <c r="BM1023" s="24"/>
      <c r="BN1023" s="24"/>
      <c r="BO1023" s="24"/>
      <c r="BP1023" s="24"/>
      <c r="BR1023" s="24">
        <v>45818.688105393521</v>
      </c>
      <c r="BS1023" s="24">
        <v>45818.688105393521</v>
      </c>
      <c r="BT1023" s="24">
        <v>45818.688249525461</v>
      </c>
      <c r="BU1023" s="24">
        <v>45818.688249525461</v>
      </c>
      <c r="BV1023">
        <v>1</v>
      </c>
      <c r="BW1023" s="24">
        <v>45776.463155405094</v>
      </c>
      <c r="BX1023" s="24">
        <v>45776.463155405094</v>
      </c>
      <c r="BY1023" s="24">
        <v>45776.464035972225</v>
      </c>
      <c r="BZ1023" s="24">
        <v>45776.464035972225</v>
      </c>
      <c r="CA1023">
        <v>1</v>
      </c>
      <c r="CB1023" s="24"/>
      <c r="CC1023" s="24"/>
      <c r="CE1023" s="24">
        <v>46049.615347673614</v>
      </c>
      <c r="CF1023" s="24">
        <v>46049.615347673614</v>
      </c>
      <c r="CG1023">
        <v>1</v>
      </c>
      <c r="CH1023" s="24"/>
      <c r="CI1023" s="24"/>
      <c r="CJ1023" s="24"/>
      <c r="CK1023" s="24"/>
      <c r="DE1023" s="24"/>
      <c r="DF1023" s="24"/>
      <c r="DG1023" s="24"/>
      <c r="DH1023" s="24"/>
      <c r="DJ1023" t="s">
        <v>149</v>
      </c>
      <c r="DK1023" t="s">
        <v>149</v>
      </c>
      <c r="DM1023">
        <v>274</v>
      </c>
      <c r="DN1023">
        <v>240</v>
      </c>
      <c r="DQ1023" t="s">
        <v>1001</v>
      </c>
      <c r="DR1023" t="s">
        <v>149</v>
      </c>
      <c r="DS1023" s="24">
        <v>46160.384426226854</v>
      </c>
    </row>
    <row r="1024" spans="1:123" x14ac:dyDescent="0.3">
      <c r="A1024" t="s">
        <v>1507</v>
      </c>
      <c r="D1024" t="s">
        <v>224</v>
      </c>
      <c r="E1024" s="24">
        <v>45769.624502314815</v>
      </c>
      <c r="G1024" t="s">
        <v>90</v>
      </c>
      <c r="H1024" t="s">
        <v>155</v>
      </c>
      <c r="I1024" s="24"/>
      <c r="J1024" s="24"/>
      <c r="K1024" s="24"/>
      <c r="L1024" s="24"/>
      <c r="N1024" s="24"/>
      <c r="O1024" s="24"/>
      <c r="P1024" s="24"/>
      <c r="Q1024" s="24"/>
      <c r="V1024" s="24"/>
      <c r="W1024" s="24"/>
      <c r="X1024" s="24"/>
      <c r="Y1024" s="24"/>
      <c r="AA1024" s="24">
        <v>45776.559276817126</v>
      </c>
      <c r="AB1024" s="24">
        <v>45776.559276817126</v>
      </c>
      <c r="AC1024" s="24">
        <v>45783.489667442132</v>
      </c>
      <c r="AD1024" s="24">
        <v>45783.489667442132</v>
      </c>
      <c r="AE1024">
        <v>1</v>
      </c>
      <c r="AF1024" s="24">
        <v>45783.489667442132</v>
      </c>
      <c r="AG1024" s="24">
        <v>45783.489667442132</v>
      </c>
      <c r="AH1024" s="24">
        <v>45784.391868321756</v>
      </c>
      <c r="AI1024" s="24">
        <v>45784.391868321756</v>
      </c>
      <c r="AJ1024">
        <v>1</v>
      </c>
      <c r="AK1024" s="24">
        <v>45784.391868321756</v>
      </c>
      <c r="AL1024" s="24">
        <v>45784.391868321756</v>
      </c>
      <c r="AM1024" s="24">
        <v>45785.375734201392</v>
      </c>
      <c r="AN1024" s="24">
        <v>45785.375734201392</v>
      </c>
      <c r="AO1024">
        <v>1</v>
      </c>
      <c r="AP1024" s="24"/>
      <c r="AQ1024" s="24"/>
      <c r="AR1024" s="24">
        <v>45776.45393920139</v>
      </c>
      <c r="AS1024" s="24">
        <v>45776.45393920139</v>
      </c>
      <c r="AX1024" s="24"/>
      <c r="AY1024" s="24"/>
      <c r="AZ1024" s="24"/>
      <c r="BA1024" s="24"/>
      <c r="BC1024" s="24">
        <v>45785.376513113428</v>
      </c>
      <c r="BD1024" s="24">
        <v>45785.376513113428</v>
      </c>
      <c r="BE1024" s="24">
        <v>45797.497403796297</v>
      </c>
      <c r="BF1024" s="24">
        <v>45797.497403796297</v>
      </c>
      <c r="BG1024">
        <v>1</v>
      </c>
      <c r="BH1024" s="24">
        <v>45776.45393920139</v>
      </c>
      <c r="BI1024" s="24">
        <v>45776.45393920139</v>
      </c>
      <c r="BJ1024" s="24">
        <v>45776.559276817126</v>
      </c>
      <c r="BK1024" s="24">
        <v>45776.559276817126</v>
      </c>
      <c r="BL1024">
        <v>1</v>
      </c>
      <c r="BM1024" s="24"/>
      <c r="BN1024" s="24"/>
      <c r="BO1024" s="24"/>
      <c r="BP1024" s="24"/>
      <c r="BR1024" s="24">
        <v>45785.375734201392</v>
      </c>
      <c r="BS1024" s="24">
        <v>45785.375734201392</v>
      </c>
      <c r="BT1024" s="24">
        <v>45785.376513113428</v>
      </c>
      <c r="BU1024" s="24">
        <v>45785.376513113428</v>
      </c>
      <c r="BV1024">
        <v>1</v>
      </c>
      <c r="BW1024" s="24"/>
      <c r="BX1024" s="24"/>
      <c r="BY1024" s="24"/>
      <c r="BZ1024" s="24"/>
      <c r="CB1024" s="24"/>
      <c r="CC1024" s="24"/>
      <c r="CE1024" s="24">
        <v>45797.497403796297</v>
      </c>
      <c r="CF1024" s="24">
        <v>45797.497403796297</v>
      </c>
      <c r="CG1024">
        <v>1</v>
      </c>
      <c r="CH1024" s="24"/>
      <c r="CI1024" s="24"/>
      <c r="CJ1024" s="24"/>
      <c r="CK1024" s="24"/>
      <c r="DE1024" s="24"/>
      <c r="DF1024" s="24"/>
      <c r="DG1024" s="24"/>
      <c r="DH1024" s="24"/>
      <c r="DJ1024" t="s">
        <v>149</v>
      </c>
      <c r="DK1024" t="s">
        <v>149</v>
      </c>
      <c r="DM1024">
        <v>22</v>
      </c>
      <c r="DN1024">
        <v>21</v>
      </c>
      <c r="DQ1024" t="s">
        <v>1001</v>
      </c>
      <c r="DR1024" t="s">
        <v>149</v>
      </c>
      <c r="DS1024" s="24">
        <v>46160.384426226854</v>
      </c>
    </row>
    <row r="1025" spans="1:123" x14ac:dyDescent="0.3">
      <c r="A1025" t="s">
        <v>1508</v>
      </c>
      <c r="D1025" t="s">
        <v>225</v>
      </c>
      <c r="E1025" s="24">
        <v>45763.458240740743</v>
      </c>
      <c r="G1025" t="s">
        <v>90</v>
      </c>
      <c r="H1025" t="s">
        <v>155</v>
      </c>
      <c r="I1025" s="24"/>
      <c r="J1025" s="24"/>
      <c r="K1025" s="24"/>
      <c r="L1025" s="24"/>
      <c r="N1025" s="24"/>
      <c r="O1025" s="24"/>
      <c r="P1025" s="24"/>
      <c r="Q1025" s="24"/>
      <c r="V1025" s="24"/>
      <c r="W1025" s="24"/>
      <c r="X1025" s="24"/>
      <c r="Y1025" s="24"/>
      <c r="AA1025" s="24">
        <v>45763.597257152775</v>
      </c>
      <c r="AB1025" s="24">
        <v>45763.597257152775</v>
      </c>
      <c r="AC1025" s="24">
        <v>45791.44721071759</v>
      </c>
      <c r="AD1025" s="24">
        <v>45791.44721071759</v>
      </c>
      <c r="AE1025">
        <v>1</v>
      </c>
      <c r="AF1025" s="24">
        <v>45791.44721071759</v>
      </c>
      <c r="AG1025" s="24">
        <v>45791.44721071759</v>
      </c>
      <c r="AH1025" s="24">
        <v>45791.447267534721</v>
      </c>
      <c r="AI1025" s="24">
        <v>45791.447267534721</v>
      </c>
      <c r="AJ1025">
        <v>1</v>
      </c>
      <c r="AK1025" s="24">
        <v>45791.447267534721</v>
      </c>
      <c r="AL1025" s="24">
        <v>45791.447267534721</v>
      </c>
      <c r="AM1025" s="24">
        <v>45791.447304849535</v>
      </c>
      <c r="AN1025" s="24">
        <v>45791.447304849535</v>
      </c>
      <c r="AO1025">
        <v>1</v>
      </c>
      <c r="AP1025" s="24"/>
      <c r="AQ1025" s="24"/>
      <c r="AR1025" s="24">
        <v>45763.597180300923</v>
      </c>
      <c r="AS1025" s="24">
        <v>45763.597180300923</v>
      </c>
      <c r="AX1025" s="24"/>
      <c r="AY1025" s="24"/>
      <c r="AZ1025" s="24"/>
      <c r="BA1025" s="24"/>
      <c r="BC1025" s="24">
        <v>45791.447441990742</v>
      </c>
      <c r="BD1025" s="24">
        <v>45791.447441990742</v>
      </c>
      <c r="BE1025" s="24">
        <v>45947.703374432873</v>
      </c>
      <c r="BF1025" s="24">
        <v>45947.703374432873</v>
      </c>
      <c r="BG1025">
        <v>1</v>
      </c>
      <c r="BH1025" s="24">
        <v>45763.597180300923</v>
      </c>
      <c r="BI1025" s="24">
        <v>45763.597180300923</v>
      </c>
      <c r="BJ1025" s="24">
        <v>45763.597257152775</v>
      </c>
      <c r="BK1025" s="24">
        <v>45763.597257152775</v>
      </c>
      <c r="BL1025">
        <v>1</v>
      </c>
      <c r="BM1025" s="24"/>
      <c r="BN1025" s="24"/>
      <c r="BO1025" s="24"/>
      <c r="BP1025" s="24"/>
      <c r="BR1025" s="24">
        <v>45791.447304849535</v>
      </c>
      <c r="BS1025" s="24">
        <v>45791.447304849535</v>
      </c>
      <c r="BT1025" s="24">
        <v>45791.447441990742</v>
      </c>
      <c r="BU1025" s="24">
        <v>45791.447441990742</v>
      </c>
      <c r="BV1025">
        <v>1</v>
      </c>
      <c r="BW1025" s="24"/>
      <c r="BX1025" s="24"/>
      <c r="BY1025" s="24"/>
      <c r="BZ1025" s="24"/>
      <c r="CB1025" s="24"/>
      <c r="CC1025" s="24"/>
      <c r="CE1025" s="24">
        <v>45947.703374432873</v>
      </c>
      <c r="CF1025" s="24">
        <v>45947.703374432873</v>
      </c>
      <c r="CG1025">
        <v>1</v>
      </c>
      <c r="CH1025" s="24"/>
      <c r="CI1025" s="24"/>
      <c r="CJ1025" s="24"/>
      <c r="CK1025" s="24"/>
      <c r="DE1025" s="24"/>
      <c r="DF1025" s="24"/>
      <c r="DG1025" s="24"/>
      <c r="DH1025" s="24"/>
      <c r="DJ1025" t="s">
        <v>149</v>
      </c>
      <c r="DK1025" t="s">
        <v>149</v>
      </c>
      <c r="DM1025">
        <v>185</v>
      </c>
      <c r="DN1025">
        <v>185</v>
      </c>
      <c r="DQ1025" t="s">
        <v>1001</v>
      </c>
      <c r="DR1025" t="s">
        <v>149</v>
      </c>
      <c r="DS1025" s="24">
        <v>46160.384426226854</v>
      </c>
    </row>
    <row r="1026" spans="1:123" x14ac:dyDescent="0.3">
      <c r="A1026" t="s">
        <v>1509</v>
      </c>
      <c r="D1026" t="s">
        <v>225</v>
      </c>
      <c r="E1026" s="24">
        <v>45763.364745370367</v>
      </c>
      <c r="G1026" t="s">
        <v>90</v>
      </c>
      <c r="H1026" t="s">
        <v>155</v>
      </c>
      <c r="I1026" s="24"/>
      <c r="J1026" s="24"/>
      <c r="K1026" s="24"/>
      <c r="L1026" s="24"/>
      <c r="N1026" s="24"/>
      <c r="O1026" s="24"/>
      <c r="P1026" s="24"/>
      <c r="Q1026" s="24"/>
      <c r="V1026" s="24"/>
      <c r="W1026" s="24"/>
      <c r="X1026" s="24"/>
      <c r="Y1026" s="24"/>
      <c r="AA1026" s="24">
        <v>45769.414206226851</v>
      </c>
      <c r="AB1026" s="24">
        <v>45769.414206226851</v>
      </c>
      <c r="AC1026" s="24">
        <v>45776.55901582176</v>
      </c>
      <c r="AD1026" s="24">
        <v>45776.55901582176</v>
      </c>
      <c r="AE1026">
        <v>1</v>
      </c>
      <c r="AF1026" s="24">
        <v>45776.55901582176</v>
      </c>
      <c r="AG1026" s="24">
        <v>45776.55901582176</v>
      </c>
      <c r="AH1026" s="24">
        <v>45784.365709930556</v>
      </c>
      <c r="AI1026" s="24">
        <v>45784.365709930556</v>
      </c>
      <c r="AJ1026">
        <v>1</v>
      </c>
      <c r="AK1026" s="24">
        <v>45784.365709930556</v>
      </c>
      <c r="AL1026" s="24">
        <v>45784.365709930556</v>
      </c>
      <c r="AM1026" s="24">
        <v>45785.388958333337</v>
      </c>
      <c r="AN1026" s="24">
        <v>45785.388958333337</v>
      </c>
      <c r="AO1026">
        <v>1</v>
      </c>
      <c r="AP1026" s="24"/>
      <c r="AQ1026" s="24"/>
      <c r="AR1026" s="24">
        <v>45763.501510902781</v>
      </c>
      <c r="AS1026" s="24">
        <v>45763.501510902781</v>
      </c>
      <c r="AX1026" s="24"/>
      <c r="AY1026" s="24"/>
      <c r="AZ1026" s="24"/>
      <c r="BA1026" s="24"/>
      <c r="BC1026" s="24">
        <v>45785.389093298611</v>
      </c>
      <c r="BD1026" s="24">
        <v>45785.389093298611</v>
      </c>
      <c r="BE1026" s="24">
        <v>45898.301046655091</v>
      </c>
      <c r="BF1026" s="24">
        <v>45898.301046655091</v>
      </c>
      <c r="BG1026">
        <v>1</v>
      </c>
      <c r="BH1026" s="24">
        <v>45763.501510902781</v>
      </c>
      <c r="BI1026" s="24">
        <v>45763.501510902781</v>
      </c>
      <c r="BJ1026" s="24">
        <v>45769.414206226851</v>
      </c>
      <c r="BK1026" s="24">
        <v>45769.414206226851</v>
      </c>
      <c r="BL1026">
        <v>1</v>
      </c>
      <c r="BM1026" s="24"/>
      <c r="BN1026" s="24"/>
      <c r="BO1026" s="24"/>
      <c r="BP1026" s="24"/>
      <c r="BR1026" s="24">
        <v>45785.388958333337</v>
      </c>
      <c r="BS1026" s="24">
        <v>45785.388958333337</v>
      </c>
      <c r="BT1026" s="24">
        <v>45785.389093298611</v>
      </c>
      <c r="BU1026" s="24">
        <v>45785.389093298611</v>
      </c>
      <c r="BV1026">
        <v>1</v>
      </c>
      <c r="BW1026" s="24"/>
      <c r="BX1026" s="24"/>
      <c r="BY1026" s="24"/>
      <c r="BZ1026" s="24"/>
      <c r="CB1026" s="24"/>
      <c r="CC1026" s="24"/>
      <c r="CE1026" s="24">
        <v>45898.301046655091</v>
      </c>
      <c r="CF1026" s="24">
        <v>45898.301046655091</v>
      </c>
      <c r="CG1026">
        <v>1</v>
      </c>
      <c r="CH1026" s="24"/>
      <c r="CI1026" s="24"/>
      <c r="CJ1026" s="24"/>
      <c r="CK1026" s="24"/>
      <c r="DE1026" s="24"/>
      <c r="DF1026" s="24"/>
      <c r="DG1026" s="24"/>
      <c r="DH1026" s="24"/>
      <c r="DJ1026" t="s">
        <v>149</v>
      </c>
      <c r="DK1026" t="s">
        <v>149</v>
      </c>
      <c r="DM1026">
        <v>135</v>
      </c>
      <c r="DN1026">
        <v>129</v>
      </c>
      <c r="DQ1026" t="s">
        <v>1001</v>
      </c>
      <c r="DR1026" t="s">
        <v>149</v>
      </c>
      <c r="DS1026" s="24">
        <v>46160.384426226854</v>
      </c>
    </row>
    <row r="1027" spans="1:123" x14ac:dyDescent="0.3">
      <c r="A1027" t="s">
        <v>1510</v>
      </c>
      <c r="D1027" t="s">
        <v>225</v>
      </c>
      <c r="E1027" s="24">
        <v>45762.510289351849</v>
      </c>
      <c r="G1027" t="s">
        <v>90</v>
      </c>
      <c r="H1027" t="s">
        <v>155</v>
      </c>
      <c r="I1027" s="24"/>
      <c r="J1027" s="24"/>
      <c r="K1027" s="24"/>
      <c r="L1027" s="24"/>
      <c r="N1027" s="24"/>
      <c r="O1027" s="24"/>
      <c r="P1027" s="24"/>
      <c r="Q1027" s="24"/>
      <c r="V1027" s="24"/>
      <c r="W1027" s="24"/>
      <c r="X1027" s="24"/>
      <c r="Y1027" s="24"/>
      <c r="AA1027" s="24">
        <v>45789.44692141204</v>
      </c>
      <c r="AB1027" s="24">
        <v>45789.44692141204</v>
      </c>
      <c r="AC1027" s="24">
        <v>45797.476733692129</v>
      </c>
      <c r="AD1027" s="24">
        <v>45797.476733692129</v>
      </c>
      <c r="AE1027">
        <v>1</v>
      </c>
      <c r="AF1027" s="24">
        <v>45797.476733692129</v>
      </c>
      <c r="AG1027" s="24">
        <v>45797.476733692129</v>
      </c>
      <c r="AH1027" s="24">
        <v>45819.386624525461</v>
      </c>
      <c r="AI1027" s="24">
        <v>45819.386624525461</v>
      </c>
      <c r="AJ1027">
        <v>1</v>
      </c>
      <c r="AK1027" s="24">
        <v>45819.386624525461</v>
      </c>
      <c r="AL1027" s="24">
        <v>45819.386624525461</v>
      </c>
      <c r="AM1027" s="24">
        <v>45819.386966423612</v>
      </c>
      <c r="AN1027" s="24">
        <v>45819.386966423612</v>
      </c>
      <c r="AO1027">
        <v>1</v>
      </c>
      <c r="AP1027" s="24"/>
      <c r="AQ1027" s="24"/>
      <c r="AR1027" s="24">
        <v>45776.468135266201</v>
      </c>
      <c r="AS1027" s="24">
        <v>45776.468135266201</v>
      </c>
      <c r="AX1027" s="24"/>
      <c r="AY1027" s="24"/>
      <c r="AZ1027" s="24"/>
      <c r="BA1027" s="24"/>
      <c r="BC1027" s="24">
        <v>45819.387198078701</v>
      </c>
      <c r="BD1027" s="24">
        <v>45819.387198078701</v>
      </c>
      <c r="BE1027" s="24">
        <v>45947.703376053243</v>
      </c>
      <c r="BF1027" s="24">
        <v>45947.703376053243</v>
      </c>
      <c r="BG1027">
        <v>1</v>
      </c>
      <c r="BH1027" s="24">
        <v>45776.468135266201</v>
      </c>
      <c r="BI1027" s="24">
        <v>45776.468135266201</v>
      </c>
      <c r="BJ1027" s="24">
        <v>45789.44692141204</v>
      </c>
      <c r="BK1027" s="24">
        <v>45789.44692141204</v>
      </c>
      <c r="BL1027">
        <v>1</v>
      </c>
      <c r="BM1027" s="24"/>
      <c r="BN1027" s="24"/>
      <c r="BO1027" s="24"/>
      <c r="BP1027" s="24"/>
      <c r="BR1027" s="24">
        <v>45819.386966423612</v>
      </c>
      <c r="BS1027" s="24">
        <v>45819.386966423612</v>
      </c>
      <c r="BT1027" s="24">
        <v>45819.387198078701</v>
      </c>
      <c r="BU1027" s="24">
        <v>45819.387198078701</v>
      </c>
      <c r="BV1027">
        <v>1</v>
      </c>
      <c r="BW1027" s="24"/>
      <c r="BX1027" s="24"/>
      <c r="BY1027" s="24"/>
      <c r="BZ1027" s="24"/>
      <c r="CB1027" s="24"/>
      <c r="CC1027" s="24"/>
      <c r="CE1027" s="24">
        <v>45947.703376053243</v>
      </c>
      <c r="CF1027" s="24">
        <v>45947.703376053243</v>
      </c>
      <c r="CG1027">
        <v>1</v>
      </c>
      <c r="CH1027" s="24"/>
      <c r="CI1027" s="24"/>
      <c r="CJ1027" s="24"/>
      <c r="CK1027" s="24"/>
      <c r="DE1027" s="24"/>
      <c r="DF1027" s="24"/>
      <c r="DG1027" s="24"/>
      <c r="DH1027" s="24"/>
      <c r="DJ1027" t="s">
        <v>149</v>
      </c>
      <c r="DK1027" t="s">
        <v>149</v>
      </c>
      <c r="DM1027">
        <v>172</v>
      </c>
      <c r="DN1027">
        <v>159</v>
      </c>
      <c r="DQ1027" t="s">
        <v>1001</v>
      </c>
      <c r="DR1027" t="s">
        <v>149</v>
      </c>
      <c r="DS1027" s="24">
        <v>46160.384426226854</v>
      </c>
    </row>
    <row r="1028" spans="1:123" x14ac:dyDescent="0.3">
      <c r="A1028" t="s">
        <v>1511</v>
      </c>
      <c r="D1028" t="s">
        <v>225</v>
      </c>
      <c r="E1028" s="24">
        <v>45762.50980324074</v>
      </c>
      <c r="G1028" t="s">
        <v>90</v>
      </c>
      <c r="H1028" t="s">
        <v>155</v>
      </c>
      <c r="I1028" s="24"/>
      <c r="J1028" s="24"/>
      <c r="K1028" s="24"/>
      <c r="L1028" s="24"/>
      <c r="N1028" s="24"/>
      <c r="O1028" s="24"/>
      <c r="P1028" s="24"/>
      <c r="Q1028" s="24"/>
      <c r="V1028" s="24"/>
      <c r="W1028" s="24"/>
      <c r="X1028" s="24"/>
      <c r="Y1028" s="24"/>
      <c r="AA1028" s="24">
        <v>45824.425977129627</v>
      </c>
      <c r="AB1028" s="24">
        <v>45824.425977129627</v>
      </c>
      <c r="AC1028" s="24">
        <v>45826.464766840276</v>
      </c>
      <c r="AD1028" s="24">
        <v>45826.464766840276</v>
      </c>
      <c r="AE1028">
        <v>1</v>
      </c>
      <c r="AF1028" s="24">
        <v>45826.464766840276</v>
      </c>
      <c r="AG1028" s="24">
        <v>45826.464766840276</v>
      </c>
      <c r="AH1028" s="24">
        <v>45832.846751365738</v>
      </c>
      <c r="AI1028" s="24">
        <v>45832.846751365738</v>
      </c>
      <c r="AJ1028">
        <v>1</v>
      </c>
      <c r="AK1028" s="24">
        <v>45832.846751365738</v>
      </c>
      <c r="AL1028" s="24">
        <v>45832.846751365738</v>
      </c>
      <c r="AM1028" s="24">
        <v>45833.472027662036</v>
      </c>
      <c r="AN1028" s="24">
        <v>45833.472027662036</v>
      </c>
      <c r="AO1028">
        <v>1</v>
      </c>
      <c r="AP1028" s="24"/>
      <c r="AQ1028" s="24"/>
      <c r="AR1028" s="24">
        <v>45763.514524305552</v>
      </c>
      <c r="AS1028" s="24">
        <v>45763.514524305552</v>
      </c>
      <c r="AX1028" s="24"/>
      <c r="AY1028" s="24"/>
      <c r="AZ1028" s="24"/>
      <c r="BA1028" s="24"/>
      <c r="BC1028" s="24">
        <v>45833.47215736111</v>
      </c>
      <c r="BD1028" s="24">
        <v>45833.47215736111</v>
      </c>
      <c r="BE1028" s="24">
        <v>45947.703377256941</v>
      </c>
      <c r="BF1028" s="24">
        <v>45947.703377256941</v>
      </c>
      <c r="BG1028">
        <v>1</v>
      </c>
      <c r="BH1028" s="24">
        <v>45763.514635150466</v>
      </c>
      <c r="BI1028" s="24">
        <v>45763.514635150466</v>
      </c>
      <c r="BJ1028" s="24">
        <v>45824.425977129627</v>
      </c>
      <c r="BK1028" s="24">
        <v>45824.425977129627</v>
      </c>
      <c r="BL1028">
        <v>1</v>
      </c>
      <c r="BM1028" s="24"/>
      <c r="BN1028" s="24"/>
      <c r="BO1028" s="24"/>
      <c r="BP1028" s="24"/>
      <c r="BR1028" s="24">
        <v>45833.472027662036</v>
      </c>
      <c r="BS1028" s="24">
        <v>45833.472027662036</v>
      </c>
      <c r="BT1028" s="24">
        <v>45833.47215736111</v>
      </c>
      <c r="BU1028" s="24">
        <v>45833.47215736111</v>
      </c>
      <c r="BV1028">
        <v>1</v>
      </c>
      <c r="BW1028" s="24">
        <v>45763.514524305552</v>
      </c>
      <c r="BX1028" s="24">
        <v>45763.514524305552</v>
      </c>
      <c r="BY1028" s="24">
        <v>45763.514635150466</v>
      </c>
      <c r="BZ1028" s="24">
        <v>45763.514635150466</v>
      </c>
      <c r="CA1028">
        <v>1</v>
      </c>
      <c r="CB1028" s="24"/>
      <c r="CC1028" s="24"/>
      <c r="CE1028" s="24">
        <v>45947.703377256941</v>
      </c>
      <c r="CF1028" s="24">
        <v>45947.703377256941</v>
      </c>
      <c r="CG1028">
        <v>1</v>
      </c>
      <c r="CH1028" s="24"/>
      <c r="CI1028" s="24"/>
      <c r="CJ1028" s="24"/>
      <c r="CK1028" s="24"/>
      <c r="DE1028" s="24"/>
      <c r="DF1028" s="24"/>
      <c r="DG1028" s="24"/>
      <c r="DH1028" s="24"/>
      <c r="DJ1028" t="s">
        <v>149</v>
      </c>
      <c r="DK1028" t="s">
        <v>149</v>
      </c>
      <c r="DM1028">
        <v>185</v>
      </c>
      <c r="DN1028">
        <v>124</v>
      </c>
      <c r="DQ1028" t="s">
        <v>1001</v>
      </c>
      <c r="DR1028" t="s">
        <v>149</v>
      </c>
      <c r="DS1028" s="24">
        <v>46160.384426226854</v>
      </c>
    </row>
    <row r="1029" spans="1:123" x14ac:dyDescent="0.3">
      <c r="A1029" t="s">
        <v>1512</v>
      </c>
      <c r="D1029" t="s">
        <v>225</v>
      </c>
      <c r="E1029" s="24">
        <v>45762.509594907409</v>
      </c>
      <c r="G1029" t="s">
        <v>90</v>
      </c>
      <c r="H1029" t="s">
        <v>155</v>
      </c>
      <c r="I1029" s="24"/>
      <c r="J1029" s="24"/>
      <c r="K1029" s="24"/>
      <c r="L1029" s="24"/>
      <c r="N1029" s="24"/>
      <c r="O1029" s="24"/>
      <c r="P1029" s="24"/>
      <c r="Q1029" s="24"/>
      <c r="V1029" s="24"/>
      <c r="W1029" s="24"/>
      <c r="X1029" s="24"/>
      <c r="Y1029" s="24"/>
      <c r="AA1029" s="24">
        <v>45793.464816597225</v>
      </c>
      <c r="AB1029" s="24">
        <v>45793.464816597225</v>
      </c>
      <c r="AC1029" s="24">
        <v>45799.63361733796</v>
      </c>
      <c r="AD1029" s="24">
        <v>45799.63361733796</v>
      </c>
      <c r="AE1029">
        <v>1</v>
      </c>
      <c r="AF1029" s="24">
        <v>45799.63361733796</v>
      </c>
      <c r="AG1029" s="24">
        <v>45799.63361733796</v>
      </c>
      <c r="AH1029" s="24">
        <v>45812.646485196761</v>
      </c>
      <c r="AI1029" s="24">
        <v>45812.646485196761</v>
      </c>
      <c r="AJ1029">
        <v>1</v>
      </c>
      <c r="AK1029" s="24">
        <v>45812.646485196761</v>
      </c>
      <c r="AL1029" s="24">
        <v>45812.646485196761</v>
      </c>
      <c r="AM1029" s="24">
        <v>45818.447396203701</v>
      </c>
      <c r="AN1029" s="24">
        <v>45818.447396203701</v>
      </c>
      <c r="AO1029">
        <v>1</v>
      </c>
      <c r="AP1029" s="24"/>
      <c r="AQ1029" s="24"/>
      <c r="AR1029" s="24">
        <v>45763.51476982639</v>
      </c>
      <c r="AS1029" s="24">
        <v>45763.51476982639</v>
      </c>
      <c r="AX1029" s="24"/>
      <c r="AY1029" s="24"/>
      <c r="AZ1029" s="24"/>
      <c r="BA1029" s="24"/>
      <c r="BC1029" s="24">
        <v>45818.447512025465</v>
      </c>
      <c r="BD1029" s="24">
        <v>45818.447512025465</v>
      </c>
      <c r="BE1029" s="24">
        <v>45947.703380196763</v>
      </c>
      <c r="BF1029" s="24">
        <v>45947.703380196763</v>
      </c>
      <c r="BG1029">
        <v>1</v>
      </c>
      <c r="BH1029" s="24">
        <v>45763.51476982639</v>
      </c>
      <c r="BI1029" s="24">
        <v>45763.51476982639</v>
      </c>
      <c r="BJ1029" s="24">
        <v>45793.464816597225</v>
      </c>
      <c r="BK1029" s="24">
        <v>45793.464816597225</v>
      </c>
      <c r="BL1029">
        <v>1</v>
      </c>
      <c r="BM1029" s="24"/>
      <c r="BN1029" s="24"/>
      <c r="BO1029" s="24"/>
      <c r="BP1029" s="24"/>
      <c r="BR1029" s="24">
        <v>45818.447396203701</v>
      </c>
      <c r="BS1029" s="24">
        <v>45818.447396203701</v>
      </c>
      <c r="BT1029" s="24">
        <v>45818.447512025465</v>
      </c>
      <c r="BU1029" s="24">
        <v>45818.447512025465</v>
      </c>
      <c r="BV1029">
        <v>1</v>
      </c>
      <c r="BW1029" s="24"/>
      <c r="BX1029" s="24"/>
      <c r="BY1029" s="24"/>
      <c r="BZ1029" s="24"/>
      <c r="CB1029" s="24"/>
      <c r="CC1029" s="24"/>
      <c r="CE1029" s="24">
        <v>45947.703380196763</v>
      </c>
      <c r="CF1029" s="24">
        <v>45947.703380196763</v>
      </c>
      <c r="CG1029">
        <v>1</v>
      </c>
      <c r="CH1029" s="24"/>
      <c r="CI1029" s="24"/>
      <c r="CJ1029" s="24"/>
      <c r="CK1029" s="24"/>
      <c r="DE1029" s="24"/>
      <c r="DF1029" s="24"/>
      <c r="DG1029" s="24"/>
      <c r="DH1029" s="24"/>
      <c r="DJ1029" t="s">
        <v>149</v>
      </c>
      <c r="DK1029" t="s">
        <v>149</v>
      </c>
      <c r="DM1029">
        <v>185</v>
      </c>
      <c r="DN1029">
        <v>155</v>
      </c>
      <c r="DQ1029" t="s">
        <v>1001</v>
      </c>
      <c r="DR1029" t="s">
        <v>149</v>
      </c>
      <c r="DS1029" s="24">
        <v>46160.384426226854</v>
      </c>
    </row>
    <row r="1030" spans="1:123" x14ac:dyDescent="0.3">
      <c r="A1030" t="s">
        <v>1513</v>
      </c>
      <c r="D1030" t="s">
        <v>225</v>
      </c>
      <c r="E1030" s="24">
        <v>45757.494074074071</v>
      </c>
      <c r="G1030" t="s">
        <v>90</v>
      </c>
      <c r="H1030" t="s">
        <v>155</v>
      </c>
      <c r="I1030" s="24"/>
      <c r="J1030" s="24"/>
      <c r="K1030" s="24"/>
      <c r="L1030" s="24"/>
      <c r="N1030" s="24"/>
      <c r="O1030" s="24"/>
      <c r="P1030" s="24"/>
      <c r="Q1030" s="24"/>
      <c r="V1030" s="24"/>
      <c r="W1030" s="24"/>
      <c r="X1030" s="24"/>
      <c r="Y1030" s="24"/>
      <c r="AA1030" s="24">
        <v>45789.277066840281</v>
      </c>
      <c r="AB1030" s="24">
        <v>45789.277066840281</v>
      </c>
      <c r="AC1030" s="24">
        <v>45793.463303182871</v>
      </c>
      <c r="AD1030" s="24">
        <v>45793.463303182871</v>
      </c>
      <c r="AE1030">
        <v>1</v>
      </c>
      <c r="AF1030" s="24">
        <v>45793.463303182871</v>
      </c>
      <c r="AG1030" s="24">
        <v>45793.463303182871</v>
      </c>
      <c r="AH1030" s="24">
        <v>45810.746283009263</v>
      </c>
      <c r="AI1030" s="24">
        <v>45810.746283009263</v>
      </c>
      <c r="AJ1030">
        <v>1</v>
      </c>
      <c r="AK1030" s="24">
        <v>45810.746283009263</v>
      </c>
      <c r="AL1030" s="24">
        <v>45810.746283009263</v>
      </c>
      <c r="AM1030" s="24">
        <v>45814.573412094906</v>
      </c>
      <c r="AN1030" s="24">
        <v>45814.573412094906</v>
      </c>
      <c r="AO1030">
        <v>1</v>
      </c>
      <c r="AP1030" s="24"/>
      <c r="AQ1030" s="24"/>
      <c r="AR1030" s="24">
        <v>45776.472497453702</v>
      </c>
      <c r="AS1030" s="24">
        <v>45776.472497453702</v>
      </c>
      <c r="AX1030" s="24"/>
      <c r="AY1030" s="24"/>
      <c r="AZ1030" s="24"/>
      <c r="BA1030" s="24"/>
      <c r="BC1030" s="24">
        <v>45814.573506967594</v>
      </c>
      <c r="BD1030" s="24">
        <v>45814.573506967594</v>
      </c>
      <c r="BE1030" s="24">
        <v>45898.30104648148</v>
      </c>
      <c r="BF1030" s="24">
        <v>45898.30104648148</v>
      </c>
      <c r="BG1030">
        <v>1</v>
      </c>
      <c r="BH1030" s="24">
        <v>45776.472497453702</v>
      </c>
      <c r="BI1030" s="24">
        <v>45776.472497453702</v>
      </c>
      <c r="BJ1030" s="24">
        <v>45789.277066840281</v>
      </c>
      <c r="BK1030" s="24">
        <v>45789.277066840281</v>
      </c>
      <c r="BL1030">
        <v>1</v>
      </c>
      <c r="BM1030" s="24"/>
      <c r="BN1030" s="24"/>
      <c r="BO1030" s="24"/>
      <c r="BP1030" s="24"/>
      <c r="BR1030" s="24">
        <v>45814.573412094906</v>
      </c>
      <c r="BS1030" s="24">
        <v>45814.573412094906</v>
      </c>
      <c r="BT1030" s="24">
        <v>45814.573506967594</v>
      </c>
      <c r="BU1030" s="24">
        <v>45814.573506967594</v>
      </c>
      <c r="BV1030">
        <v>1</v>
      </c>
      <c r="BW1030" s="24"/>
      <c r="BX1030" s="24"/>
      <c r="BY1030" s="24"/>
      <c r="BZ1030" s="24"/>
      <c r="CB1030" s="24"/>
      <c r="CC1030" s="24"/>
      <c r="CE1030" s="24">
        <v>45898.30104648148</v>
      </c>
      <c r="CF1030" s="24">
        <v>45898.30104648148</v>
      </c>
      <c r="CG1030">
        <v>1</v>
      </c>
      <c r="CH1030" s="24"/>
      <c r="CI1030" s="24"/>
      <c r="CJ1030" s="24"/>
      <c r="CK1030" s="24"/>
      <c r="DE1030" s="24"/>
      <c r="DF1030" s="24"/>
      <c r="DG1030" s="24"/>
      <c r="DH1030" s="24"/>
      <c r="DJ1030" t="s">
        <v>149</v>
      </c>
      <c r="DK1030" t="s">
        <v>149</v>
      </c>
      <c r="DM1030">
        <v>122</v>
      </c>
      <c r="DN1030">
        <v>110</v>
      </c>
      <c r="DQ1030" t="s">
        <v>1001</v>
      </c>
      <c r="DR1030" t="s">
        <v>149</v>
      </c>
      <c r="DS1030" s="24">
        <v>46160.384426226854</v>
      </c>
    </row>
    <row r="1031" spans="1:123" x14ac:dyDescent="0.3">
      <c r="A1031" t="s">
        <v>1514</v>
      </c>
      <c r="D1031" t="s">
        <v>225</v>
      </c>
      <c r="E1031" s="24">
        <v>45757.489247685182</v>
      </c>
      <c r="G1031" t="s">
        <v>90</v>
      </c>
      <c r="H1031" t="s">
        <v>155</v>
      </c>
      <c r="I1031" s="24"/>
      <c r="J1031" s="24"/>
      <c r="K1031" s="24"/>
      <c r="L1031" s="24"/>
      <c r="N1031" s="24"/>
      <c r="O1031" s="24"/>
      <c r="P1031" s="24"/>
      <c r="Q1031" s="24"/>
      <c r="V1031" s="24"/>
      <c r="W1031" s="24"/>
      <c r="X1031" s="24"/>
      <c r="Y1031" s="24"/>
      <c r="AA1031" s="24">
        <v>45769.439937118055</v>
      </c>
      <c r="AB1031" s="24">
        <v>45769.439937118055</v>
      </c>
      <c r="AC1031" s="24">
        <v>45770.525760254626</v>
      </c>
      <c r="AD1031" s="24">
        <v>45770.525760254626</v>
      </c>
      <c r="AE1031">
        <v>1</v>
      </c>
      <c r="AF1031" s="24">
        <v>45770.525760254626</v>
      </c>
      <c r="AG1031" s="24">
        <v>45770.525760254626</v>
      </c>
      <c r="AH1031" s="24">
        <v>45775.569559537034</v>
      </c>
      <c r="AI1031" s="24">
        <v>45775.569559537034</v>
      </c>
      <c r="AJ1031">
        <v>1</v>
      </c>
      <c r="AK1031" s="24">
        <v>45775.569559537034</v>
      </c>
      <c r="AL1031" s="24">
        <v>45775.569559537034</v>
      </c>
      <c r="AM1031" s="24">
        <v>45775.569632430554</v>
      </c>
      <c r="AN1031" s="24">
        <v>45775.569632430554</v>
      </c>
      <c r="AO1031">
        <v>1</v>
      </c>
      <c r="AP1031" s="24"/>
      <c r="AQ1031" s="24"/>
      <c r="AR1031" s="24">
        <v>45769.433851064816</v>
      </c>
      <c r="AS1031" s="24">
        <v>45769.433851064816</v>
      </c>
      <c r="AX1031" s="24"/>
      <c r="AY1031" s="24"/>
      <c r="AZ1031" s="24"/>
      <c r="BA1031" s="24"/>
      <c r="BC1031" s="24">
        <v>45775.569715069447</v>
      </c>
      <c r="BD1031" s="24">
        <v>45775.569715069447</v>
      </c>
      <c r="BE1031" s="24">
        <v>45898.301046631947</v>
      </c>
      <c r="BF1031" s="24">
        <v>45898.301046631947</v>
      </c>
      <c r="BG1031">
        <v>1</v>
      </c>
      <c r="BH1031" s="24">
        <v>45769.433851064816</v>
      </c>
      <c r="BI1031" s="24">
        <v>45769.433851064816</v>
      </c>
      <c r="BJ1031" s="24">
        <v>45769.439937118055</v>
      </c>
      <c r="BK1031" s="24">
        <v>45769.439937118055</v>
      </c>
      <c r="BL1031">
        <v>1</v>
      </c>
      <c r="BM1031" s="24"/>
      <c r="BN1031" s="24"/>
      <c r="BO1031" s="24"/>
      <c r="BP1031" s="24"/>
      <c r="BR1031" s="24">
        <v>45775.569632430554</v>
      </c>
      <c r="BS1031" s="24">
        <v>45775.569632430554</v>
      </c>
      <c r="BT1031" s="24">
        <v>45775.569715069447</v>
      </c>
      <c r="BU1031" s="24">
        <v>45775.569715069447</v>
      </c>
      <c r="BV1031">
        <v>1</v>
      </c>
      <c r="BW1031" s="24"/>
      <c r="BX1031" s="24"/>
      <c r="BY1031" s="24"/>
      <c r="BZ1031" s="24"/>
      <c r="CB1031" s="24"/>
      <c r="CC1031" s="24"/>
      <c r="CE1031" s="24">
        <v>45898.301046631947</v>
      </c>
      <c r="CF1031" s="24">
        <v>45898.301046631947</v>
      </c>
      <c r="CG1031">
        <v>1</v>
      </c>
      <c r="CH1031" s="24"/>
      <c r="CI1031" s="24"/>
      <c r="CJ1031" s="24"/>
      <c r="CK1031" s="24"/>
      <c r="DE1031" s="24"/>
      <c r="DF1031" s="24"/>
      <c r="DG1031" s="24"/>
      <c r="DH1031" s="24"/>
      <c r="DJ1031" t="s">
        <v>149</v>
      </c>
      <c r="DK1031" t="s">
        <v>149</v>
      </c>
      <c r="DM1031">
        <v>129</v>
      </c>
      <c r="DN1031">
        <v>129</v>
      </c>
      <c r="DQ1031" t="s">
        <v>1001</v>
      </c>
      <c r="DR1031" t="s">
        <v>149</v>
      </c>
      <c r="DS1031" s="24">
        <v>46160.384426226854</v>
      </c>
    </row>
    <row r="1032" spans="1:123" x14ac:dyDescent="0.3">
      <c r="A1032" t="s">
        <v>1515</v>
      </c>
      <c r="D1032" t="s">
        <v>225</v>
      </c>
      <c r="E1032" s="24">
        <v>45757.480162037034</v>
      </c>
      <c r="G1032" t="s">
        <v>90</v>
      </c>
      <c r="H1032" t="s">
        <v>155</v>
      </c>
      <c r="I1032" s="24"/>
      <c r="J1032" s="24"/>
      <c r="K1032" s="24"/>
      <c r="L1032" s="24"/>
      <c r="N1032" s="24"/>
      <c r="O1032" s="24"/>
      <c r="P1032" s="24"/>
      <c r="Q1032" s="24"/>
      <c r="V1032" s="24"/>
      <c r="W1032" s="24"/>
      <c r="X1032" s="24"/>
      <c r="Y1032" s="24"/>
      <c r="AA1032" s="24">
        <v>45770.610537488428</v>
      </c>
      <c r="AB1032" s="24">
        <v>45770.610537488428</v>
      </c>
      <c r="AC1032" s="24">
        <v>45776.417313923608</v>
      </c>
      <c r="AD1032" s="24">
        <v>45776.417313923608</v>
      </c>
      <c r="AE1032">
        <v>1</v>
      </c>
      <c r="AF1032" s="24">
        <v>45776.417313923608</v>
      </c>
      <c r="AG1032" s="24">
        <v>45776.417313923608</v>
      </c>
      <c r="AH1032" s="24">
        <v>45798.437908240739</v>
      </c>
      <c r="AI1032" s="24">
        <v>45798.437908240739</v>
      </c>
      <c r="AJ1032">
        <v>1</v>
      </c>
      <c r="AK1032" s="24">
        <v>45798.437908240739</v>
      </c>
      <c r="AL1032" s="24">
        <v>45798.437908240739</v>
      </c>
      <c r="AM1032" s="24">
        <v>45798.438207708336</v>
      </c>
      <c r="AN1032" s="24">
        <v>45798.438207708336</v>
      </c>
      <c r="AO1032">
        <v>1</v>
      </c>
      <c r="AP1032" s="24"/>
      <c r="AQ1032" s="24"/>
      <c r="AR1032" s="24">
        <v>45770.610391759263</v>
      </c>
      <c r="AS1032" s="24">
        <v>45770.610391759263</v>
      </c>
      <c r="AX1032" s="24"/>
      <c r="AY1032" s="24"/>
      <c r="AZ1032" s="24"/>
      <c r="BA1032" s="24"/>
      <c r="BC1032" s="24">
        <v>45798.43852802083</v>
      </c>
      <c r="BD1032" s="24">
        <v>45798.43852802083</v>
      </c>
      <c r="BE1032" s="24">
        <v>46049.615241724539</v>
      </c>
      <c r="BF1032" s="24">
        <v>46049.615241724539</v>
      </c>
      <c r="BG1032">
        <v>1</v>
      </c>
      <c r="BH1032" s="24">
        <v>45770.610391759263</v>
      </c>
      <c r="BI1032" s="24">
        <v>45770.610391759263</v>
      </c>
      <c r="BJ1032" s="24">
        <v>45770.610537488428</v>
      </c>
      <c r="BK1032" s="24">
        <v>45770.610537488428</v>
      </c>
      <c r="BL1032">
        <v>1</v>
      </c>
      <c r="BM1032" s="24"/>
      <c r="BN1032" s="24"/>
      <c r="BO1032" s="24"/>
      <c r="BP1032" s="24"/>
      <c r="BR1032" s="24">
        <v>45798.438207708336</v>
      </c>
      <c r="BS1032" s="24">
        <v>45798.438207708336</v>
      </c>
      <c r="BT1032" s="24">
        <v>45798.43852802083</v>
      </c>
      <c r="BU1032" s="24">
        <v>45798.43852802083</v>
      </c>
      <c r="BV1032">
        <v>1</v>
      </c>
      <c r="BW1032" s="24"/>
      <c r="BX1032" s="24"/>
      <c r="BY1032" s="24"/>
      <c r="BZ1032" s="24"/>
      <c r="CB1032" s="24"/>
      <c r="CC1032" s="24"/>
      <c r="CE1032" s="24">
        <v>46049.615241724539</v>
      </c>
      <c r="CF1032" s="24">
        <v>46049.615241724539</v>
      </c>
      <c r="CG1032">
        <v>1</v>
      </c>
      <c r="CH1032" s="24"/>
      <c r="CI1032" s="24"/>
      <c r="CJ1032" s="24"/>
      <c r="CK1032" s="24"/>
      <c r="DE1032" s="24"/>
      <c r="DF1032" s="24"/>
      <c r="DG1032" s="24"/>
      <c r="DH1032" s="24"/>
      <c r="DJ1032" t="s">
        <v>149</v>
      </c>
      <c r="DK1032" t="s">
        <v>149</v>
      </c>
      <c r="DM1032">
        <v>280</v>
      </c>
      <c r="DN1032">
        <v>280</v>
      </c>
      <c r="DQ1032" t="s">
        <v>1001</v>
      </c>
      <c r="DR1032" t="s">
        <v>149</v>
      </c>
      <c r="DS1032" s="24">
        <v>46160.384426226854</v>
      </c>
    </row>
    <row r="1033" spans="1:123" x14ac:dyDescent="0.3">
      <c r="A1033" t="s">
        <v>1516</v>
      </c>
      <c r="D1033" t="s">
        <v>225</v>
      </c>
      <c r="E1033" s="24">
        <v>45756.665138888886</v>
      </c>
      <c r="G1033" t="s">
        <v>102</v>
      </c>
      <c r="H1033" t="s">
        <v>154</v>
      </c>
      <c r="I1033" s="24"/>
      <c r="J1033" s="24"/>
      <c r="K1033" s="24"/>
      <c r="L1033" s="24"/>
      <c r="N1033" s="24"/>
      <c r="O1033" s="24"/>
      <c r="P1033" s="24"/>
      <c r="Q1033" s="24"/>
      <c r="V1033" s="24"/>
      <c r="W1033" s="24"/>
      <c r="X1033" s="24"/>
      <c r="Y1033" s="24"/>
      <c r="AA1033" s="24"/>
      <c r="AB1033" s="24"/>
      <c r="AC1033" s="24"/>
      <c r="AD1033" s="24"/>
      <c r="AF1033" s="24"/>
      <c r="AG1033" s="24"/>
      <c r="AH1033" s="24"/>
      <c r="AI1033" s="24"/>
      <c r="AK1033" s="24"/>
      <c r="AL1033" s="24"/>
      <c r="AM1033" s="24"/>
      <c r="AN1033" s="24"/>
      <c r="AP1033" s="24"/>
      <c r="AQ1033" s="24"/>
      <c r="AR1033" s="24"/>
      <c r="AS1033" s="24"/>
      <c r="AX1033" s="24"/>
      <c r="AY1033" s="24"/>
      <c r="AZ1033" s="24"/>
      <c r="BA1033" s="24"/>
      <c r="BC1033" s="24"/>
      <c r="BD1033" s="24"/>
      <c r="BE1033" s="24"/>
      <c r="BF1033" s="24"/>
      <c r="BH1033" s="24"/>
      <c r="BI1033" s="24"/>
      <c r="BJ1033" s="24"/>
      <c r="BK1033" s="24"/>
      <c r="BM1033" s="24"/>
      <c r="BN1033" s="24"/>
      <c r="BO1033" s="24"/>
      <c r="BP1033" s="24"/>
      <c r="BR1033" s="24"/>
      <c r="BS1033" s="24"/>
      <c r="BT1033" s="24"/>
      <c r="BU1033" s="24"/>
      <c r="BW1033" s="24"/>
      <c r="BX1033" s="24"/>
      <c r="BY1033" s="24"/>
      <c r="BZ1033" s="24"/>
      <c r="CB1033" s="24"/>
      <c r="CC1033" s="24"/>
      <c r="CE1033" s="24"/>
      <c r="CF1033" s="24"/>
      <c r="CH1033" s="24"/>
      <c r="CI1033" s="24"/>
      <c r="CJ1033" s="24"/>
      <c r="CK1033" s="24"/>
      <c r="DE1033" s="24"/>
      <c r="DF1033" s="24"/>
      <c r="DG1033" s="24"/>
      <c r="DH1033" s="24"/>
      <c r="DJ1033" t="s">
        <v>149</v>
      </c>
      <c r="DK1033" t="s">
        <v>149</v>
      </c>
      <c r="DQ1033" t="s">
        <v>1001</v>
      </c>
      <c r="DR1033" t="s">
        <v>149</v>
      </c>
      <c r="DS1033" s="24">
        <v>46160.384426226854</v>
      </c>
    </row>
    <row r="1034" spans="1:123" x14ac:dyDescent="0.3">
      <c r="A1034" t="s">
        <v>1517</v>
      </c>
      <c r="D1034" t="s">
        <v>225</v>
      </c>
      <c r="E1034" s="24">
        <v>45749.443715277775</v>
      </c>
      <c r="G1034" t="s">
        <v>90</v>
      </c>
      <c r="H1034" t="s">
        <v>155</v>
      </c>
      <c r="I1034" s="24"/>
      <c r="J1034" s="24"/>
      <c r="K1034" s="24"/>
      <c r="L1034" s="24"/>
      <c r="N1034" s="24"/>
      <c r="O1034" s="24"/>
      <c r="P1034" s="24"/>
      <c r="Q1034" s="24"/>
      <c r="V1034" s="24"/>
      <c r="W1034" s="24"/>
      <c r="X1034" s="24"/>
      <c r="Y1034" s="24"/>
      <c r="AA1034" s="24">
        <v>45754.485765532409</v>
      </c>
      <c r="AB1034" s="24">
        <v>45754.485765532409</v>
      </c>
      <c r="AC1034" s="24">
        <v>45759.478800532408</v>
      </c>
      <c r="AD1034" s="24">
        <v>45759.478800532408</v>
      </c>
      <c r="AE1034">
        <v>1</v>
      </c>
      <c r="AF1034" s="24">
        <v>45759.478800532408</v>
      </c>
      <c r="AG1034" s="24">
        <v>45759.478800532408</v>
      </c>
      <c r="AH1034" s="24">
        <v>45763.363350520835</v>
      </c>
      <c r="AI1034" s="24">
        <v>45763.363350520835</v>
      </c>
      <c r="AJ1034">
        <v>1</v>
      </c>
      <c r="AK1034" s="24">
        <v>45763.363350520835</v>
      </c>
      <c r="AL1034" s="24">
        <v>45763.363350520835</v>
      </c>
      <c r="AM1034" s="24">
        <v>45763.458446458331</v>
      </c>
      <c r="AN1034" s="24">
        <v>45763.458446458331</v>
      </c>
      <c r="AO1034">
        <v>1</v>
      </c>
      <c r="AP1034" s="24"/>
      <c r="AQ1034" s="24"/>
      <c r="AR1034" s="24">
        <v>45749.456336967596</v>
      </c>
      <c r="AS1034" s="24">
        <v>45749.456336967596</v>
      </c>
      <c r="AX1034" s="24"/>
      <c r="AY1034" s="24"/>
      <c r="AZ1034" s="24"/>
      <c r="BA1034" s="24"/>
      <c r="BC1034" s="24">
        <v>45763.458601458333</v>
      </c>
      <c r="BD1034" s="24">
        <v>45763.458601458333</v>
      </c>
      <c r="BE1034" s="24">
        <v>45947.703381863423</v>
      </c>
      <c r="BF1034" s="24">
        <v>45947.703381863423</v>
      </c>
      <c r="BG1034">
        <v>1</v>
      </c>
      <c r="BH1034" s="24">
        <v>45749.456336967596</v>
      </c>
      <c r="BI1034" s="24">
        <v>45749.456336967596</v>
      </c>
      <c r="BJ1034" s="24">
        <v>45754.485765532409</v>
      </c>
      <c r="BK1034" s="24">
        <v>45754.485765532409</v>
      </c>
      <c r="BL1034">
        <v>1</v>
      </c>
      <c r="BM1034" s="24"/>
      <c r="BN1034" s="24"/>
      <c r="BO1034" s="24"/>
      <c r="BP1034" s="24"/>
      <c r="BR1034" s="24">
        <v>45763.458446458331</v>
      </c>
      <c r="BS1034" s="24">
        <v>45763.458446458331</v>
      </c>
      <c r="BT1034" s="24">
        <v>45763.458601458333</v>
      </c>
      <c r="BU1034" s="24">
        <v>45763.458601458333</v>
      </c>
      <c r="BV1034">
        <v>1</v>
      </c>
      <c r="BW1034" s="24"/>
      <c r="BX1034" s="24"/>
      <c r="BY1034" s="24"/>
      <c r="BZ1034" s="24"/>
      <c r="CB1034" s="24"/>
      <c r="CC1034" s="24"/>
      <c r="CE1034" s="24">
        <v>45947.703381863423</v>
      </c>
      <c r="CF1034" s="24">
        <v>45947.703381863423</v>
      </c>
      <c r="CG1034">
        <v>1</v>
      </c>
      <c r="CH1034" s="24"/>
      <c r="CI1034" s="24"/>
      <c r="CJ1034" s="24"/>
      <c r="CK1034" s="24"/>
      <c r="DE1034" s="24"/>
      <c r="DF1034" s="24"/>
      <c r="DG1034" s="24"/>
      <c r="DH1034" s="24"/>
      <c r="DJ1034" t="s">
        <v>149</v>
      </c>
      <c r="DK1034" t="s">
        <v>149</v>
      </c>
      <c r="DM1034">
        <v>199</v>
      </c>
      <c r="DN1034">
        <v>194</v>
      </c>
      <c r="DQ1034" t="s">
        <v>1001</v>
      </c>
      <c r="DR1034" t="s">
        <v>149</v>
      </c>
      <c r="DS1034" s="24">
        <v>46160.384426226854</v>
      </c>
    </row>
    <row r="1035" spans="1:123" x14ac:dyDescent="0.3">
      <c r="A1035" t="s">
        <v>1518</v>
      </c>
      <c r="D1035" t="s">
        <v>225</v>
      </c>
      <c r="E1035" s="24">
        <v>45749.317280092589</v>
      </c>
      <c r="G1035" t="s">
        <v>102</v>
      </c>
      <c r="H1035" t="s">
        <v>154</v>
      </c>
      <c r="I1035" s="24"/>
      <c r="J1035" s="24"/>
      <c r="K1035" s="24"/>
      <c r="L1035" s="24"/>
      <c r="N1035" s="24"/>
      <c r="O1035" s="24"/>
      <c r="P1035" s="24"/>
      <c r="Q1035" s="24"/>
      <c r="V1035" s="24"/>
      <c r="W1035" s="24"/>
      <c r="X1035" s="24"/>
      <c r="Y1035" s="24"/>
      <c r="AA1035" s="24"/>
      <c r="AB1035" s="24"/>
      <c r="AC1035" s="24"/>
      <c r="AD1035" s="24"/>
      <c r="AF1035" s="24"/>
      <c r="AG1035" s="24"/>
      <c r="AH1035" s="24"/>
      <c r="AI1035" s="24"/>
      <c r="AK1035" s="24"/>
      <c r="AL1035" s="24"/>
      <c r="AM1035" s="24"/>
      <c r="AN1035" s="24"/>
      <c r="AP1035" s="24"/>
      <c r="AQ1035" s="24"/>
      <c r="AR1035" s="24"/>
      <c r="AS1035" s="24"/>
      <c r="AX1035" s="24"/>
      <c r="AY1035" s="24"/>
      <c r="AZ1035" s="24"/>
      <c r="BA1035" s="24"/>
      <c r="BC1035" s="24"/>
      <c r="BD1035" s="24"/>
      <c r="BE1035" s="24"/>
      <c r="BF1035" s="24"/>
      <c r="BH1035" s="24"/>
      <c r="BI1035" s="24"/>
      <c r="BJ1035" s="24"/>
      <c r="BK1035" s="24"/>
      <c r="BM1035" s="24"/>
      <c r="BN1035" s="24"/>
      <c r="BO1035" s="24"/>
      <c r="BP1035" s="24"/>
      <c r="BR1035" s="24"/>
      <c r="BS1035" s="24"/>
      <c r="BT1035" s="24"/>
      <c r="BU1035" s="24"/>
      <c r="BW1035" s="24"/>
      <c r="BX1035" s="24"/>
      <c r="BY1035" s="24"/>
      <c r="BZ1035" s="24"/>
      <c r="CB1035" s="24"/>
      <c r="CC1035" s="24"/>
      <c r="CE1035" s="24"/>
      <c r="CF1035" s="24"/>
      <c r="CH1035" s="24"/>
      <c r="CI1035" s="24"/>
      <c r="CJ1035" s="24"/>
      <c r="CK1035" s="24"/>
      <c r="DE1035" s="24"/>
      <c r="DF1035" s="24"/>
      <c r="DG1035" s="24"/>
      <c r="DH1035" s="24"/>
      <c r="DJ1035" t="s">
        <v>149</v>
      </c>
      <c r="DK1035" t="s">
        <v>149</v>
      </c>
      <c r="DQ1035" t="s">
        <v>1001</v>
      </c>
      <c r="DR1035" t="s">
        <v>149</v>
      </c>
      <c r="DS1035" s="24">
        <v>46160.384426226854</v>
      </c>
    </row>
    <row r="1036" spans="1:123" x14ac:dyDescent="0.3">
      <c r="A1036" t="s">
        <v>1519</v>
      </c>
      <c r="D1036" t="s">
        <v>225</v>
      </c>
      <c r="E1036" s="24">
        <v>45749.316874999997</v>
      </c>
      <c r="G1036" t="s">
        <v>102</v>
      </c>
      <c r="H1036" t="s">
        <v>154</v>
      </c>
      <c r="I1036" s="24"/>
      <c r="J1036" s="24"/>
      <c r="K1036" s="24"/>
      <c r="L1036" s="24"/>
      <c r="N1036" s="24"/>
      <c r="O1036" s="24"/>
      <c r="P1036" s="24"/>
      <c r="Q1036" s="24"/>
      <c r="V1036" s="24"/>
      <c r="W1036" s="24"/>
      <c r="X1036" s="24"/>
      <c r="Y1036" s="24"/>
      <c r="AA1036" s="24"/>
      <c r="AB1036" s="24"/>
      <c r="AC1036" s="24"/>
      <c r="AD1036" s="24"/>
      <c r="AF1036" s="24"/>
      <c r="AG1036" s="24"/>
      <c r="AH1036" s="24"/>
      <c r="AI1036" s="24"/>
      <c r="AK1036" s="24"/>
      <c r="AL1036" s="24"/>
      <c r="AM1036" s="24"/>
      <c r="AN1036" s="24"/>
      <c r="AP1036" s="24"/>
      <c r="AQ1036" s="24"/>
      <c r="AR1036" s="24"/>
      <c r="AS1036" s="24"/>
      <c r="AX1036" s="24"/>
      <c r="AY1036" s="24"/>
      <c r="AZ1036" s="24"/>
      <c r="BA1036" s="24"/>
      <c r="BC1036" s="24"/>
      <c r="BD1036" s="24"/>
      <c r="BE1036" s="24"/>
      <c r="BF1036" s="24"/>
      <c r="BH1036" s="24"/>
      <c r="BI1036" s="24"/>
      <c r="BJ1036" s="24"/>
      <c r="BK1036" s="24"/>
      <c r="BM1036" s="24"/>
      <c r="BN1036" s="24"/>
      <c r="BO1036" s="24"/>
      <c r="BP1036" s="24"/>
      <c r="BR1036" s="24"/>
      <c r="BS1036" s="24"/>
      <c r="BT1036" s="24"/>
      <c r="BU1036" s="24"/>
      <c r="BW1036" s="24"/>
      <c r="BX1036" s="24"/>
      <c r="BY1036" s="24"/>
      <c r="BZ1036" s="24"/>
      <c r="CB1036" s="24"/>
      <c r="CC1036" s="24"/>
      <c r="CE1036" s="24"/>
      <c r="CF1036" s="24"/>
      <c r="CH1036" s="24"/>
      <c r="CI1036" s="24"/>
      <c r="CJ1036" s="24"/>
      <c r="CK1036" s="24"/>
      <c r="DE1036" s="24"/>
      <c r="DF1036" s="24"/>
      <c r="DG1036" s="24"/>
      <c r="DH1036" s="24"/>
      <c r="DJ1036" t="s">
        <v>149</v>
      </c>
      <c r="DK1036" t="s">
        <v>149</v>
      </c>
      <c r="DQ1036" t="s">
        <v>1001</v>
      </c>
      <c r="DR1036" t="s">
        <v>149</v>
      </c>
      <c r="DS1036" s="24">
        <v>46160.384426226854</v>
      </c>
    </row>
    <row r="1037" spans="1:123" x14ac:dyDescent="0.3">
      <c r="A1037" t="s">
        <v>1520</v>
      </c>
      <c r="D1037" t="s">
        <v>225</v>
      </c>
      <c r="E1037" s="24">
        <v>45749.316620370373</v>
      </c>
      <c r="G1037" t="s">
        <v>102</v>
      </c>
      <c r="H1037" t="s">
        <v>154</v>
      </c>
      <c r="I1037" s="24"/>
      <c r="J1037" s="24"/>
      <c r="K1037" s="24"/>
      <c r="L1037" s="24"/>
      <c r="N1037" s="24"/>
      <c r="O1037" s="24"/>
      <c r="P1037" s="24"/>
      <c r="Q1037" s="24"/>
      <c r="V1037" s="24"/>
      <c r="W1037" s="24"/>
      <c r="X1037" s="24"/>
      <c r="Y1037" s="24"/>
      <c r="AA1037" s="24"/>
      <c r="AB1037" s="24"/>
      <c r="AC1037" s="24"/>
      <c r="AD1037" s="24"/>
      <c r="AF1037" s="24"/>
      <c r="AG1037" s="24"/>
      <c r="AH1037" s="24"/>
      <c r="AI1037" s="24"/>
      <c r="AK1037" s="24"/>
      <c r="AL1037" s="24"/>
      <c r="AM1037" s="24"/>
      <c r="AN1037" s="24"/>
      <c r="AP1037" s="24"/>
      <c r="AQ1037" s="24"/>
      <c r="AR1037" s="24"/>
      <c r="AS1037" s="24"/>
      <c r="AX1037" s="24"/>
      <c r="AY1037" s="24"/>
      <c r="AZ1037" s="24"/>
      <c r="BA1037" s="24"/>
      <c r="BC1037" s="24"/>
      <c r="BD1037" s="24"/>
      <c r="BE1037" s="24"/>
      <c r="BF1037" s="24"/>
      <c r="BH1037" s="24"/>
      <c r="BI1037" s="24"/>
      <c r="BJ1037" s="24"/>
      <c r="BK1037" s="24"/>
      <c r="BM1037" s="24"/>
      <c r="BN1037" s="24"/>
      <c r="BO1037" s="24"/>
      <c r="BP1037" s="24"/>
      <c r="BR1037" s="24"/>
      <c r="BS1037" s="24"/>
      <c r="BT1037" s="24"/>
      <c r="BU1037" s="24"/>
      <c r="BW1037" s="24"/>
      <c r="BX1037" s="24"/>
      <c r="BY1037" s="24"/>
      <c r="BZ1037" s="24"/>
      <c r="CB1037" s="24"/>
      <c r="CC1037" s="24"/>
      <c r="CE1037" s="24"/>
      <c r="CF1037" s="24"/>
      <c r="CH1037" s="24"/>
      <c r="CI1037" s="24"/>
      <c r="CJ1037" s="24"/>
      <c r="CK1037" s="24"/>
      <c r="DE1037" s="24"/>
      <c r="DF1037" s="24"/>
      <c r="DG1037" s="24"/>
      <c r="DH1037" s="24"/>
      <c r="DJ1037" t="s">
        <v>149</v>
      </c>
      <c r="DK1037" t="s">
        <v>149</v>
      </c>
      <c r="DQ1037" t="s">
        <v>1001</v>
      </c>
      <c r="DR1037" t="s">
        <v>149</v>
      </c>
      <c r="DS1037" s="24">
        <v>46160.384426226854</v>
      </c>
    </row>
    <row r="1038" spans="1:123" x14ac:dyDescent="0.3">
      <c r="A1038" t="s">
        <v>1521</v>
      </c>
      <c r="D1038" t="s">
        <v>225</v>
      </c>
      <c r="E1038" s="24">
        <v>45749.316076388888</v>
      </c>
      <c r="G1038" t="s">
        <v>102</v>
      </c>
      <c r="H1038" t="s">
        <v>154</v>
      </c>
      <c r="I1038" s="24"/>
      <c r="J1038" s="24"/>
      <c r="K1038" s="24"/>
      <c r="L1038" s="24"/>
      <c r="N1038" s="24"/>
      <c r="O1038" s="24"/>
      <c r="P1038" s="24"/>
      <c r="Q1038" s="24"/>
      <c r="V1038" s="24"/>
      <c r="W1038" s="24"/>
      <c r="X1038" s="24"/>
      <c r="Y1038" s="24"/>
      <c r="AA1038" s="24"/>
      <c r="AB1038" s="24"/>
      <c r="AC1038" s="24"/>
      <c r="AD1038" s="24"/>
      <c r="AF1038" s="24"/>
      <c r="AG1038" s="24"/>
      <c r="AH1038" s="24"/>
      <c r="AI1038" s="24"/>
      <c r="AK1038" s="24"/>
      <c r="AL1038" s="24"/>
      <c r="AM1038" s="24"/>
      <c r="AN1038" s="24"/>
      <c r="AP1038" s="24"/>
      <c r="AQ1038" s="24"/>
      <c r="AR1038" s="24"/>
      <c r="AS1038" s="24"/>
      <c r="AX1038" s="24"/>
      <c r="AY1038" s="24"/>
      <c r="AZ1038" s="24"/>
      <c r="BA1038" s="24"/>
      <c r="BC1038" s="24"/>
      <c r="BD1038" s="24"/>
      <c r="BE1038" s="24"/>
      <c r="BF1038" s="24"/>
      <c r="BH1038" s="24"/>
      <c r="BI1038" s="24"/>
      <c r="BJ1038" s="24"/>
      <c r="BK1038" s="24"/>
      <c r="BM1038" s="24"/>
      <c r="BN1038" s="24"/>
      <c r="BO1038" s="24"/>
      <c r="BP1038" s="24"/>
      <c r="BR1038" s="24"/>
      <c r="BS1038" s="24"/>
      <c r="BT1038" s="24"/>
      <c r="BU1038" s="24"/>
      <c r="BW1038" s="24"/>
      <c r="BX1038" s="24"/>
      <c r="BY1038" s="24"/>
      <c r="BZ1038" s="24"/>
      <c r="CB1038" s="24"/>
      <c r="CC1038" s="24"/>
      <c r="CE1038" s="24"/>
      <c r="CF1038" s="24"/>
      <c r="CH1038" s="24"/>
      <c r="CI1038" s="24"/>
      <c r="CJ1038" s="24"/>
      <c r="CK1038" s="24"/>
      <c r="DE1038" s="24"/>
      <c r="DF1038" s="24"/>
      <c r="DG1038" s="24"/>
      <c r="DH1038" s="24"/>
      <c r="DJ1038" t="s">
        <v>149</v>
      </c>
      <c r="DK1038" t="s">
        <v>149</v>
      </c>
      <c r="DQ1038" t="s">
        <v>1001</v>
      </c>
      <c r="DR1038" t="s">
        <v>149</v>
      </c>
      <c r="DS1038" s="24">
        <v>46160.384426226854</v>
      </c>
    </row>
    <row r="1039" spans="1:123" x14ac:dyDescent="0.3">
      <c r="A1039" t="s">
        <v>1522</v>
      </c>
      <c r="D1039" t="s">
        <v>225</v>
      </c>
      <c r="E1039" s="24">
        <v>45749.315729166665</v>
      </c>
      <c r="G1039" t="s">
        <v>102</v>
      </c>
      <c r="H1039" t="s">
        <v>154</v>
      </c>
      <c r="I1039" s="24"/>
      <c r="J1039" s="24"/>
      <c r="K1039" s="24"/>
      <c r="L1039" s="24"/>
      <c r="N1039" s="24"/>
      <c r="O1039" s="24"/>
      <c r="P1039" s="24"/>
      <c r="Q1039" s="24"/>
      <c r="V1039" s="24"/>
      <c r="W1039" s="24"/>
      <c r="X1039" s="24"/>
      <c r="Y1039" s="24"/>
      <c r="AA1039" s="24"/>
      <c r="AB1039" s="24"/>
      <c r="AC1039" s="24"/>
      <c r="AD1039" s="24"/>
      <c r="AF1039" s="24"/>
      <c r="AG1039" s="24"/>
      <c r="AH1039" s="24"/>
      <c r="AI1039" s="24"/>
      <c r="AK1039" s="24"/>
      <c r="AL1039" s="24"/>
      <c r="AM1039" s="24"/>
      <c r="AN1039" s="24"/>
      <c r="AP1039" s="24"/>
      <c r="AQ1039" s="24"/>
      <c r="AR1039" s="24"/>
      <c r="AS1039" s="24"/>
      <c r="AX1039" s="24"/>
      <c r="AY1039" s="24"/>
      <c r="AZ1039" s="24"/>
      <c r="BA1039" s="24"/>
      <c r="BC1039" s="24"/>
      <c r="BD1039" s="24"/>
      <c r="BE1039" s="24"/>
      <c r="BF1039" s="24"/>
      <c r="BH1039" s="24"/>
      <c r="BI1039" s="24"/>
      <c r="BJ1039" s="24"/>
      <c r="BK1039" s="24"/>
      <c r="BM1039" s="24"/>
      <c r="BN1039" s="24"/>
      <c r="BO1039" s="24"/>
      <c r="BP1039" s="24"/>
      <c r="BR1039" s="24"/>
      <c r="BS1039" s="24"/>
      <c r="BT1039" s="24"/>
      <c r="BU1039" s="24"/>
      <c r="BW1039" s="24"/>
      <c r="BX1039" s="24"/>
      <c r="BY1039" s="24"/>
      <c r="BZ1039" s="24"/>
      <c r="CB1039" s="24"/>
      <c r="CC1039" s="24"/>
      <c r="CE1039" s="24"/>
      <c r="CF1039" s="24"/>
      <c r="CH1039" s="24"/>
      <c r="CI1039" s="24"/>
      <c r="CJ1039" s="24"/>
      <c r="CK1039" s="24"/>
      <c r="DE1039" s="24"/>
      <c r="DF1039" s="24"/>
      <c r="DG1039" s="24"/>
      <c r="DH1039" s="24"/>
      <c r="DJ1039" t="s">
        <v>149</v>
      </c>
      <c r="DK1039" t="s">
        <v>149</v>
      </c>
      <c r="DQ1039" t="s">
        <v>1001</v>
      </c>
      <c r="DR1039" t="s">
        <v>149</v>
      </c>
      <c r="DS1039" s="24">
        <v>46160.384426226854</v>
      </c>
    </row>
    <row r="1040" spans="1:123" x14ac:dyDescent="0.3">
      <c r="A1040" t="s">
        <v>1523</v>
      </c>
      <c r="D1040" t="s">
        <v>225</v>
      </c>
      <c r="E1040" s="24">
        <v>45749.315393518518</v>
      </c>
      <c r="G1040" t="s">
        <v>102</v>
      </c>
      <c r="H1040" t="s">
        <v>154</v>
      </c>
      <c r="I1040" s="24"/>
      <c r="J1040" s="24"/>
      <c r="K1040" s="24"/>
      <c r="L1040" s="24"/>
      <c r="N1040" s="24"/>
      <c r="O1040" s="24"/>
      <c r="P1040" s="24"/>
      <c r="Q1040" s="24"/>
      <c r="V1040" s="24"/>
      <c r="W1040" s="24"/>
      <c r="X1040" s="24"/>
      <c r="Y1040" s="24"/>
      <c r="AA1040" s="24"/>
      <c r="AB1040" s="24"/>
      <c r="AC1040" s="24"/>
      <c r="AD1040" s="24"/>
      <c r="AF1040" s="24"/>
      <c r="AG1040" s="24"/>
      <c r="AH1040" s="24"/>
      <c r="AI1040" s="24"/>
      <c r="AK1040" s="24"/>
      <c r="AL1040" s="24"/>
      <c r="AM1040" s="24"/>
      <c r="AN1040" s="24"/>
      <c r="AP1040" s="24"/>
      <c r="AQ1040" s="24"/>
      <c r="AR1040" s="24"/>
      <c r="AS1040" s="24"/>
      <c r="AX1040" s="24"/>
      <c r="AY1040" s="24"/>
      <c r="AZ1040" s="24"/>
      <c r="BA1040" s="24"/>
      <c r="BC1040" s="24"/>
      <c r="BD1040" s="24"/>
      <c r="BE1040" s="24"/>
      <c r="BF1040" s="24"/>
      <c r="BH1040" s="24"/>
      <c r="BI1040" s="24"/>
      <c r="BJ1040" s="24"/>
      <c r="BK1040" s="24"/>
      <c r="BM1040" s="24"/>
      <c r="BN1040" s="24"/>
      <c r="BO1040" s="24"/>
      <c r="BP1040" s="24"/>
      <c r="BR1040" s="24"/>
      <c r="BS1040" s="24"/>
      <c r="BT1040" s="24"/>
      <c r="BU1040" s="24"/>
      <c r="BW1040" s="24"/>
      <c r="BX1040" s="24"/>
      <c r="BY1040" s="24"/>
      <c r="BZ1040" s="24"/>
      <c r="CB1040" s="24"/>
      <c r="CC1040" s="24"/>
      <c r="CE1040" s="24"/>
      <c r="CF1040" s="24"/>
      <c r="CH1040" s="24"/>
      <c r="CI1040" s="24"/>
      <c r="CJ1040" s="24"/>
      <c r="CK1040" s="24"/>
      <c r="DE1040" s="24"/>
      <c r="DF1040" s="24"/>
      <c r="DG1040" s="24"/>
      <c r="DH1040" s="24"/>
      <c r="DJ1040" t="s">
        <v>149</v>
      </c>
      <c r="DK1040" t="s">
        <v>149</v>
      </c>
      <c r="DQ1040" t="s">
        <v>1001</v>
      </c>
      <c r="DR1040" t="s">
        <v>149</v>
      </c>
      <c r="DS1040" s="24">
        <v>46160.384426226854</v>
      </c>
    </row>
    <row r="1041" spans="1:123" x14ac:dyDescent="0.3">
      <c r="A1041" t="s">
        <v>1524</v>
      </c>
      <c r="D1041" t="s">
        <v>225</v>
      </c>
      <c r="E1041" s="24">
        <v>45749.31449074074</v>
      </c>
      <c r="G1041" t="s">
        <v>102</v>
      </c>
      <c r="H1041" t="s">
        <v>154</v>
      </c>
      <c r="I1041" s="24"/>
      <c r="J1041" s="24"/>
      <c r="K1041" s="24"/>
      <c r="L1041" s="24"/>
      <c r="N1041" s="24"/>
      <c r="O1041" s="24"/>
      <c r="P1041" s="24"/>
      <c r="Q1041" s="24"/>
      <c r="V1041" s="24"/>
      <c r="W1041" s="24"/>
      <c r="X1041" s="24"/>
      <c r="Y1041" s="24"/>
      <c r="AA1041" s="24"/>
      <c r="AB1041" s="24"/>
      <c r="AC1041" s="24"/>
      <c r="AD1041" s="24"/>
      <c r="AF1041" s="24"/>
      <c r="AG1041" s="24"/>
      <c r="AH1041" s="24"/>
      <c r="AI1041" s="24"/>
      <c r="AK1041" s="24"/>
      <c r="AL1041" s="24"/>
      <c r="AM1041" s="24"/>
      <c r="AN1041" s="24"/>
      <c r="AP1041" s="24"/>
      <c r="AQ1041" s="24"/>
      <c r="AR1041" s="24"/>
      <c r="AS1041" s="24"/>
      <c r="AX1041" s="24"/>
      <c r="AY1041" s="24"/>
      <c r="AZ1041" s="24"/>
      <c r="BA1041" s="24"/>
      <c r="BC1041" s="24"/>
      <c r="BD1041" s="24"/>
      <c r="BE1041" s="24"/>
      <c r="BF1041" s="24"/>
      <c r="BH1041" s="24"/>
      <c r="BI1041" s="24"/>
      <c r="BJ1041" s="24"/>
      <c r="BK1041" s="24"/>
      <c r="BM1041" s="24"/>
      <c r="BN1041" s="24"/>
      <c r="BO1041" s="24"/>
      <c r="BP1041" s="24"/>
      <c r="BR1041" s="24"/>
      <c r="BS1041" s="24"/>
      <c r="BT1041" s="24"/>
      <c r="BU1041" s="24"/>
      <c r="BW1041" s="24"/>
      <c r="BX1041" s="24"/>
      <c r="BY1041" s="24"/>
      <c r="BZ1041" s="24"/>
      <c r="CB1041" s="24"/>
      <c r="CC1041" s="24"/>
      <c r="CE1041" s="24"/>
      <c r="CF1041" s="24"/>
      <c r="CH1041" s="24"/>
      <c r="CI1041" s="24"/>
      <c r="CJ1041" s="24"/>
      <c r="CK1041" s="24"/>
      <c r="DE1041" s="24"/>
      <c r="DF1041" s="24"/>
      <c r="DG1041" s="24"/>
      <c r="DH1041" s="24"/>
      <c r="DJ1041" t="s">
        <v>149</v>
      </c>
      <c r="DK1041" t="s">
        <v>149</v>
      </c>
      <c r="DQ1041" t="s">
        <v>1001</v>
      </c>
      <c r="DR1041" t="s">
        <v>149</v>
      </c>
      <c r="DS1041" s="24">
        <v>46160.384426226854</v>
      </c>
    </row>
    <row r="1042" spans="1:123" x14ac:dyDescent="0.3">
      <c r="A1042" t="s">
        <v>1525</v>
      </c>
      <c r="D1042" t="s">
        <v>225</v>
      </c>
      <c r="E1042" s="24">
        <v>45749.312326388892</v>
      </c>
      <c r="G1042" t="s">
        <v>90</v>
      </c>
      <c r="H1042" t="s">
        <v>155</v>
      </c>
      <c r="I1042" s="24"/>
      <c r="J1042" s="24"/>
      <c r="K1042" s="24"/>
      <c r="L1042" s="24"/>
      <c r="N1042" s="24"/>
      <c r="O1042" s="24"/>
      <c r="P1042" s="24"/>
      <c r="Q1042" s="24"/>
      <c r="V1042" s="24"/>
      <c r="W1042" s="24"/>
      <c r="X1042" s="24"/>
      <c r="Y1042" s="24"/>
      <c r="AA1042" s="24">
        <v>45818.651026967593</v>
      </c>
      <c r="AB1042" s="24">
        <v>45818.651026967593</v>
      </c>
      <c r="AC1042" s="24">
        <v>45818.665685497683</v>
      </c>
      <c r="AD1042" s="24">
        <v>45818.665685497683</v>
      </c>
      <c r="AE1042">
        <v>1</v>
      </c>
      <c r="AF1042" s="24">
        <v>45818.665685497683</v>
      </c>
      <c r="AG1042" s="24">
        <v>45818.665685497683</v>
      </c>
      <c r="AH1042" s="24">
        <v>45818.665724571758</v>
      </c>
      <c r="AI1042" s="24">
        <v>45818.665724571758</v>
      </c>
      <c r="AJ1042">
        <v>1</v>
      </c>
      <c r="AK1042" s="24">
        <v>45818.665724571758</v>
      </c>
      <c r="AL1042" s="24">
        <v>45818.665724571758</v>
      </c>
      <c r="AM1042" s="24">
        <v>45819.36865502315</v>
      </c>
      <c r="AN1042" s="24">
        <v>45819.36865502315</v>
      </c>
      <c r="AO1042">
        <v>1</v>
      </c>
      <c r="AP1042" s="24"/>
      <c r="AQ1042" s="24"/>
      <c r="AR1042" s="24">
        <v>45749.475393796296</v>
      </c>
      <c r="AS1042" s="24">
        <v>45749.475393796296</v>
      </c>
      <c r="AX1042" s="24"/>
      <c r="AY1042" s="24"/>
      <c r="AZ1042" s="24"/>
      <c r="BA1042" s="24"/>
      <c r="BC1042" s="24">
        <v>45819.368768854169</v>
      </c>
      <c r="BD1042" s="24">
        <v>45819.368768854169</v>
      </c>
      <c r="BE1042" s="24">
        <v>45985.410094317129</v>
      </c>
      <c r="BF1042" s="24">
        <v>45985.410094317129</v>
      </c>
      <c r="BG1042">
        <v>1</v>
      </c>
      <c r="BH1042" s="24">
        <v>45749.475393796296</v>
      </c>
      <c r="BI1042" s="24">
        <v>45749.475393796296</v>
      </c>
      <c r="BJ1042" s="24">
        <v>45818.651026967593</v>
      </c>
      <c r="BK1042" s="24">
        <v>45818.651026967593</v>
      </c>
      <c r="BL1042">
        <v>1</v>
      </c>
      <c r="BM1042" s="24"/>
      <c r="BN1042" s="24"/>
      <c r="BO1042" s="24"/>
      <c r="BP1042" s="24"/>
      <c r="BR1042" s="24">
        <v>45819.36865502315</v>
      </c>
      <c r="BS1042" s="24">
        <v>45819.36865502315</v>
      </c>
      <c r="BT1042" s="24">
        <v>45819.368768854169</v>
      </c>
      <c r="BU1042" s="24">
        <v>45819.368768854169</v>
      </c>
      <c r="BV1042">
        <v>1</v>
      </c>
      <c r="BW1042" s="24"/>
      <c r="BX1042" s="24"/>
      <c r="BY1042" s="24"/>
      <c r="BZ1042" s="24"/>
      <c r="CB1042" s="24"/>
      <c r="CC1042" s="24"/>
      <c r="CE1042" s="24">
        <v>45985.410094317129</v>
      </c>
      <c r="CF1042" s="24">
        <v>45985.410094317129</v>
      </c>
      <c r="CG1042">
        <v>1</v>
      </c>
      <c r="CH1042" s="24"/>
      <c r="CI1042" s="24"/>
      <c r="CJ1042" s="24"/>
      <c r="CK1042" s="24"/>
      <c r="DE1042" s="24"/>
      <c r="DF1042" s="24"/>
      <c r="DG1042" s="24"/>
      <c r="DH1042" s="24"/>
      <c r="DJ1042" t="s">
        <v>149</v>
      </c>
      <c r="DK1042" t="s">
        <v>149</v>
      </c>
      <c r="DM1042">
        <v>236</v>
      </c>
      <c r="DN1042">
        <v>167</v>
      </c>
      <c r="DQ1042" t="s">
        <v>1001</v>
      </c>
      <c r="DR1042" t="s">
        <v>149</v>
      </c>
      <c r="DS1042" s="24">
        <v>46160.384426226854</v>
      </c>
    </row>
    <row r="1043" spans="1:123" x14ac:dyDescent="0.3">
      <c r="A1043" t="s">
        <v>1526</v>
      </c>
      <c r="D1043" t="s">
        <v>223</v>
      </c>
      <c r="E1043" s="24">
        <v>45735.516736111109</v>
      </c>
      <c r="G1043" t="s">
        <v>107</v>
      </c>
      <c r="H1043" t="s">
        <v>154</v>
      </c>
      <c r="I1043" s="24"/>
      <c r="J1043" s="24"/>
      <c r="K1043" s="24"/>
      <c r="L1043" s="24"/>
      <c r="N1043" s="24"/>
      <c r="O1043" s="24"/>
      <c r="P1043" s="24"/>
      <c r="Q1043" s="24"/>
      <c r="V1043" s="24"/>
      <c r="W1043" s="24"/>
      <c r="X1043" s="24"/>
      <c r="Y1043" s="24"/>
      <c r="AA1043" s="24"/>
      <c r="AB1043" s="24"/>
      <c r="AC1043" s="24"/>
      <c r="AD1043" s="24"/>
      <c r="AF1043" s="24"/>
      <c r="AG1043" s="24"/>
      <c r="AH1043" s="24"/>
      <c r="AI1043" s="24"/>
      <c r="AK1043" s="24"/>
      <c r="AL1043" s="24"/>
      <c r="AM1043" s="24"/>
      <c r="AN1043" s="24"/>
      <c r="AP1043" s="24"/>
      <c r="AQ1043" s="24"/>
      <c r="AR1043" s="24">
        <v>45735.519769444443</v>
      </c>
      <c r="AS1043" s="24">
        <v>45735.519769444443</v>
      </c>
      <c r="AX1043" s="24"/>
      <c r="AY1043" s="24"/>
      <c r="AZ1043" s="24"/>
      <c r="BA1043" s="24"/>
      <c r="BC1043" s="24"/>
      <c r="BD1043" s="24"/>
      <c r="BE1043" s="24"/>
      <c r="BF1043" s="24"/>
      <c r="BH1043" s="24">
        <v>45735.519769444443</v>
      </c>
      <c r="BI1043" s="24">
        <v>45735.519769444443</v>
      </c>
      <c r="BJ1043" s="24"/>
      <c r="BK1043" s="24"/>
      <c r="BL1043">
        <v>1</v>
      </c>
      <c r="BM1043" s="24"/>
      <c r="BN1043" s="24"/>
      <c r="BO1043" s="24"/>
      <c r="BP1043" s="24"/>
      <c r="BR1043" s="24"/>
      <c r="BS1043" s="24"/>
      <c r="BT1043" s="24"/>
      <c r="BU1043" s="24"/>
      <c r="BW1043" s="24"/>
      <c r="BX1043" s="24"/>
      <c r="BY1043" s="24"/>
      <c r="BZ1043" s="24"/>
      <c r="CB1043" s="24"/>
      <c r="CC1043" s="24"/>
      <c r="CE1043" s="24"/>
      <c r="CF1043" s="24"/>
      <c r="CH1043" s="24"/>
      <c r="CI1043" s="24"/>
      <c r="CJ1043" s="24"/>
      <c r="CK1043" s="24"/>
      <c r="DE1043" s="24"/>
      <c r="DF1043" s="24"/>
      <c r="DG1043" s="24"/>
      <c r="DH1043" s="24"/>
      <c r="DJ1043" t="s">
        <v>149</v>
      </c>
      <c r="DK1043" t="s">
        <v>149</v>
      </c>
      <c r="DP1043">
        <v>425</v>
      </c>
      <c r="DQ1043" t="s">
        <v>1001</v>
      </c>
      <c r="DR1043" t="s">
        <v>149</v>
      </c>
      <c r="DS1043" s="24">
        <v>46160.384426226854</v>
      </c>
    </row>
    <row r="1044" spans="1:123" x14ac:dyDescent="0.3">
      <c r="A1044" t="s">
        <v>1527</v>
      </c>
      <c r="D1044" t="s">
        <v>225</v>
      </c>
      <c r="E1044" s="24">
        <v>45735.487083333333</v>
      </c>
      <c r="G1044" t="s">
        <v>150</v>
      </c>
      <c r="H1044" t="s">
        <v>155</v>
      </c>
      <c r="I1044" s="24"/>
      <c r="J1044" s="24"/>
      <c r="K1044" s="24"/>
      <c r="L1044" s="24"/>
      <c r="N1044" s="24"/>
      <c r="O1044" s="24"/>
      <c r="P1044" s="24"/>
      <c r="Q1044" s="24"/>
      <c r="V1044" s="24"/>
      <c r="W1044" s="24"/>
      <c r="X1044" s="24"/>
      <c r="Y1044" s="24"/>
      <c r="AA1044" s="24"/>
      <c r="AB1044" s="24"/>
      <c r="AC1044" s="24"/>
      <c r="AD1044" s="24"/>
      <c r="AF1044" s="24"/>
      <c r="AG1044" s="24"/>
      <c r="AH1044" s="24"/>
      <c r="AI1044" s="24"/>
      <c r="AK1044" s="24"/>
      <c r="AL1044" s="24"/>
      <c r="AM1044" s="24"/>
      <c r="AN1044" s="24"/>
      <c r="AP1044" s="24"/>
      <c r="AQ1044" s="24"/>
      <c r="AR1044" s="24">
        <v>45735.490187291667</v>
      </c>
      <c r="AS1044" s="24">
        <v>45735.490187291667</v>
      </c>
      <c r="AX1044" s="24"/>
      <c r="AY1044" s="24"/>
      <c r="AZ1044" s="24"/>
      <c r="BA1044" s="24"/>
      <c r="BC1044" s="24"/>
      <c r="BD1044" s="24"/>
      <c r="BE1044" s="24"/>
      <c r="BF1044" s="24"/>
      <c r="BH1044" s="24">
        <v>45735.490187291667</v>
      </c>
      <c r="BI1044" s="24">
        <v>45735.490187291667</v>
      </c>
      <c r="BJ1044" s="24">
        <v>45992.607178495367</v>
      </c>
      <c r="BK1044" s="24">
        <v>45992.607178495367</v>
      </c>
      <c r="BL1044">
        <v>1</v>
      </c>
      <c r="BM1044" s="24"/>
      <c r="BN1044" s="24"/>
      <c r="BO1044" s="24"/>
      <c r="BP1044" s="24"/>
      <c r="BR1044" s="24"/>
      <c r="BS1044" s="24"/>
      <c r="BT1044" s="24"/>
      <c r="BU1044" s="24"/>
      <c r="BW1044" s="24"/>
      <c r="BX1044" s="24"/>
      <c r="BY1044" s="24"/>
      <c r="BZ1044" s="24"/>
      <c r="CB1044" s="24">
        <v>45992.607178495367</v>
      </c>
      <c r="CC1044" s="24">
        <v>45992.607178495367</v>
      </c>
      <c r="CD1044">
        <v>1</v>
      </c>
      <c r="CE1044" s="24"/>
      <c r="CF1044" s="24"/>
      <c r="CH1044" s="24"/>
      <c r="CI1044" s="24"/>
      <c r="CJ1044" s="24"/>
      <c r="CK1044" s="24"/>
      <c r="DE1044" s="24"/>
      <c r="DF1044" s="24"/>
      <c r="DG1044" s="24"/>
      <c r="DH1044" s="24"/>
      <c r="DJ1044" t="s">
        <v>149</v>
      </c>
      <c r="DK1044" t="s">
        <v>149</v>
      </c>
      <c r="DQ1044" t="s">
        <v>1001</v>
      </c>
      <c r="DR1044" t="s">
        <v>149</v>
      </c>
      <c r="DS1044" s="24">
        <v>46160.384426226854</v>
      </c>
    </row>
    <row r="1045" spans="1:123" x14ac:dyDescent="0.3">
      <c r="A1045" t="s">
        <v>1528</v>
      </c>
      <c r="D1045" t="s">
        <v>225</v>
      </c>
      <c r="E1045" s="24">
        <v>45735.486770833333</v>
      </c>
      <c r="G1045" t="s">
        <v>90</v>
      </c>
      <c r="H1045" t="s">
        <v>155</v>
      </c>
      <c r="I1045" s="24"/>
      <c r="J1045" s="24"/>
      <c r="K1045" s="24"/>
      <c r="L1045" s="24"/>
      <c r="N1045" s="24"/>
      <c r="O1045" s="24"/>
      <c r="P1045" s="24"/>
      <c r="Q1045" s="24"/>
      <c r="V1045" s="24"/>
      <c r="W1045" s="24"/>
      <c r="X1045" s="24"/>
      <c r="Y1045" s="24"/>
      <c r="AA1045" s="24">
        <v>45980.441596018522</v>
      </c>
      <c r="AB1045" s="24">
        <v>45937.664851238427</v>
      </c>
      <c r="AC1045" s="24">
        <v>45946.654249537038</v>
      </c>
      <c r="AD1045" s="24">
        <v>45999.432953090276</v>
      </c>
      <c r="AE1045">
        <v>4</v>
      </c>
      <c r="AF1045" s="24">
        <v>45999.432953090276</v>
      </c>
      <c r="AG1045" s="24">
        <v>45946.654249537038</v>
      </c>
      <c r="AH1045" s="24">
        <v>45952.995699976855</v>
      </c>
      <c r="AI1045" s="24">
        <v>45999.43415833333</v>
      </c>
      <c r="AJ1045">
        <v>4</v>
      </c>
      <c r="AK1045" s="24">
        <v>45999.43415833333</v>
      </c>
      <c r="AL1045" s="24">
        <v>45973.471147314813</v>
      </c>
      <c r="AM1045" s="24">
        <v>45980.441596018522</v>
      </c>
      <c r="AN1045" s="24">
        <v>46000.452714317129</v>
      </c>
      <c r="AO1045">
        <v>2</v>
      </c>
      <c r="AP1045" s="24"/>
      <c r="AQ1045" s="24"/>
      <c r="AR1045" s="24">
        <v>45937.664809166665</v>
      </c>
      <c r="AS1045" s="24">
        <v>45937.664809166665</v>
      </c>
      <c r="AX1045" s="24"/>
      <c r="AY1045" s="24"/>
      <c r="AZ1045" s="24"/>
      <c r="BA1045" s="24"/>
      <c r="BC1045" s="24">
        <v>46000.452877685188</v>
      </c>
      <c r="BD1045" s="24">
        <v>46000.452877685188</v>
      </c>
      <c r="BE1045" s="24">
        <v>46002.634935011571</v>
      </c>
      <c r="BF1045" s="24">
        <v>46002.634935011571</v>
      </c>
      <c r="BG1045">
        <v>1</v>
      </c>
      <c r="BH1045" s="24">
        <v>45937.664809166665</v>
      </c>
      <c r="BI1045" s="24">
        <v>45937.664809166665</v>
      </c>
      <c r="BJ1045" s="24">
        <v>45937.664851238427</v>
      </c>
      <c r="BK1045" s="24">
        <v>45937.664851238427</v>
      </c>
      <c r="BL1045">
        <v>1</v>
      </c>
      <c r="BM1045" s="24"/>
      <c r="BN1045" s="24"/>
      <c r="BO1045" s="24"/>
      <c r="BP1045" s="24"/>
      <c r="BR1045" s="24">
        <v>46000.452714317129</v>
      </c>
      <c r="BS1045" s="24">
        <v>46000.452714317129</v>
      </c>
      <c r="BT1045" s="24">
        <v>46000.452877685188</v>
      </c>
      <c r="BU1045" s="24">
        <v>46000.452877685188</v>
      </c>
      <c r="BV1045">
        <v>1</v>
      </c>
      <c r="BW1045" s="24"/>
      <c r="BX1045" s="24"/>
      <c r="BY1045" s="24"/>
      <c r="BZ1045" s="24"/>
      <c r="CB1045" s="24"/>
      <c r="CC1045" s="24"/>
      <c r="CE1045" s="24">
        <v>46002.634935011571</v>
      </c>
      <c r="CF1045" s="24">
        <v>46002.634935011571</v>
      </c>
      <c r="CG1045">
        <v>1</v>
      </c>
      <c r="CH1045" s="24"/>
      <c r="CI1045" s="24"/>
      <c r="CJ1045" s="24"/>
      <c r="CK1045" s="24"/>
      <c r="DE1045" s="24"/>
      <c r="DF1045" s="24"/>
      <c r="DG1045" s="24"/>
      <c r="DH1045" s="24"/>
      <c r="DJ1045" t="s">
        <v>149</v>
      </c>
      <c r="DK1045" t="s">
        <v>149</v>
      </c>
      <c r="DM1045">
        <v>65</v>
      </c>
      <c r="DN1045">
        <v>65</v>
      </c>
      <c r="DQ1045" t="s">
        <v>1001</v>
      </c>
      <c r="DR1045" t="s">
        <v>149</v>
      </c>
      <c r="DS1045" s="24">
        <v>46160.384426226854</v>
      </c>
    </row>
    <row r="1046" spans="1:123" x14ac:dyDescent="0.3">
      <c r="A1046" t="s">
        <v>1529</v>
      </c>
      <c r="D1046" t="s">
        <v>225</v>
      </c>
      <c r="E1046" s="24">
        <v>45735.413703703707</v>
      </c>
      <c r="G1046" t="s">
        <v>90</v>
      </c>
      <c r="H1046" t="s">
        <v>155</v>
      </c>
      <c r="I1046" s="24">
        <v>45750.456829236115</v>
      </c>
      <c r="J1046" s="24">
        <v>45750.456829236115</v>
      </c>
      <c r="K1046" s="24">
        <v>45750.456882048609</v>
      </c>
      <c r="L1046" s="24">
        <v>45750.456882048609</v>
      </c>
      <c r="M1046">
        <v>1</v>
      </c>
      <c r="N1046" s="24"/>
      <c r="O1046" s="24"/>
      <c r="P1046" s="24"/>
      <c r="Q1046" s="24"/>
      <c r="V1046" s="24"/>
      <c r="W1046" s="24"/>
      <c r="X1046" s="24"/>
      <c r="Y1046" s="24"/>
      <c r="AA1046" s="24">
        <v>45754.441714143519</v>
      </c>
      <c r="AB1046" s="24">
        <v>45747.642038634258</v>
      </c>
      <c r="AC1046" s="24">
        <v>45750.456829236115</v>
      </c>
      <c r="AD1046" s="24">
        <v>45776.417567268516</v>
      </c>
      <c r="AE1046">
        <v>2</v>
      </c>
      <c r="AF1046" s="24">
        <v>45776.417567268516</v>
      </c>
      <c r="AG1046" s="24">
        <v>45776.417567268516</v>
      </c>
      <c r="AH1046" s="24">
        <v>45776.417667337962</v>
      </c>
      <c r="AI1046" s="24">
        <v>45776.417667337962</v>
      </c>
      <c r="AJ1046">
        <v>1</v>
      </c>
      <c r="AK1046" s="24">
        <v>45776.417667337962</v>
      </c>
      <c r="AL1046" s="24">
        <v>45776.417667337962</v>
      </c>
      <c r="AM1046" s="24">
        <v>45776.417719247685</v>
      </c>
      <c r="AN1046" s="24">
        <v>45776.417719247685</v>
      </c>
      <c r="AO1046">
        <v>1</v>
      </c>
      <c r="AP1046" s="24"/>
      <c r="AQ1046" s="24"/>
      <c r="AR1046" s="24">
        <v>45735.428801921298</v>
      </c>
      <c r="AS1046" s="24">
        <v>45735.428801921298</v>
      </c>
      <c r="AX1046" s="24"/>
      <c r="AY1046" s="24"/>
      <c r="AZ1046" s="24"/>
      <c r="BA1046" s="24"/>
      <c r="BC1046" s="24">
        <v>45776.418334108799</v>
      </c>
      <c r="BD1046" s="24">
        <v>45776.418334108799</v>
      </c>
      <c r="BE1046" s="24">
        <v>45792.627706874999</v>
      </c>
      <c r="BF1046" s="24">
        <v>45792.627706874999</v>
      </c>
      <c r="BG1046">
        <v>1</v>
      </c>
      <c r="BH1046" s="24">
        <v>45750.456947129627</v>
      </c>
      <c r="BI1046" s="24">
        <v>45735.428801921298</v>
      </c>
      <c r="BJ1046" s="24">
        <v>45747.642038634258</v>
      </c>
      <c r="BK1046" s="24">
        <v>45754.441714143519</v>
      </c>
      <c r="BL1046">
        <v>2</v>
      </c>
      <c r="BM1046" s="24"/>
      <c r="BN1046" s="24"/>
      <c r="BO1046" s="24"/>
      <c r="BP1046" s="24"/>
      <c r="BR1046" s="24">
        <v>45776.417719247685</v>
      </c>
      <c r="BS1046" s="24">
        <v>45776.417719247685</v>
      </c>
      <c r="BT1046" s="24">
        <v>45776.418334108799</v>
      </c>
      <c r="BU1046" s="24">
        <v>45776.418334108799</v>
      </c>
      <c r="BV1046">
        <v>1</v>
      </c>
      <c r="BW1046" s="24">
        <v>45750.456882048609</v>
      </c>
      <c r="BX1046" s="24">
        <v>45750.456882048609</v>
      </c>
      <c r="BY1046" s="24">
        <v>45750.456947129627</v>
      </c>
      <c r="BZ1046" s="24">
        <v>45750.456947129627</v>
      </c>
      <c r="CA1046">
        <v>1</v>
      </c>
      <c r="CB1046" s="24"/>
      <c r="CC1046" s="24"/>
      <c r="CE1046" s="24">
        <v>45792.627706874999</v>
      </c>
      <c r="CF1046" s="24">
        <v>45792.627706874999</v>
      </c>
      <c r="CG1046">
        <v>1</v>
      </c>
      <c r="CH1046" s="24"/>
      <c r="CI1046" s="24"/>
      <c r="CJ1046" s="24"/>
      <c r="CK1046" s="24"/>
      <c r="DE1046" s="24"/>
      <c r="DF1046" s="24"/>
      <c r="DG1046" s="24"/>
      <c r="DH1046" s="24"/>
      <c r="DJ1046" t="s">
        <v>149</v>
      </c>
      <c r="DK1046" t="s">
        <v>149</v>
      </c>
      <c r="DM1046">
        <v>58</v>
      </c>
      <c r="DN1046">
        <v>45</v>
      </c>
      <c r="DQ1046" t="s">
        <v>1001</v>
      </c>
      <c r="DR1046" t="s">
        <v>149</v>
      </c>
      <c r="DS1046" s="24">
        <v>46160.384426226854</v>
      </c>
    </row>
    <row r="1047" spans="1:123" x14ac:dyDescent="0.3">
      <c r="A1047" t="s">
        <v>1530</v>
      </c>
      <c r="D1047" t="s">
        <v>225</v>
      </c>
      <c r="E1047" s="24">
        <v>45735.413437499999</v>
      </c>
      <c r="G1047" t="s">
        <v>90</v>
      </c>
      <c r="H1047" t="s">
        <v>155</v>
      </c>
      <c r="I1047" s="24"/>
      <c r="J1047" s="24"/>
      <c r="K1047" s="24"/>
      <c r="L1047" s="24"/>
      <c r="N1047" s="24"/>
      <c r="O1047" s="24"/>
      <c r="P1047" s="24"/>
      <c r="Q1047" s="24"/>
      <c r="V1047" s="24"/>
      <c r="W1047" s="24"/>
      <c r="X1047" s="24"/>
      <c r="Y1047" s="24"/>
      <c r="AA1047" s="24">
        <v>45740.697805462965</v>
      </c>
      <c r="AB1047" s="24">
        <v>45740.697805462965</v>
      </c>
      <c r="AC1047" s="24">
        <v>45742.654883680552</v>
      </c>
      <c r="AD1047" s="24">
        <v>45742.654883680552</v>
      </c>
      <c r="AE1047">
        <v>1</v>
      </c>
      <c r="AF1047" s="24">
        <v>45742.654883680552</v>
      </c>
      <c r="AG1047" s="24">
        <v>45742.654883680552</v>
      </c>
      <c r="AH1047" s="24">
        <v>45743.394241134258</v>
      </c>
      <c r="AI1047" s="24">
        <v>45743.394241134258</v>
      </c>
      <c r="AJ1047">
        <v>1</v>
      </c>
      <c r="AK1047" s="24">
        <v>45743.394241134258</v>
      </c>
      <c r="AL1047" s="24">
        <v>45743.394241134258</v>
      </c>
      <c r="AM1047" s="24">
        <v>45747.301405416663</v>
      </c>
      <c r="AN1047" s="24">
        <v>45747.301405416663</v>
      </c>
      <c r="AO1047">
        <v>1</v>
      </c>
      <c r="AP1047" s="24"/>
      <c r="AQ1047" s="24"/>
      <c r="AR1047" s="24">
        <v>45735.428380497688</v>
      </c>
      <c r="AS1047" s="24">
        <v>45735.428380497688</v>
      </c>
      <c r="AX1047" s="24"/>
      <c r="AY1047" s="24"/>
      <c r="AZ1047" s="24"/>
      <c r="BA1047" s="24"/>
      <c r="BC1047" s="24">
        <v>45747.301534386577</v>
      </c>
      <c r="BD1047" s="24">
        <v>45747.301534386577</v>
      </c>
      <c r="BE1047" s="24">
        <v>46049.615078391202</v>
      </c>
      <c r="BF1047" s="24">
        <v>46049.615078391202</v>
      </c>
      <c r="BG1047">
        <v>1</v>
      </c>
      <c r="BH1047" s="24">
        <v>45735.428380497688</v>
      </c>
      <c r="BI1047" s="24">
        <v>45735.428380497688</v>
      </c>
      <c r="BJ1047" s="24">
        <v>45740.697805462965</v>
      </c>
      <c r="BK1047" s="24">
        <v>45740.697805462965</v>
      </c>
      <c r="BL1047">
        <v>1</v>
      </c>
      <c r="BM1047" s="24"/>
      <c r="BN1047" s="24"/>
      <c r="BO1047" s="24"/>
      <c r="BP1047" s="24"/>
      <c r="BR1047" s="24">
        <v>45747.301405416663</v>
      </c>
      <c r="BS1047" s="24">
        <v>45747.301405416663</v>
      </c>
      <c r="BT1047" s="24">
        <v>45747.301534386577</v>
      </c>
      <c r="BU1047" s="24">
        <v>45747.301534386577</v>
      </c>
      <c r="BV1047">
        <v>1</v>
      </c>
      <c r="BW1047" s="24"/>
      <c r="BX1047" s="24"/>
      <c r="BY1047" s="24"/>
      <c r="BZ1047" s="24"/>
      <c r="CB1047" s="24"/>
      <c r="CC1047" s="24"/>
      <c r="CE1047" s="24">
        <v>46049.615078391202</v>
      </c>
      <c r="CF1047" s="24">
        <v>46049.615078391202</v>
      </c>
      <c r="CG1047">
        <v>1</v>
      </c>
      <c r="CH1047" s="24"/>
      <c r="CI1047" s="24"/>
      <c r="CJ1047" s="24"/>
      <c r="CK1047" s="24"/>
      <c r="DE1047" s="24"/>
      <c r="DF1047" s="24"/>
      <c r="DG1047" s="24"/>
      <c r="DH1047" s="24"/>
      <c r="DJ1047" t="s">
        <v>149</v>
      </c>
      <c r="DK1047" t="s">
        <v>149</v>
      </c>
      <c r="DM1047">
        <v>315</v>
      </c>
      <c r="DN1047">
        <v>309</v>
      </c>
      <c r="DQ1047" t="s">
        <v>1001</v>
      </c>
      <c r="DR1047" t="s">
        <v>149</v>
      </c>
      <c r="DS1047" s="24">
        <v>46160.384426226854</v>
      </c>
    </row>
    <row r="1048" spans="1:123" x14ac:dyDescent="0.3">
      <c r="A1048" t="s">
        <v>1531</v>
      </c>
      <c r="D1048" t="s">
        <v>225</v>
      </c>
      <c r="E1048" s="24">
        <v>45734.577743055554</v>
      </c>
      <c r="G1048" t="s">
        <v>90</v>
      </c>
      <c r="H1048" t="s">
        <v>155</v>
      </c>
      <c r="I1048" s="24"/>
      <c r="J1048" s="24"/>
      <c r="K1048" s="24"/>
      <c r="L1048" s="24"/>
      <c r="N1048" s="24"/>
      <c r="O1048" s="24"/>
      <c r="P1048" s="24"/>
      <c r="Q1048" s="24"/>
      <c r="V1048" s="24"/>
      <c r="W1048" s="24"/>
      <c r="X1048" s="24"/>
      <c r="Y1048" s="24"/>
      <c r="AA1048" s="24">
        <v>45735.553058819445</v>
      </c>
      <c r="AB1048" s="24">
        <v>45735.553058819445</v>
      </c>
      <c r="AC1048" s="24">
        <v>45740.697744872683</v>
      </c>
      <c r="AD1048" s="24">
        <v>45740.697744872683</v>
      </c>
      <c r="AE1048">
        <v>1</v>
      </c>
      <c r="AF1048" s="24">
        <v>45740.697744872683</v>
      </c>
      <c r="AG1048" s="24">
        <v>45740.697744872683</v>
      </c>
      <c r="AH1048" s="24">
        <v>45742.467256747688</v>
      </c>
      <c r="AI1048" s="24">
        <v>45742.467256747688</v>
      </c>
      <c r="AJ1048">
        <v>1</v>
      </c>
      <c r="AK1048" s="24">
        <v>45742.467256747688</v>
      </c>
      <c r="AL1048" s="24">
        <v>45742.467256747688</v>
      </c>
      <c r="AM1048" s="24">
        <v>45742.721650405096</v>
      </c>
      <c r="AN1048" s="24">
        <v>45742.721650405096</v>
      </c>
      <c r="AO1048">
        <v>1</v>
      </c>
      <c r="AP1048" s="24"/>
      <c r="AQ1048" s="24"/>
      <c r="AR1048" s="24">
        <v>45735.42742980324</v>
      </c>
      <c r="AS1048" s="24">
        <v>45735.42742980324</v>
      </c>
      <c r="AX1048" s="24"/>
      <c r="AY1048" s="24"/>
      <c r="AZ1048" s="24"/>
      <c r="BA1048" s="24"/>
      <c r="BC1048" s="24">
        <v>45743.641037187503</v>
      </c>
      <c r="BD1048" s="24">
        <v>45743.641037187503</v>
      </c>
      <c r="BE1048" s="24">
        <v>45898.301046597226</v>
      </c>
      <c r="BF1048" s="24">
        <v>45898.301046597226</v>
      </c>
      <c r="BG1048">
        <v>1</v>
      </c>
      <c r="BH1048" s="24">
        <v>45735.42742980324</v>
      </c>
      <c r="BI1048" s="24">
        <v>45735.42742980324</v>
      </c>
      <c r="BJ1048" s="24">
        <v>45735.553058819445</v>
      </c>
      <c r="BK1048" s="24">
        <v>45735.553058819445</v>
      </c>
      <c r="BL1048">
        <v>1</v>
      </c>
      <c r="BM1048" s="24"/>
      <c r="BN1048" s="24"/>
      <c r="BO1048" s="24"/>
      <c r="BP1048" s="24"/>
      <c r="BR1048" s="24">
        <v>45742.721650405096</v>
      </c>
      <c r="BS1048" s="24">
        <v>45742.721650405096</v>
      </c>
      <c r="BT1048" s="24">
        <v>45743.641037187503</v>
      </c>
      <c r="BU1048" s="24">
        <v>45743.641037187503</v>
      </c>
      <c r="BV1048">
        <v>1</v>
      </c>
      <c r="BW1048" s="24"/>
      <c r="BX1048" s="24"/>
      <c r="BY1048" s="24"/>
      <c r="BZ1048" s="24"/>
      <c r="CB1048" s="24"/>
      <c r="CC1048" s="24"/>
      <c r="CE1048" s="24">
        <v>45898.301046597226</v>
      </c>
      <c r="CF1048" s="24">
        <v>45898.301046597226</v>
      </c>
      <c r="CG1048">
        <v>1</v>
      </c>
      <c r="CH1048" s="24"/>
      <c r="CI1048" s="24"/>
      <c r="CJ1048" s="24"/>
      <c r="CK1048" s="24"/>
      <c r="DE1048" s="24"/>
      <c r="DF1048" s="24"/>
      <c r="DG1048" s="24"/>
      <c r="DH1048" s="24"/>
      <c r="DJ1048" t="s">
        <v>149</v>
      </c>
      <c r="DK1048" t="s">
        <v>149</v>
      </c>
      <c r="DM1048">
        <v>163</v>
      </c>
      <c r="DN1048">
        <v>163</v>
      </c>
      <c r="DQ1048" t="s">
        <v>1001</v>
      </c>
      <c r="DR1048" t="s">
        <v>149</v>
      </c>
      <c r="DS1048" s="24">
        <v>46160.384426226854</v>
      </c>
    </row>
    <row r="1049" spans="1:123" x14ac:dyDescent="0.3">
      <c r="A1049" t="s">
        <v>1532</v>
      </c>
      <c r="D1049" t="s">
        <v>225</v>
      </c>
      <c r="E1049" s="24">
        <v>45721.486168981479</v>
      </c>
      <c r="G1049" t="s">
        <v>90</v>
      </c>
      <c r="H1049" t="s">
        <v>155</v>
      </c>
      <c r="I1049" s="24"/>
      <c r="J1049" s="24"/>
      <c r="K1049" s="24"/>
      <c r="L1049" s="24"/>
      <c r="N1049" s="24"/>
      <c r="O1049" s="24"/>
      <c r="P1049" s="24"/>
      <c r="Q1049" s="24"/>
      <c r="V1049" s="24"/>
      <c r="W1049" s="24"/>
      <c r="X1049" s="24"/>
      <c r="Y1049" s="24"/>
      <c r="AA1049" s="24">
        <v>45726.656873900465</v>
      </c>
      <c r="AB1049" s="24">
        <v>45726.656873900465</v>
      </c>
      <c r="AC1049" s="24">
        <v>45747.596394375003</v>
      </c>
      <c r="AD1049" s="24">
        <v>45747.596394375003</v>
      </c>
      <c r="AE1049">
        <v>1</v>
      </c>
      <c r="AF1049" s="24">
        <v>45747.596394375003</v>
      </c>
      <c r="AG1049" s="24">
        <v>45747.596394375003</v>
      </c>
      <c r="AH1049" s="24">
        <v>45755.641843043981</v>
      </c>
      <c r="AI1049" s="24">
        <v>45755.641843043981</v>
      </c>
      <c r="AJ1049">
        <v>1</v>
      </c>
      <c r="AK1049" s="24">
        <v>45755.641843043981</v>
      </c>
      <c r="AL1049" s="24">
        <v>45755.641843043981</v>
      </c>
      <c r="AM1049" s="24">
        <v>45757.444484525462</v>
      </c>
      <c r="AN1049" s="24">
        <v>45757.444484525462</v>
      </c>
      <c r="AO1049">
        <v>1</v>
      </c>
      <c r="AP1049" s="24"/>
      <c r="AQ1049" s="24"/>
      <c r="AR1049" s="24">
        <v>45721.488877650459</v>
      </c>
      <c r="AS1049" s="24">
        <v>45721.488877650459</v>
      </c>
      <c r="AX1049" s="24"/>
      <c r="AY1049" s="24"/>
      <c r="AZ1049" s="24"/>
      <c r="BA1049" s="24"/>
      <c r="BC1049" s="24">
        <v>45757.444642997689</v>
      </c>
      <c r="BD1049" s="24">
        <v>45757.444642997689</v>
      </c>
      <c r="BE1049" s="24">
        <v>45898.301046678243</v>
      </c>
      <c r="BF1049" s="24">
        <v>45898.301046678243</v>
      </c>
      <c r="BG1049">
        <v>1</v>
      </c>
      <c r="BH1049" s="24">
        <v>45721.488877650459</v>
      </c>
      <c r="BI1049" s="24">
        <v>45721.488877650459</v>
      </c>
      <c r="BJ1049" s="24">
        <v>45726.656873900465</v>
      </c>
      <c r="BK1049" s="24">
        <v>45726.656873900465</v>
      </c>
      <c r="BL1049">
        <v>1</v>
      </c>
      <c r="BM1049" s="24"/>
      <c r="BN1049" s="24"/>
      <c r="BO1049" s="24"/>
      <c r="BP1049" s="24"/>
      <c r="BR1049" s="24">
        <v>45757.444484525462</v>
      </c>
      <c r="BS1049" s="24">
        <v>45757.444484525462</v>
      </c>
      <c r="BT1049" s="24">
        <v>45757.444642997689</v>
      </c>
      <c r="BU1049" s="24">
        <v>45757.444642997689</v>
      </c>
      <c r="BV1049">
        <v>1</v>
      </c>
      <c r="BW1049" s="24"/>
      <c r="BX1049" s="24"/>
      <c r="BY1049" s="24"/>
      <c r="BZ1049" s="24"/>
      <c r="CB1049" s="24"/>
      <c r="CC1049" s="24"/>
      <c r="CE1049" s="24">
        <v>45898.301046678243</v>
      </c>
      <c r="CF1049" s="24">
        <v>45898.301046678243</v>
      </c>
      <c r="CG1049">
        <v>1</v>
      </c>
      <c r="CH1049" s="24"/>
      <c r="CI1049" s="24"/>
      <c r="CJ1049" s="24"/>
      <c r="CK1049" s="24"/>
      <c r="DE1049" s="24"/>
      <c r="DF1049" s="24"/>
      <c r="DG1049" s="24"/>
      <c r="DH1049" s="24"/>
      <c r="DJ1049" t="s">
        <v>149</v>
      </c>
      <c r="DK1049" t="s">
        <v>149</v>
      </c>
      <c r="DM1049">
        <v>177</v>
      </c>
      <c r="DN1049">
        <v>172</v>
      </c>
      <c r="DQ1049" t="s">
        <v>1001</v>
      </c>
      <c r="DR1049" t="s">
        <v>149</v>
      </c>
      <c r="DS1049" s="24">
        <v>46160.384426226854</v>
      </c>
    </row>
    <row r="1050" spans="1:123" x14ac:dyDescent="0.3">
      <c r="A1050" t="s">
        <v>1533</v>
      </c>
      <c r="D1050" t="s">
        <v>225</v>
      </c>
      <c r="E1050" s="24">
        <v>45713.475960648146</v>
      </c>
      <c r="G1050" t="s">
        <v>90</v>
      </c>
      <c r="H1050" t="s">
        <v>155</v>
      </c>
      <c r="I1050" s="24"/>
      <c r="J1050" s="24"/>
      <c r="K1050" s="24"/>
      <c r="L1050" s="24"/>
      <c r="N1050" s="24"/>
      <c r="O1050" s="24"/>
      <c r="P1050" s="24"/>
      <c r="Q1050" s="24"/>
      <c r="V1050" s="24"/>
      <c r="W1050" s="24"/>
      <c r="X1050" s="24"/>
      <c r="Y1050" s="24"/>
      <c r="AA1050" s="24">
        <v>46120.441346064814</v>
      </c>
      <c r="AB1050" s="24">
        <v>46120.441346064814</v>
      </c>
      <c r="AC1050" s="24">
        <v>46125.50848877315</v>
      </c>
      <c r="AD1050" s="24">
        <v>46125.50848877315</v>
      </c>
      <c r="AE1050">
        <v>1</v>
      </c>
      <c r="AF1050" s="24">
        <v>46125.50848877315</v>
      </c>
      <c r="AG1050" s="24">
        <v>46125.50848877315</v>
      </c>
      <c r="AH1050" s="24">
        <v>46126.68864576389</v>
      </c>
      <c r="AI1050" s="24">
        <v>46126.68864576389</v>
      </c>
      <c r="AJ1050">
        <v>1</v>
      </c>
      <c r="AK1050" s="24">
        <v>46126.68864576389</v>
      </c>
      <c r="AL1050" s="24">
        <v>46126.68864576389</v>
      </c>
      <c r="AM1050" s="24">
        <v>46126.708166307872</v>
      </c>
      <c r="AN1050" s="24">
        <v>46126.708166307872</v>
      </c>
      <c r="AO1050">
        <v>1</v>
      </c>
      <c r="AP1050" s="24"/>
      <c r="AQ1050" s="24"/>
      <c r="AR1050" s="24">
        <v>45721.478217662036</v>
      </c>
      <c r="AS1050" s="24">
        <v>45721.478217662036</v>
      </c>
      <c r="AX1050" s="24"/>
      <c r="AY1050" s="24"/>
      <c r="AZ1050" s="24"/>
      <c r="BA1050" s="24"/>
      <c r="BC1050" s="24">
        <v>46126.708268298615</v>
      </c>
      <c r="BD1050" s="24">
        <v>46126.708268298615</v>
      </c>
      <c r="BE1050" s="24">
        <v>46141.465485312503</v>
      </c>
      <c r="BF1050" s="24">
        <v>46141.465485312503</v>
      </c>
      <c r="BG1050">
        <v>1</v>
      </c>
      <c r="BH1050" s="24">
        <v>45721.478217662036</v>
      </c>
      <c r="BI1050" s="24">
        <v>45721.478217662036</v>
      </c>
      <c r="BJ1050" s="24">
        <v>46120.441346064814</v>
      </c>
      <c r="BK1050" s="24">
        <v>46120.441346064814</v>
      </c>
      <c r="BL1050">
        <v>1</v>
      </c>
      <c r="BM1050" s="24"/>
      <c r="BN1050" s="24"/>
      <c r="BO1050" s="24"/>
      <c r="BP1050" s="24"/>
      <c r="BR1050" s="24">
        <v>46126.708166307872</v>
      </c>
      <c r="BS1050" s="24">
        <v>46126.708166307872</v>
      </c>
      <c r="BT1050" s="24">
        <v>46126.708268298615</v>
      </c>
      <c r="BU1050" s="24">
        <v>46126.708268298615</v>
      </c>
      <c r="BV1050">
        <v>1</v>
      </c>
      <c r="BW1050" s="24"/>
      <c r="BX1050" s="24"/>
      <c r="BY1050" s="24"/>
      <c r="BZ1050" s="24"/>
      <c r="CB1050" s="24"/>
      <c r="CC1050" s="24"/>
      <c r="CE1050" s="24">
        <v>46141.465485312503</v>
      </c>
      <c r="CF1050" s="24">
        <v>46141.465485312503</v>
      </c>
      <c r="CG1050">
        <v>1</v>
      </c>
      <c r="CH1050" s="24"/>
      <c r="CI1050" s="24"/>
      <c r="CJ1050" s="24"/>
      <c r="CK1050" s="24"/>
      <c r="DE1050" s="24"/>
      <c r="DF1050" s="24"/>
      <c r="DG1050" s="24"/>
      <c r="DH1050" s="24"/>
      <c r="DJ1050" t="s">
        <v>149</v>
      </c>
      <c r="DK1050" t="s">
        <v>149</v>
      </c>
      <c r="DM1050">
        <v>420</v>
      </c>
      <c r="DN1050">
        <v>22</v>
      </c>
      <c r="DQ1050" t="s">
        <v>1001</v>
      </c>
      <c r="DR1050" t="s">
        <v>149</v>
      </c>
      <c r="DS1050" s="24">
        <v>46160.384426226854</v>
      </c>
    </row>
    <row r="1051" spans="1:123" x14ac:dyDescent="0.3">
      <c r="A1051" t="s">
        <v>1534</v>
      </c>
      <c r="D1051" t="s">
        <v>223</v>
      </c>
      <c r="E1051" s="24">
        <v>45702.451851851853</v>
      </c>
      <c r="G1051" t="s">
        <v>107</v>
      </c>
      <c r="H1051" t="s">
        <v>154</v>
      </c>
      <c r="I1051" s="24"/>
      <c r="J1051" s="24"/>
      <c r="K1051" s="24"/>
      <c r="L1051" s="24"/>
      <c r="N1051" s="24"/>
      <c r="O1051" s="24"/>
      <c r="P1051" s="24"/>
      <c r="Q1051" s="24"/>
      <c r="V1051" s="24"/>
      <c r="W1051" s="24"/>
      <c r="X1051" s="24"/>
      <c r="Y1051" s="24"/>
      <c r="AA1051" s="24"/>
      <c r="AB1051" s="24"/>
      <c r="AC1051" s="24"/>
      <c r="AD1051" s="24"/>
      <c r="AF1051" s="24"/>
      <c r="AG1051" s="24"/>
      <c r="AH1051" s="24"/>
      <c r="AI1051" s="24"/>
      <c r="AK1051" s="24"/>
      <c r="AL1051" s="24"/>
      <c r="AM1051" s="24"/>
      <c r="AN1051" s="24"/>
      <c r="AP1051" s="24"/>
      <c r="AQ1051" s="24"/>
      <c r="AR1051" s="24">
        <v>45707.39135784722</v>
      </c>
      <c r="AS1051" s="24">
        <v>45707.39135784722</v>
      </c>
      <c r="AX1051" s="24"/>
      <c r="AY1051" s="24"/>
      <c r="AZ1051" s="24"/>
      <c r="BA1051" s="24"/>
      <c r="BC1051" s="24"/>
      <c r="BD1051" s="24"/>
      <c r="BE1051" s="24"/>
      <c r="BF1051" s="24"/>
      <c r="BH1051" s="24">
        <v>45707.39135784722</v>
      </c>
      <c r="BI1051" s="24">
        <v>45707.39135784722</v>
      </c>
      <c r="BJ1051" s="24"/>
      <c r="BK1051" s="24"/>
      <c r="BL1051">
        <v>1</v>
      </c>
      <c r="BM1051" s="24"/>
      <c r="BN1051" s="24"/>
      <c r="BO1051" s="24"/>
      <c r="BP1051" s="24"/>
      <c r="BR1051" s="24"/>
      <c r="BS1051" s="24"/>
      <c r="BT1051" s="24"/>
      <c r="BU1051" s="24"/>
      <c r="BW1051" s="24"/>
      <c r="BX1051" s="24"/>
      <c r="BY1051" s="24"/>
      <c r="BZ1051" s="24"/>
      <c r="CB1051" s="24"/>
      <c r="CC1051" s="24"/>
      <c r="CE1051" s="24"/>
      <c r="CF1051" s="24"/>
      <c r="CH1051" s="24"/>
      <c r="CI1051" s="24"/>
      <c r="CJ1051" s="24"/>
      <c r="CK1051" s="24"/>
      <c r="DE1051" s="24"/>
      <c r="DF1051" s="24"/>
      <c r="DG1051" s="24"/>
      <c r="DH1051" s="24"/>
      <c r="DJ1051" t="s">
        <v>149</v>
      </c>
      <c r="DK1051" t="s">
        <v>149</v>
      </c>
      <c r="DP1051">
        <v>453</v>
      </c>
      <c r="DQ1051" t="s">
        <v>1001</v>
      </c>
      <c r="DR1051" t="s">
        <v>149</v>
      </c>
      <c r="DS1051" s="24">
        <v>46160.384426226854</v>
      </c>
    </row>
    <row r="1052" spans="1:123" x14ac:dyDescent="0.3">
      <c r="A1052" t="s">
        <v>1535</v>
      </c>
      <c r="D1052" t="s">
        <v>225</v>
      </c>
      <c r="E1052" s="24">
        <v>45701.416458333333</v>
      </c>
      <c r="G1052" t="s">
        <v>102</v>
      </c>
      <c r="H1052" t="s">
        <v>154</v>
      </c>
      <c r="I1052" s="24"/>
      <c r="J1052" s="24"/>
      <c r="K1052" s="24"/>
      <c r="L1052" s="24"/>
      <c r="N1052" s="24"/>
      <c r="O1052" s="24"/>
      <c r="P1052" s="24"/>
      <c r="Q1052" s="24"/>
      <c r="V1052" s="24"/>
      <c r="W1052" s="24"/>
      <c r="X1052" s="24"/>
      <c r="Y1052" s="24"/>
      <c r="AA1052" s="24"/>
      <c r="AB1052" s="24"/>
      <c r="AC1052" s="24"/>
      <c r="AD1052" s="24"/>
      <c r="AF1052" s="24"/>
      <c r="AG1052" s="24"/>
      <c r="AH1052" s="24"/>
      <c r="AI1052" s="24"/>
      <c r="AK1052" s="24"/>
      <c r="AL1052" s="24"/>
      <c r="AM1052" s="24"/>
      <c r="AN1052" s="24"/>
      <c r="AP1052" s="24"/>
      <c r="AQ1052" s="24"/>
      <c r="AR1052" s="24"/>
      <c r="AS1052" s="24"/>
      <c r="AX1052" s="24"/>
      <c r="AY1052" s="24"/>
      <c r="AZ1052" s="24"/>
      <c r="BA1052" s="24"/>
      <c r="BC1052" s="24"/>
      <c r="BD1052" s="24"/>
      <c r="BE1052" s="24"/>
      <c r="BF1052" s="24"/>
      <c r="BH1052" s="24"/>
      <c r="BI1052" s="24"/>
      <c r="BJ1052" s="24"/>
      <c r="BK1052" s="24"/>
      <c r="BM1052" s="24"/>
      <c r="BN1052" s="24"/>
      <c r="BO1052" s="24"/>
      <c r="BP1052" s="24"/>
      <c r="BR1052" s="24"/>
      <c r="BS1052" s="24"/>
      <c r="BT1052" s="24"/>
      <c r="BU1052" s="24"/>
      <c r="BW1052" s="24"/>
      <c r="BX1052" s="24"/>
      <c r="BY1052" s="24"/>
      <c r="BZ1052" s="24"/>
      <c r="CB1052" s="24"/>
      <c r="CC1052" s="24"/>
      <c r="CE1052" s="24"/>
      <c r="CF1052" s="24"/>
      <c r="CH1052" s="24"/>
      <c r="CI1052" s="24"/>
      <c r="CJ1052" s="24"/>
      <c r="CK1052" s="24"/>
      <c r="DE1052" s="24"/>
      <c r="DF1052" s="24"/>
      <c r="DG1052" s="24"/>
      <c r="DH1052" s="24"/>
      <c r="DJ1052" t="s">
        <v>149</v>
      </c>
      <c r="DK1052" t="s">
        <v>149</v>
      </c>
      <c r="DQ1052" t="s">
        <v>1001</v>
      </c>
      <c r="DR1052" t="s">
        <v>149</v>
      </c>
      <c r="DS1052" s="24">
        <v>46160.384426226854</v>
      </c>
    </row>
    <row r="1053" spans="1:123" x14ac:dyDescent="0.3">
      <c r="A1053" t="s">
        <v>1536</v>
      </c>
      <c r="D1053" t="s">
        <v>225</v>
      </c>
      <c r="E1053" s="24">
        <v>45699.435162037036</v>
      </c>
      <c r="G1053" t="s">
        <v>107</v>
      </c>
      <c r="H1053" t="s">
        <v>154</v>
      </c>
      <c r="I1053" s="24"/>
      <c r="J1053" s="24"/>
      <c r="K1053" s="24"/>
      <c r="L1053" s="24"/>
      <c r="N1053" s="24"/>
      <c r="O1053" s="24"/>
      <c r="P1053" s="24"/>
      <c r="Q1053" s="24"/>
      <c r="V1053" s="24"/>
      <c r="W1053" s="24"/>
      <c r="X1053" s="24"/>
      <c r="Y1053" s="24"/>
      <c r="AA1053" s="24"/>
      <c r="AB1053" s="24"/>
      <c r="AC1053" s="24"/>
      <c r="AD1053" s="24"/>
      <c r="AF1053" s="24"/>
      <c r="AG1053" s="24"/>
      <c r="AH1053" s="24"/>
      <c r="AI1053" s="24"/>
      <c r="AK1053" s="24"/>
      <c r="AL1053" s="24"/>
      <c r="AM1053" s="24"/>
      <c r="AN1053" s="24"/>
      <c r="AP1053" s="24"/>
      <c r="AQ1053" s="24"/>
      <c r="AR1053" s="24">
        <v>45707.393650578706</v>
      </c>
      <c r="AS1053" s="24">
        <v>45707.393650578706</v>
      </c>
      <c r="AX1053" s="24"/>
      <c r="AY1053" s="24"/>
      <c r="AZ1053" s="24"/>
      <c r="BA1053" s="24"/>
      <c r="BC1053" s="24"/>
      <c r="BD1053" s="24"/>
      <c r="BE1053" s="24"/>
      <c r="BF1053" s="24"/>
      <c r="BH1053" s="24">
        <v>45707.393650578706</v>
      </c>
      <c r="BI1053" s="24">
        <v>45707.393650578706</v>
      </c>
      <c r="BJ1053" s="24"/>
      <c r="BK1053" s="24"/>
      <c r="BL1053">
        <v>1</v>
      </c>
      <c r="BM1053" s="24"/>
      <c r="BN1053" s="24"/>
      <c r="BO1053" s="24"/>
      <c r="BP1053" s="24"/>
      <c r="BR1053" s="24"/>
      <c r="BS1053" s="24"/>
      <c r="BT1053" s="24"/>
      <c r="BU1053" s="24"/>
      <c r="BW1053" s="24"/>
      <c r="BX1053" s="24"/>
      <c r="BY1053" s="24"/>
      <c r="BZ1053" s="24"/>
      <c r="CB1053" s="24"/>
      <c r="CC1053" s="24"/>
      <c r="CE1053" s="24"/>
      <c r="CF1053" s="24"/>
      <c r="CH1053" s="24"/>
      <c r="CI1053" s="24"/>
      <c r="CJ1053" s="24"/>
      <c r="CK1053" s="24"/>
      <c r="DE1053" s="24"/>
      <c r="DF1053" s="24"/>
      <c r="DG1053" s="24"/>
      <c r="DH1053" s="24"/>
      <c r="DJ1053" t="s">
        <v>149</v>
      </c>
      <c r="DK1053" t="s">
        <v>149</v>
      </c>
      <c r="DP1053">
        <v>453</v>
      </c>
      <c r="DQ1053" t="s">
        <v>1001</v>
      </c>
      <c r="DR1053" t="s">
        <v>149</v>
      </c>
      <c r="DS1053" s="24">
        <v>46160.384426226854</v>
      </c>
    </row>
    <row r="1054" spans="1:123" x14ac:dyDescent="0.3">
      <c r="A1054" t="s">
        <v>1537</v>
      </c>
      <c r="D1054" t="s">
        <v>225</v>
      </c>
      <c r="E1054" s="24">
        <v>45693.377291666664</v>
      </c>
      <c r="G1054" t="s">
        <v>90</v>
      </c>
      <c r="H1054" t="s">
        <v>155</v>
      </c>
      <c r="I1054" s="24"/>
      <c r="J1054" s="24"/>
      <c r="K1054" s="24"/>
      <c r="L1054" s="24"/>
      <c r="N1054" s="24"/>
      <c r="O1054" s="24"/>
      <c r="P1054" s="24"/>
      <c r="Q1054" s="24"/>
      <c r="V1054" s="24"/>
      <c r="W1054" s="24"/>
      <c r="X1054" s="24"/>
      <c r="Y1054" s="24"/>
      <c r="AA1054" s="24">
        <v>45721.565783460646</v>
      </c>
      <c r="AB1054" s="24">
        <v>45721.565783460646</v>
      </c>
      <c r="AC1054" s="24">
        <v>45727.436384097222</v>
      </c>
      <c r="AD1054" s="24">
        <v>45727.436384097222</v>
      </c>
      <c r="AE1054">
        <v>1</v>
      </c>
      <c r="AF1054" s="24">
        <v>45727.436384097222</v>
      </c>
      <c r="AG1054" s="24">
        <v>45727.436384097222</v>
      </c>
      <c r="AH1054" s="24">
        <v>45727.540301643516</v>
      </c>
      <c r="AI1054" s="24">
        <v>45727.540301643516</v>
      </c>
      <c r="AJ1054">
        <v>1</v>
      </c>
      <c r="AK1054" s="24">
        <v>45727.540301643516</v>
      </c>
      <c r="AL1054" s="24">
        <v>45727.540301643516</v>
      </c>
      <c r="AM1054" s="24">
        <v>45729.435907002313</v>
      </c>
      <c r="AN1054" s="24">
        <v>45729.435907002313</v>
      </c>
      <c r="AO1054">
        <v>1</v>
      </c>
      <c r="AP1054" s="24"/>
      <c r="AQ1054" s="24"/>
      <c r="AR1054" s="24">
        <v>45693.378879953707</v>
      </c>
      <c r="AS1054" s="24">
        <v>45693.378879953707</v>
      </c>
      <c r="AX1054" s="24"/>
      <c r="AY1054" s="24"/>
      <c r="AZ1054" s="24"/>
      <c r="BA1054" s="24"/>
      <c r="BC1054" s="24">
        <v>45729.436048333337</v>
      </c>
      <c r="BD1054" s="24">
        <v>45729.436048333337</v>
      </c>
      <c r="BE1054" s="24">
        <v>46049.615014467592</v>
      </c>
      <c r="BF1054" s="24">
        <v>46049.615014467592</v>
      </c>
      <c r="BG1054">
        <v>1</v>
      </c>
      <c r="BH1054" s="24">
        <v>45693.378879953707</v>
      </c>
      <c r="BI1054" s="24">
        <v>45693.378879953707</v>
      </c>
      <c r="BJ1054" s="24">
        <v>45721.565783460646</v>
      </c>
      <c r="BK1054" s="24">
        <v>45721.565783460646</v>
      </c>
      <c r="BL1054">
        <v>1</v>
      </c>
      <c r="BM1054" s="24"/>
      <c r="BN1054" s="24"/>
      <c r="BO1054" s="24"/>
      <c r="BP1054" s="24"/>
      <c r="BR1054" s="24">
        <v>45729.435907002313</v>
      </c>
      <c r="BS1054" s="24">
        <v>45729.435907002313</v>
      </c>
      <c r="BT1054" s="24">
        <v>45729.436048333337</v>
      </c>
      <c r="BU1054" s="24">
        <v>45729.436048333337</v>
      </c>
      <c r="BV1054">
        <v>1</v>
      </c>
      <c r="BW1054" s="24"/>
      <c r="BX1054" s="24"/>
      <c r="BY1054" s="24"/>
      <c r="BZ1054" s="24"/>
      <c r="CB1054" s="24"/>
      <c r="CC1054" s="24"/>
      <c r="CE1054" s="24">
        <v>46049.615014467592</v>
      </c>
      <c r="CF1054" s="24">
        <v>46049.615014467592</v>
      </c>
      <c r="CG1054">
        <v>1</v>
      </c>
      <c r="CH1054" s="24"/>
      <c r="CI1054" s="24"/>
      <c r="CJ1054" s="24"/>
      <c r="CK1054" s="24"/>
      <c r="DE1054" s="24"/>
      <c r="DF1054" s="24"/>
      <c r="DG1054" s="24"/>
      <c r="DH1054" s="24"/>
      <c r="DJ1054" t="s">
        <v>149</v>
      </c>
      <c r="DK1054" t="s">
        <v>149</v>
      </c>
      <c r="DM1054">
        <v>357</v>
      </c>
      <c r="DN1054">
        <v>329</v>
      </c>
      <c r="DQ1054" t="s">
        <v>1001</v>
      </c>
      <c r="DR1054" t="s">
        <v>149</v>
      </c>
      <c r="DS1054" s="24">
        <v>46160.384426226854</v>
      </c>
    </row>
    <row r="1055" spans="1:123" x14ac:dyDescent="0.3">
      <c r="A1055" t="s">
        <v>1538</v>
      </c>
      <c r="D1055" t="s">
        <v>225</v>
      </c>
      <c r="E1055" s="24">
        <v>45692.460370370369</v>
      </c>
      <c r="G1055" t="s">
        <v>90</v>
      </c>
      <c r="H1055" t="s">
        <v>155</v>
      </c>
      <c r="I1055" s="24"/>
      <c r="J1055" s="24"/>
      <c r="K1055" s="24"/>
      <c r="L1055" s="24"/>
      <c r="N1055" s="24"/>
      <c r="O1055" s="24"/>
      <c r="P1055" s="24"/>
      <c r="Q1055" s="24"/>
      <c r="V1055" s="24"/>
      <c r="W1055" s="24"/>
      <c r="X1055" s="24"/>
      <c r="Y1055" s="24"/>
      <c r="AA1055" s="24">
        <v>45694.650739618053</v>
      </c>
      <c r="AB1055" s="24">
        <v>45694.650739618053</v>
      </c>
      <c r="AC1055" s="24">
        <v>45701.627466620368</v>
      </c>
      <c r="AD1055" s="24">
        <v>45701.627466620368</v>
      </c>
      <c r="AE1055">
        <v>1</v>
      </c>
      <c r="AF1055" s="24">
        <v>45701.627466620368</v>
      </c>
      <c r="AG1055" s="24">
        <v>45701.627466620368</v>
      </c>
      <c r="AH1055" s="24">
        <v>45706.009710972219</v>
      </c>
      <c r="AI1055" s="24">
        <v>45706.009710972219</v>
      </c>
      <c r="AJ1055">
        <v>1</v>
      </c>
      <c r="AK1055" s="24">
        <v>45706.009710972219</v>
      </c>
      <c r="AL1055" s="24">
        <v>45706.009710972219</v>
      </c>
      <c r="AM1055" s="24">
        <v>45706.653096076392</v>
      </c>
      <c r="AN1055" s="24">
        <v>45706.653096076392</v>
      </c>
      <c r="AO1055">
        <v>1</v>
      </c>
      <c r="AP1055" s="24"/>
      <c r="AQ1055" s="24"/>
      <c r="AR1055" s="24">
        <v>45692.471404178243</v>
      </c>
      <c r="AS1055" s="24">
        <v>45692.471404178243</v>
      </c>
      <c r="AX1055" s="24"/>
      <c r="AY1055" s="24"/>
      <c r="AZ1055" s="24"/>
      <c r="BA1055" s="24"/>
      <c r="BC1055" s="24">
        <v>45706.653162303242</v>
      </c>
      <c r="BD1055" s="24">
        <v>45706.653162303242</v>
      </c>
      <c r="BE1055" s="24">
        <v>45947.703382384258</v>
      </c>
      <c r="BF1055" s="24">
        <v>45947.703382384258</v>
      </c>
      <c r="BG1055">
        <v>1</v>
      </c>
      <c r="BH1055" s="24">
        <v>45692.471404178243</v>
      </c>
      <c r="BI1055" s="24">
        <v>45692.471404178243</v>
      </c>
      <c r="BJ1055" s="24">
        <v>45694.650739618053</v>
      </c>
      <c r="BK1055" s="24">
        <v>45694.650739618053</v>
      </c>
      <c r="BL1055">
        <v>1</v>
      </c>
      <c r="BM1055" s="24"/>
      <c r="BN1055" s="24"/>
      <c r="BO1055" s="24"/>
      <c r="BP1055" s="24"/>
      <c r="BR1055" s="24">
        <v>45706.653096076392</v>
      </c>
      <c r="BS1055" s="24">
        <v>45706.653096076392</v>
      </c>
      <c r="BT1055" s="24">
        <v>45706.653162303242</v>
      </c>
      <c r="BU1055" s="24">
        <v>45706.653162303242</v>
      </c>
      <c r="BV1055">
        <v>1</v>
      </c>
      <c r="BW1055" s="24"/>
      <c r="BX1055" s="24"/>
      <c r="BY1055" s="24"/>
      <c r="BZ1055" s="24"/>
      <c r="CB1055" s="24"/>
      <c r="CC1055" s="24"/>
      <c r="CE1055" s="24">
        <v>45947.703382384258</v>
      </c>
      <c r="CF1055" s="24">
        <v>45947.703382384258</v>
      </c>
      <c r="CG1055">
        <v>1</v>
      </c>
      <c r="CH1055" s="24"/>
      <c r="CI1055" s="24"/>
      <c r="CJ1055" s="24"/>
      <c r="CK1055" s="24"/>
      <c r="DE1055" s="24"/>
      <c r="DF1055" s="24"/>
      <c r="DG1055" s="24"/>
      <c r="DH1055" s="24"/>
      <c r="DJ1055" t="s">
        <v>149</v>
      </c>
      <c r="DK1055" t="s">
        <v>149</v>
      </c>
      <c r="DM1055">
        <v>256</v>
      </c>
      <c r="DN1055">
        <v>254</v>
      </c>
      <c r="DQ1055" t="s">
        <v>1001</v>
      </c>
      <c r="DR1055" t="s">
        <v>149</v>
      </c>
      <c r="DS1055" s="24">
        <v>46160.384426226854</v>
      </c>
    </row>
    <row r="1056" spans="1:123" x14ac:dyDescent="0.3">
      <c r="A1056" t="s">
        <v>1539</v>
      </c>
      <c r="D1056" t="s">
        <v>223</v>
      </c>
      <c r="E1056" s="24">
        <v>45680.520150462966</v>
      </c>
      <c r="G1056" t="s">
        <v>107</v>
      </c>
      <c r="H1056" t="s">
        <v>154</v>
      </c>
      <c r="I1056" s="24">
        <v>45721.491916423613</v>
      </c>
      <c r="J1056" s="24">
        <v>45721.491916423613</v>
      </c>
      <c r="K1056" s="24">
        <v>45721.491987696761</v>
      </c>
      <c r="L1056" s="24">
        <v>45721.491987696761</v>
      </c>
      <c r="M1056">
        <v>1</v>
      </c>
      <c r="N1056" s="24">
        <v>45712.458140706018</v>
      </c>
      <c r="O1056" s="24">
        <v>45712.458140706018</v>
      </c>
      <c r="P1056" s="24">
        <v>45721.491916423613</v>
      </c>
      <c r="Q1056" s="24">
        <v>45721.491916423613</v>
      </c>
      <c r="R1056">
        <v>1</v>
      </c>
      <c r="V1056" s="24"/>
      <c r="W1056" s="24"/>
      <c r="X1056" s="24"/>
      <c r="Y1056" s="24"/>
      <c r="AA1056" s="24">
        <v>45708.60264138889</v>
      </c>
      <c r="AB1056" s="24">
        <v>45708.60264138889</v>
      </c>
      <c r="AC1056" s="24">
        <v>45712.458140706018</v>
      </c>
      <c r="AD1056" s="24">
        <v>45712.458140706018</v>
      </c>
      <c r="AE1056">
        <v>1</v>
      </c>
      <c r="AF1056" s="24"/>
      <c r="AG1056" s="24"/>
      <c r="AH1056" s="24"/>
      <c r="AI1056" s="24"/>
      <c r="AK1056" s="24"/>
      <c r="AL1056" s="24"/>
      <c r="AM1056" s="24"/>
      <c r="AN1056" s="24"/>
      <c r="AP1056" s="24"/>
      <c r="AQ1056" s="24"/>
      <c r="AR1056" s="24">
        <v>45707.394258831016</v>
      </c>
      <c r="AS1056" s="24">
        <v>45707.394258831016</v>
      </c>
      <c r="AX1056" s="24"/>
      <c r="AY1056" s="24"/>
      <c r="AZ1056" s="24"/>
      <c r="BA1056" s="24"/>
      <c r="BC1056" s="24"/>
      <c r="BD1056" s="24"/>
      <c r="BE1056" s="24"/>
      <c r="BF1056" s="24"/>
      <c r="BH1056" s="24">
        <v>45721.491987696761</v>
      </c>
      <c r="BI1056" s="24">
        <v>45707.394258831016</v>
      </c>
      <c r="BJ1056" s="24">
        <v>45708.60264138889</v>
      </c>
      <c r="BK1056" s="24">
        <v>45708.60264138889</v>
      </c>
      <c r="BL1056">
        <v>2</v>
      </c>
      <c r="BM1056" s="24"/>
      <c r="BN1056" s="24"/>
      <c r="BO1056" s="24"/>
      <c r="BP1056" s="24"/>
      <c r="BR1056" s="24"/>
      <c r="BS1056" s="24"/>
      <c r="BT1056" s="24"/>
      <c r="BU1056" s="24"/>
      <c r="BW1056" s="24"/>
      <c r="BX1056" s="24"/>
      <c r="BY1056" s="24"/>
      <c r="BZ1056" s="24"/>
      <c r="CB1056" s="24"/>
      <c r="CC1056" s="24"/>
      <c r="CE1056" s="24"/>
      <c r="CF1056" s="24"/>
      <c r="CH1056" s="24"/>
      <c r="CI1056" s="24"/>
      <c r="CJ1056" s="24"/>
      <c r="CK1056" s="24"/>
      <c r="DE1056" s="24"/>
      <c r="DF1056" s="24"/>
      <c r="DG1056" s="24"/>
      <c r="DH1056" s="24"/>
      <c r="DJ1056" t="s">
        <v>149</v>
      </c>
      <c r="DK1056" t="s">
        <v>149</v>
      </c>
      <c r="DO1056">
        <v>452</v>
      </c>
      <c r="DP1056">
        <v>439</v>
      </c>
      <c r="DQ1056" t="s">
        <v>1001</v>
      </c>
      <c r="DR1056" t="s">
        <v>149</v>
      </c>
      <c r="DS1056" s="24">
        <v>46160.384426226854</v>
      </c>
    </row>
    <row r="1057" spans="1:123" x14ac:dyDescent="0.3">
      <c r="A1057" t="s">
        <v>1540</v>
      </c>
      <c r="D1057" t="s">
        <v>225</v>
      </c>
      <c r="E1057" s="24">
        <v>45680.407488425924</v>
      </c>
      <c r="G1057" t="s">
        <v>90</v>
      </c>
      <c r="H1057" t="s">
        <v>155</v>
      </c>
      <c r="I1057" s="24"/>
      <c r="J1057" s="24"/>
      <c r="K1057" s="24"/>
      <c r="L1057" s="24"/>
      <c r="N1057" s="24">
        <v>45698.447131215275</v>
      </c>
      <c r="O1057" s="24">
        <v>45698.447131215275</v>
      </c>
      <c r="P1057" s="24">
        <v>45705.570728171297</v>
      </c>
      <c r="Q1057" s="24">
        <v>45705.570728171297</v>
      </c>
      <c r="R1057">
        <v>1</v>
      </c>
      <c r="V1057" s="24"/>
      <c r="W1057" s="24"/>
      <c r="X1057" s="24"/>
      <c r="Y1057" s="24"/>
      <c r="AA1057" s="24">
        <v>45705.570728171297</v>
      </c>
      <c r="AB1057" s="24">
        <v>45691.405069247689</v>
      </c>
      <c r="AC1057" s="24">
        <v>45698.447131215275</v>
      </c>
      <c r="AD1057" s="24">
        <v>45716.446414363425</v>
      </c>
      <c r="AE1057">
        <v>2</v>
      </c>
      <c r="AF1057" s="24">
        <v>45716.446414363425</v>
      </c>
      <c r="AG1057" s="24">
        <v>45716.446414363425</v>
      </c>
      <c r="AH1057" s="24">
        <v>45719.524898692129</v>
      </c>
      <c r="AI1057" s="24">
        <v>45719.524898692129</v>
      </c>
      <c r="AJ1057">
        <v>1</v>
      </c>
      <c r="AK1057" s="24">
        <v>45719.524898692129</v>
      </c>
      <c r="AL1057" s="24">
        <v>45719.524898692129</v>
      </c>
      <c r="AM1057" s="24">
        <v>45719.525052500001</v>
      </c>
      <c r="AN1057" s="24">
        <v>45719.525052500001</v>
      </c>
      <c r="AO1057">
        <v>1</v>
      </c>
      <c r="AP1057" s="24"/>
      <c r="AQ1057" s="24"/>
      <c r="AR1057" s="24">
        <v>45691.404018657406</v>
      </c>
      <c r="AS1057" s="24">
        <v>45691.404018657406</v>
      </c>
      <c r="AX1057" s="24"/>
      <c r="AY1057" s="24"/>
      <c r="AZ1057" s="24"/>
      <c r="BA1057" s="24"/>
      <c r="BC1057" s="24">
        <v>45719.525229074075</v>
      </c>
      <c r="BD1057" s="24">
        <v>45719.525229074075</v>
      </c>
      <c r="BE1057" s="24">
        <v>45898.301047152781</v>
      </c>
      <c r="BF1057" s="24">
        <v>45898.301047152781</v>
      </c>
      <c r="BG1057">
        <v>1</v>
      </c>
      <c r="BH1057" s="24">
        <v>45691.404018657406</v>
      </c>
      <c r="BI1057" s="24">
        <v>45691.404018657406</v>
      </c>
      <c r="BJ1057" s="24">
        <v>45691.405069247689</v>
      </c>
      <c r="BK1057" s="24">
        <v>45691.405069247689</v>
      </c>
      <c r="BL1057">
        <v>1</v>
      </c>
      <c r="BM1057" s="24"/>
      <c r="BN1057" s="24"/>
      <c r="BO1057" s="24"/>
      <c r="BP1057" s="24"/>
      <c r="BR1057" s="24">
        <v>45719.525052500001</v>
      </c>
      <c r="BS1057" s="24">
        <v>45719.525052500001</v>
      </c>
      <c r="BT1057" s="24">
        <v>45719.525229074075</v>
      </c>
      <c r="BU1057" s="24">
        <v>45719.525229074075</v>
      </c>
      <c r="BV1057">
        <v>1</v>
      </c>
      <c r="BW1057" s="24"/>
      <c r="BX1057" s="24"/>
      <c r="BY1057" s="24"/>
      <c r="BZ1057" s="24"/>
      <c r="CB1057" s="24"/>
      <c r="CC1057" s="24"/>
      <c r="CE1057" s="24">
        <v>45898.301047152781</v>
      </c>
      <c r="CF1057" s="24">
        <v>45898.301047152781</v>
      </c>
      <c r="CG1057">
        <v>1</v>
      </c>
      <c r="CH1057" s="24"/>
      <c r="CI1057" s="24"/>
      <c r="CJ1057" s="24"/>
      <c r="CK1057" s="24"/>
      <c r="DE1057" s="24"/>
      <c r="DF1057" s="24"/>
      <c r="DG1057" s="24"/>
      <c r="DH1057" s="24"/>
      <c r="DJ1057" t="s">
        <v>149</v>
      </c>
      <c r="DK1057" t="s">
        <v>149</v>
      </c>
      <c r="DL1057">
        <v>7.1235968749999996</v>
      </c>
      <c r="DM1057">
        <v>207</v>
      </c>
      <c r="DN1057">
        <v>207</v>
      </c>
      <c r="DQ1057" t="s">
        <v>1001</v>
      </c>
      <c r="DR1057" t="s">
        <v>149</v>
      </c>
      <c r="DS1057" s="24">
        <v>46160.384426226854</v>
      </c>
    </row>
    <row r="1058" spans="1:123" x14ac:dyDescent="0.3">
      <c r="A1058" t="s">
        <v>1541</v>
      </c>
      <c r="D1058" t="s">
        <v>225</v>
      </c>
      <c r="E1058" s="24">
        <v>45677.305254629631</v>
      </c>
      <c r="G1058" t="s">
        <v>102</v>
      </c>
      <c r="H1058" t="s">
        <v>154</v>
      </c>
      <c r="I1058" s="24"/>
      <c r="J1058" s="24"/>
      <c r="K1058" s="24"/>
      <c r="L1058" s="24"/>
      <c r="N1058" s="24"/>
      <c r="O1058" s="24"/>
      <c r="P1058" s="24"/>
      <c r="Q1058" s="24"/>
      <c r="V1058" s="24"/>
      <c r="W1058" s="24"/>
      <c r="X1058" s="24"/>
      <c r="Y1058" s="24"/>
      <c r="AA1058" s="24"/>
      <c r="AB1058" s="24"/>
      <c r="AC1058" s="24"/>
      <c r="AD1058" s="24"/>
      <c r="AF1058" s="24"/>
      <c r="AG1058" s="24"/>
      <c r="AH1058" s="24"/>
      <c r="AI1058" s="24"/>
      <c r="AK1058" s="24"/>
      <c r="AL1058" s="24"/>
      <c r="AM1058" s="24"/>
      <c r="AN1058" s="24"/>
      <c r="AP1058" s="24"/>
      <c r="AQ1058" s="24"/>
      <c r="AR1058" s="24"/>
      <c r="AS1058" s="24"/>
      <c r="AX1058" s="24"/>
      <c r="AY1058" s="24"/>
      <c r="AZ1058" s="24"/>
      <c r="BA1058" s="24"/>
      <c r="BC1058" s="24"/>
      <c r="BD1058" s="24"/>
      <c r="BE1058" s="24"/>
      <c r="BF1058" s="24"/>
      <c r="BH1058" s="24"/>
      <c r="BI1058" s="24"/>
      <c r="BJ1058" s="24"/>
      <c r="BK1058" s="24"/>
      <c r="BM1058" s="24"/>
      <c r="BN1058" s="24"/>
      <c r="BO1058" s="24"/>
      <c r="BP1058" s="24"/>
      <c r="BR1058" s="24"/>
      <c r="BS1058" s="24"/>
      <c r="BT1058" s="24"/>
      <c r="BU1058" s="24"/>
      <c r="BW1058" s="24"/>
      <c r="BX1058" s="24"/>
      <c r="BY1058" s="24"/>
      <c r="BZ1058" s="24"/>
      <c r="CB1058" s="24"/>
      <c r="CC1058" s="24"/>
      <c r="CE1058" s="24"/>
      <c r="CF1058" s="24"/>
      <c r="CH1058" s="24"/>
      <c r="CI1058" s="24"/>
      <c r="CJ1058" s="24"/>
      <c r="CK1058" s="24"/>
      <c r="DE1058" s="24"/>
      <c r="DF1058" s="24"/>
      <c r="DG1058" s="24"/>
      <c r="DH1058" s="24"/>
      <c r="DJ1058" t="s">
        <v>149</v>
      </c>
      <c r="DK1058" t="s">
        <v>149</v>
      </c>
      <c r="DQ1058" t="s">
        <v>1001</v>
      </c>
      <c r="DR1058" t="s">
        <v>149</v>
      </c>
      <c r="DS1058" s="24">
        <v>46160.384426226854</v>
      </c>
    </row>
    <row r="1059" spans="1:123" x14ac:dyDescent="0.3">
      <c r="A1059" t="s">
        <v>1542</v>
      </c>
      <c r="D1059" t="s">
        <v>225</v>
      </c>
      <c r="E1059" s="24">
        <v>45677.300694444442</v>
      </c>
      <c r="G1059" t="s">
        <v>102</v>
      </c>
      <c r="H1059" t="s">
        <v>154</v>
      </c>
      <c r="I1059" s="24"/>
      <c r="J1059" s="24"/>
      <c r="K1059" s="24"/>
      <c r="L1059" s="24"/>
      <c r="N1059" s="24"/>
      <c r="O1059" s="24"/>
      <c r="P1059" s="24"/>
      <c r="Q1059" s="24"/>
      <c r="V1059" s="24"/>
      <c r="W1059" s="24"/>
      <c r="X1059" s="24"/>
      <c r="Y1059" s="24"/>
      <c r="AA1059" s="24"/>
      <c r="AB1059" s="24"/>
      <c r="AC1059" s="24"/>
      <c r="AD1059" s="24"/>
      <c r="AF1059" s="24"/>
      <c r="AG1059" s="24"/>
      <c r="AH1059" s="24"/>
      <c r="AI1059" s="24"/>
      <c r="AK1059" s="24"/>
      <c r="AL1059" s="24"/>
      <c r="AM1059" s="24"/>
      <c r="AN1059" s="24"/>
      <c r="AP1059" s="24"/>
      <c r="AQ1059" s="24"/>
      <c r="AR1059" s="24"/>
      <c r="AS1059" s="24"/>
      <c r="AX1059" s="24"/>
      <c r="AY1059" s="24"/>
      <c r="AZ1059" s="24"/>
      <c r="BA1059" s="24"/>
      <c r="BC1059" s="24"/>
      <c r="BD1059" s="24"/>
      <c r="BE1059" s="24"/>
      <c r="BF1059" s="24"/>
      <c r="BH1059" s="24"/>
      <c r="BI1059" s="24"/>
      <c r="BJ1059" s="24"/>
      <c r="BK1059" s="24"/>
      <c r="BM1059" s="24"/>
      <c r="BN1059" s="24"/>
      <c r="BO1059" s="24"/>
      <c r="BP1059" s="24"/>
      <c r="BR1059" s="24"/>
      <c r="BS1059" s="24"/>
      <c r="BT1059" s="24"/>
      <c r="BU1059" s="24"/>
      <c r="BW1059" s="24"/>
      <c r="BX1059" s="24"/>
      <c r="BY1059" s="24"/>
      <c r="BZ1059" s="24"/>
      <c r="CB1059" s="24"/>
      <c r="CC1059" s="24"/>
      <c r="CE1059" s="24"/>
      <c r="CF1059" s="24"/>
      <c r="CH1059" s="24"/>
      <c r="CI1059" s="24"/>
      <c r="CJ1059" s="24"/>
      <c r="CK1059" s="24"/>
      <c r="DE1059" s="24"/>
      <c r="DF1059" s="24"/>
      <c r="DG1059" s="24"/>
      <c r="DH1059" s="24"/>
      <c r="DJ1059" t="s">
        <v>149</v>
      </c>
      <c r="DK1059" t="s">
        <v>149</v>
      </c>
      <c r="DQ1059" t="s">
        <v>1001</v>
      </c>
      <c r="DR1059" t="s">
        <v>149</v>
      </c>
      <c r="DS1059" s="24">
        <v>46160.384426226854</v>
      </c>
    </row>
    <row r="1060" spans="1:123" x14ac:dyDescent="0.3">
      <c r="A1060" t="s">
        <v>1543</v>
      </c>
      <c r="D1060" t="s">
        <v>225</v>
      </c>
      <c r="E1060" s="24">
        <v>45639.303333333337</v>
      </c>
      <c r="G1060" t="s">
        <v>107</v>
      </c>
      <c r="H1060" t="s">
        <v>154</v>
      </c>
      <c r="I1060" s="24"/>
      <c r="J1060" s="24"/>
      <c r="K1060" s="24"/>
      <c r="L1060" s="24"/>
      <c r="N1060" s="24"/>
      <c r="O1060" s="24"/>
      <c r="P1060" s="24"/>
      <c r="Q1060" s="24"/>
      <c r="V1060" s="24"/>
      <c r="W1060" s="24"/>
      <c r="X1060" s="24"/>
      <c r="Y1060" s="24"/>
      <c r="AA1060" s="24"/>
      <c r="AB1060" s="24"/>
      <c r="AC1060" s="24"/>
      <c r="AD1060" s="24"/>
      <c r="AF1060" s="24"/>
      <c r="AG1060" s="24"/>
      <c r="AH1060" s="24"/>
      <c r="AI1060" s="24"/>
      <c r="AK1060" s="24"/>
      <c r="AL1060" s="24"/>
      <c r="AM1060" s="24"/>
      <c r="AN1060" s="24"/>
      <c r="AP1060" s="24"/>
      <c r="AQ1060" s="24"/>
      <c r="AR1060" s="24">
        <v>45639.421739930556</v>
      </c>
      <c r="AS1060" s="24">
        <v>45639.421739930556</v>
      </c>
      <c r="AX1060" s="24"/>
      <c r="AY1060" s="24"/>
      <c r="AZ1060" s="24"/>
      <c r="BA1060" s="24"/>
      <c r="BC1060" s="24"/>
      <c r="BD1060" s="24"/>
      <c r="BE1060" s="24"/>
      <c r="BF1060" s="24"/>
      <c r="BH1060" s="24">
        <v>45639.421739930556</v>
      </c>
      <c r="BI1060" s="24">
        <v>45639.421739930556</v>
      </c>
      <c r="BJ1060" s="24"/>
      <c r="BK1060" s="24"/>
      <c r="BL1060">
        <v>1</v>
      </c>
      <c r="BM1060" s="24"/>
      <c r="BN1060" s="24"/>
      <c r="BO1060" s="24"/>
      <c r="BP1060" s="24"/>
      <c r="BR1060" s="24"/>
      <c r="BS1060" s="24"/>
      <c r="BT1060" s="24"/>
      <c r="BU1060" s="24"/>
      <c r="BW1060" s="24"/>
      <c r="BX1060" s="24"/>
      <c r="BY1060" s="24"/>
      <c r="BZ1060" s="24"/>
      <c r="CB1060" s="24"/>
      <c r="CC1060" s="24"/>
      <c r="CE1060" s="24"/>
      <c r="CF1060" s="24"/>
      <c r="CH1060" s="24"/>
      <c r="CI1060" s="24"/>
      <c r="CJ1060" s="24"/>
      <c r="CK1060" s="24"/>
      <c r="DE1060" s="24"/>
      <c r="DF1060" s="24"/>
      <c r="DG1060" s="24"/>
      <c r="DH1060" s="24"/>
      <c r="DJ1060" t="s">
        <v>149</v>
      </c>
      <c r="DK1060" t="s">
        <v>149</v>
      </c>
      <c r="DP1060">
        <v>521</v>
      </c>
      <c r="DQ1060" t="s">
        <v>1001</v>
      </c>
      <c r="DR1060" t="s">
        <v>149</v>
      </c>
      <c r="DS1060" s="24">
        <v>46160.384426226854</v>
      </c>
    </row>
    <row r="1061" spans="1:123" x14ac:dyDescent="0.3">
      <c r="A1061" t="s">
        <v>1544</v>
      </c>
      <c r="D1061" t="s">
        <v>225</v>
      </c>
      <c r="E1061" s="24">
        <v>45617.365972222222</v>
      </c>
      <c r="G1061" t="s">
        <v>107</v>
      </c>
      <c r="H1061" t="s">
        <v>154</v>
      </c>
      <c r="I1061" s="24"/>
      <c r="J1061" s="24"/>
      <c r="K1061" s="24"/>
      <c r="L1061" s="24"/>
      <c r="N1061" s="24"/>
      <c r="O1061" s="24"/>
      <c r="P1061" s="24"/>
      <c r="Q1061" s="24"/>
      <c r="V1061" s="24"/>
      <c r="W1061" s="24"/>
      <c r="X1061" s="24"/>
      <c r="Y1061" s="24"/>
      <c r="AA1061" s="24"/>
      <c r="AB1061" s="24"/>
      <c r="AC1061" s="24"/>
      <c r="AD1061" s="24"/>
      <c r="AF1061" s="24"/>
      <c r="AG1061" s="24"/>
      <c r="AH1061" s="24"/>
      <c r="AI1061" s="24"/>
      <c r="AK1061" s="24"/>
      <c r="AL1061" s="24"/>
      <c r="AM1061" s="24"/>
      <c r="AN1061" s="24"/>
      <c r="AP1061" s="24"/>
      <c r="AQ1061" s="24"/>
      <c r="AR1061" s="24">
        <v>45621.503390370373</v>
      </c>
      <c r="AS1061" s="24">
        <v>45621.503390370373</v>
      </c>
      <c r="AX1061" s="24"/>
      <c r="AY1061" s="24"/>
      <c r="AZ1061" s="24"/>
      <c r="BA1061" s="24"/>
      <c r="BC1061" s="24"/>
      <c r="BD1061" s="24"/>
      <c r="BE1061" s="24"/>
      <c r="BF1061" s="24"/>
      <c r="BH1061" s="24">
        <v>45621.503390370373</v>
      </c>
      <c r="BI1061" s="24">
        <v>45621.503390370373</v>
      </c>
      <c r="BJ1061" s="24"/>
      <c r="BK1061" s="24"/>
      <c r="BL1061">
        <v>1</v>
      </c>
      <c r="BM1061" s="24"/>
      <c r="BN1061" s="24"/>
      <c r="BO1061" s="24"/>
      <c r="BP1061" s="24"/>
      <c r="BR1061" s="24"/>
      <c r="BS1061" s="24"/>
      <c r="BT1061" s="24"/>
      <c r="BU1061" s="24"/>
      <c r="BW1061" s="24"/>
      <c r="BX1061" s="24"/>
      <c r="BY1061" s="24"/>
      <c r="BZ1061" s="24"/>
      <c r="CB1061" s="24"/>
      <c r="CC1061" s="24"/>
      <c r="CE1061" s="24"/>
      <c r="CF1061" s="24"/>
      <c r="CH1061" s="24"/>
      <c r="CI1061" s="24"/>
      <c r="CJ1061" s="24"/>
      <c r="CK1061" s="24"/>
      <c r="DE1061" s="24"/>
      <c r="DF1061" s="24"/>
      <c r="DG1061" s="24"/>
      <c r="DH1061" s="24"/>
      <c r="DJ1061" t="s">
        <v>149</v>
      </c>
      <c r="DK1061" t="s">
        <v>149</v>
      </c>
      <c r="DP1061">
        <v>539</v>
      </c>
      <c r="DQ1061" t="s">
        <v>1001</v>
      </c>
      <c r="DR1061" t="s">
        <v>149</v>
      </c>
      <c r="DS1061" s="24">
        <v>46160.384426226854</v>
      </c>
    </row>
    <row r="1062" spans="1:123" x14ac:dyDescent="0.3">
      <c r="A1062" t="s">
        <v>1545</v>
      </c>
      <c r="D1062" t="s">
        <v>223</v>
      </c>
      <c r="E1062" s="24">
        <v>45590.528124999997</v>
      </c>
      <c r="G1062" t="s">
        <v>107</v>
      </c>
      <c r="H1062" t="s">
        <v>154</v>
      </c>
      <c r="I1062" s="24"/>
      <c r="J1062" s="24"/>
      <c r="K1062" s="24"/>
      <c r="L1062" s="24"/>
      <c r="N1062" s="24"/>
      <c r="O1062" s="24"/>
      <c r="P1062" s="24"/>
      <c r="Q1062" s="24"/>
      <c r="V1062" s="24"/>
      <c r="W1062" s="24"/>
      <c r="X1062" s="24"/>
      <c r="Y1062" s="24"/>
      <c r="AA1062" s="24"/>
      <c r="AB1062" s="24"/>
      <c r="AC1062" s="24"/>
      <c r="AD1062" s="24"/>
      <c r="AF1062" s="24"/>
      <c r="AG1062" s="24"/>
      <c r="AH1062" s="24"/>
      <c r="AI1062" s="24"/>
      <c r="AK1062" s="24"/>
      <c r="AL1062" s="24"/>
      <c r="AM1062" s="24"/>
      <c r="AN1062" s="24"/>
      <c r="AP1062" s="24">
        <v>45639.311246574071</v>
      </c>
      <c r="AQ1062" s="24">
        <v>45639.311246574071</v>
      </c>
      <c r="AR1062" s="24">
        <v>45639.312394502318</v>
      </c>
      <c r="AS1062" s="24">
        <v>45639.312394502318</v>
      </c>
      <c r="AT1062">
        <v>1</v>
      </c>
      <c r="AX1062" s="24"/>
      <c r="AY1062" s="24"/>
      <c r="AZ1062" s="24"/>
      <c r="BA1062" s="24"/>
      <c r="BC1062" s="24"/>
      <c r="BD1062" s="24"/>
      <c r="BE1062" s="24"/>
      <c r="BF1062" s="24"/>
      <c r="BH1062" s="24">
        <v>45639.312394502318</v>
      </c>
      <c r="BI1062" s="24">
        <v>45639.312394502318</v>
      </c>
      <c r="BJ1062" s="24"/>
      <c r="BK1062" s="24"/>
      <c r="BL1062">
        <v>1</v>
      </c>
      <c r="BM1062" s="24"/>
      <c r="BN1062" s="24"/>
      <c r="BO1062" s="24"/>
      <c r="BP1062" s="24"/>
      <c r="BR1062" s="24"/>
      <c r="BS1062" s="24"/>
      <c r="BT1062" s="24"/>
      <c r="BU1062" s="24"/>
      <c r="BW1062" s="24"/>
      <c r="BX1062" s="24"/>
      <c r="BY1062" s="24"/>
      <c r="BZ1062" s="24"/>
      <c r="CB1062" s="24"/>
      <c r="CC1062" s="24"/>
      <c r="CE1062" s="24"/>
      <c r="CF1062" s="24"/>
      <c r="CH1062" s="24"/>
      <c r="CI1062" s="24"/>
      <c r="CJ1062" s="24"/>
      <c r="CK1062" s="24"/>
      <c r="DE1062" s="24"/>
      <c r="DF1062" s="24"/>
      <c r="DG1062" s="24"/>
      <c r="DH1062" s="24"/>
      <c r="DJ1062" t="s">
        <v>149</v>
      </c>
      <c r="DK1062" t="s">
        <v>149</v>
      </c>
      <c r="DP1062">
        <v>522</v>
      </c>
      <c r="DQ1062" t="s">
        <v>1001</v>
      </c>
      <c r="DR1062" t="s">
        <v>149</v>
      </c>
      <c r="DS1062" s="24">
        <v>46160.384426226854</v>
      </c>
    </row>
    <row r="1063" spans="1:123" x14ac:dyDescent="0.3">
      <c r="A1063" t="s">
        <v>1546</v>
      </c>
      <c r="D1063" t="s">
        <v>225</v>
      </c>
      <c r="E1063" s="24">
        <v>45579.416875000003</v>
      </c>
      <c r="G1063" t="s">
        <v>150</v>
      </c>
      <c r="H1063" t="s">
        <v>155</v>
      </c>
      <c r="I1063" s="24">
        <v>45737.444291736108</v>
      </c>
      <c r="J1063" s="24">
        <v>45737.444291736108</v>
      </c>
      <c r="K1063" s="24">
        <v>45992.599909432873</v>
      </c>
      <c r="L1063" s="24">
        <v>45992.599909432873</v>
      </c>
      <c r="M1063">
        <v>1</v>
      </c>
      <c r="N1063" s="24"/>
      <c r="O1063" s="24"/>
      <c r="P1063" s="24"/>
      <c r="Q1063" s="24"/>
      <c r="V1063" s="24"/>
      <c r="W1063" s="24"/>
      <c r="X1063" s="24"/>
      <c r="Y1063" s="24"/>
      <c r="AA1063" s="24">
        <v>45602.732592326392</v>
      </c>
      <c r="AB1063" s="24">
        <v>45602.732592326392</v>
      </c>
      <c r="AC1063" s="24">
        <v>45737.444291736108</v>
      </c>
      <c r="AD1063" s="24">
        <v>45737.444291736108</v>
      </c>
      <c r="AE1063">
        <v>1</v>
      </c>
      <c r="AF1063" s="24"/>
      <c r="AG1063" s="24"/>
      <c r="AH1063" s="24"/>
      <c r="AI1063" s="24"/>
      <c r="AK1063" s="24"/>
      <c r="AL1063" s="24"/>
      <c r="AM1063" s="24"/>
      <c r="AN1063" s="24"/>
      <c r="AP1063" s="24"/>
      <c r="AQ1063" s="24"/>
      <c r="AR1063" s="24">
        <v>45579.473836979167</v>
      </c>
      <c r="AS1063" s="24">
        <v>45579.473836979167</v>
      </c>
      <c r="AX1063" s="24"/>
      <c r="AY1063" s="24"/>
      <c r="AZ1063" s="24"/>
      <c r="BA1063" s="24"/>
      <c r="BC1063" s="24"/>
      <c r="BD1063" s="24"/>
      <c r="BE1063" s="24"/>
      <c r="BF1063" s="24"/>
      <c r="BH1063" s="24">
        <v>45579.473836979167</v>
      </c>
      <c r="BI1063" s="24">
        <v>45579.473836979167</v>
      </c>
      <c r="BJ1063" s="24">
        <v>45602.732592326392</v>
      </c>
      <c r="BK1063" s="24">
        <v>45602.732592326392</v>
      </c>
      <c r="BL1063">
        <v>1</v>
      </c>
      <c r="BM1063" s="24"/>
      <c r="BN1063" s="24"/>
      <c r="BO1063" s="24"/>
      <c r="BP1063" s="24"/>
      <c r="BR1063" s="24"/>
      <c r="BS1063" s="24"/>
      <c r="BT1063" s="24"/>
      <c r="BU1063" s="24"/>
      <c r="BW1063" s="24"/>
      <c r="BX1063" s="24"/>
      <c r="BY1063" s="24"/>
      <c r="BZ1063" s="24"/>
      <c r="CB1063" s="24">
        <v>45992.599909432873</v>
      </c>
      <c r="CC1063" s="24">
        <v>45992.599909432873</v>
      </c>
      <c r="CD1063">
        <v>1</v>
      </c>
      <c r="CE1063" s="24"/>
      <c r="CF1063" s="24"/>
      <c r="CH1063" s="24"/>
      <c r="CI1063" s="24"/>
      <c r="CJ1063" s="24"/>
      <c r="CK1063" s="24"/>
      <c r="DE1063" s="24"/>
      <c r="DF1063" s="24"/>
      <c r="DG1063" s="24"/>
      <c r="DH1063" s="24"/>
      <c r="DJ1063" t="s">
        <v>149</v>
      </c>
      <c r="DK1063" t="s">
        <v>149</v>
      </c>
      <c r="DQ1063" t="s">
        <v>1001</v>
      </c>
      <c r="DR1063" t="s">
        <v>149</v>
      </c>
      <c r="DS1063" s="24">
        <v>46160.384426226854</v>
      </c>
    </row>
    <row r="1064" spans="1:123" x14ac:dyDescent="0.3">
      <c r="A1064" t="s">
        <v>1547</v>
      </c>
      <c r="D1064" t="s">
        <v>225</v>
      </c>
      <c r="E1064" s="24">
        <v>45523.433194444442</v>
      </c>
      <c r="G1064" t="s">
        <v>90</v>
      </c>
      <c r="H1064" t="s">
        <v>155</v>
      </c>
      <c r="I1064" s="24"/>
      <c r="J1064" s="24"/>
      <c r="K1064" s="24"/>
      <c r="L1064" s="24"/>
      <c r="N1064" s="24"/>
      <c r="O1064" s="24"/>
      <c r="P1064" s="24"/>
      <c r="Q1064" s="24"/>
      <c r="V1064" s="24"/>
      <c r="W1064" s="24"/>
      <c r="X1064" s="24"/>
      <c r="Y1064" s="24"/>
      <c r="AA1064" s="24">
        <v>45762.969221851854</v>
      </c>
      <c r="AB1064" s="24">
        <v>45720.383346388888</v>
      </c>
      <c r="AC1064" s="24">
        <v>45720.411109097222</v>
      </c>
      <c r="AD1064" s="24">
        <v>45763.447240185182</v>
      </c>
      <c r="AE1064">
        <v>2</v>
      </c>
      <c r="AF1064" s="24">
        <v>45763.447240185182</v>
      </c>
      <c r="AG1064" s="24">
        <v>45720.411109097222</v>
      </c>
      <c r="AH1064" s="24">
        <v>45721.453575243053</v>
      </c>
      <c r="AI1064" s="24">
        <v>45763.447309537034</v>
      </c>
      <c r="AJ1064">
        <v>2</v>
      </c>
      <c r="AK1064" s="24">
        <v>45763.447309537034</v>
      </c>
      <c r="AL1064" s="24">
        <v>45721.453575243053</v>
      </c>
      <c r="AM1064" s="24">
        <v>45721.453684537038</v>
      </c>
      <c r="AN1064" s="24">
        <v>45763.447355138887</v>
      </c>
      <c r="AO1064">
        <v>2</v>
      </c>
      <c r="AP1064" s="24"/>
      <c r="AQ1064" s="24"/>
      <c r="AR1064" s="24">
        <v>45523.530108749997</v>
      </c>
      <c r="AS1064" s="24">
        <v>45523.530108749997</v>
      </c>
      <c r="AX1064" s="24"/>
      <c r="AY1064" s="24"/>
      <c r="AZ1064" s="24"/>
      <c r="BA1064" s="24"/>
      <c r="BC1064" s="24">
        <v>45763.447794872685</v>
      </c>
      <c r="BD1064" s="24">
        <v>45763.447794872685</v>
      </c>
      <c r="BE1064" s="24">
        <v>45947.703382500003</v>
      </c>
      <c r="BF1064" s="24">
        <v>45947.703382500003</v>
      </c>
      <c r="BG1064">
        <v>1</v>
      </c>
      <c r="BH1064" s="24">
        <v>45523.530108749997</v>
      </c>
      <c r="BI1064" s="24">
        <v>45523.530108749997</v>
      </c>
      <c r="BJ1064" s="24">
        <v>45720.383346388888</v>
      </c>
      <c r="BK1064" s="24">
        <v>45720.383346388888</v>
      </c>
      <c r="BL1064">
        <v>1</v>
      </c>
      <c r="BM1064" s="24"/>
      <c r="BN1064" s="24"/>
      <c r="BO1064" s="24"/>
      <c r="BP1064" s="24"/>
      <c r="BR1064" s="24">
        <v>45763.447355138887</v>
      </c>
      <c r="BS1064" s="24">
        <v>45721.453684537038</v>
      </c>
      <c r="BT1064" s="24">
        <v>45762.969221851854</v>
      </c>
      <c r="BU1064" s="24">
        <v>45763.447794872685</v>
      </c>
      <c r="BV1064">
        <v>2</v>
      </c>
      <c r="BW1064" s="24"/>
      <c r="BX1064" s="24"/>
      <c r="BY1064" s="24"/>
      <c r="BZ1064" s="24"/>
      <c r="CB1064" s="24"/>
      <c r="CC1064" s="24"/>
      <c r="CE1064" s="24">
        <v>45947.703382500003</v>
      </c>
      <c r="CF1064" s="24">
        <v>45947.703382500003</v>
      </c>
      <c r="CG1064">
        <v>1</v>
      </c>
      <c r="CH1064" s="24"/>
      <c r="CI1064" s="24"/>
      <c r="CJ1064" s="24"/>
      <c r="CK1064" s="24"/>
      <c r="DE1064" s="24"/>
      <c r="DF1064" s="24"/>
      <c r="DG1064" s="24"/>
      <c r="DH1064" s="24"/>
      <c r="DJ1064" t="s">
        <v>149</v>
      </c>
      <c r="DK1064" t="s">
        <v>149</v>
      </c>
      <c r="DM1064">
        <v>425</v>
      </c>
      <c r="DN1064">
        <v>228</v>
      </c>
      <c r="DQ1064" t="s">
        <v>1001</v>
      </c>
      <c r="DR1064" t="s">
        <v>149</v>
      </c>
      <c r="DS1064" s="24">
        <v>46160.384426226854</v>
      </c>
    </row>
    <row r="1065" spans="1:123" x14ac:dyDescent="0.3">
      <c r="A1065" t="s">
        <v>1548</v>
      </c>
      <c r="D1065" t="s">
        <v>223</v>
      </c>
      <c r="E1065" s="24">
        <v>45519.478449074071</v>
      </c>
      <c r="G1065" t="s">
        <v>107</v>
      </c>
      <c r="H1065" t="s">
        <v>154</v>
      </c>
      <c r="I1065" s="24"/>
      <c r="J1065" s="24"/>
      <c r="K1065" s="24"/>
      <c r="L1065" s="24"/>
      <c r="N1065" s="24"/>
      <c r="O1065" s="24"/>
      <c r="P1065" s="24"/>
      <c r="Q1065" s="24"/>
      <c r="V1065" s="24"/>
      <c r="W1065" s="24"/>
      <c r="X1065" s="24"/>
      <c r="Y1065" s="24"/>
      <c r="AA1065" s="24"/>
      <c r="AB1065" s="24"/>
      <c r="AC1065" s="24"/>
      <c r="AD1065" s="24"/>
      <c r="AF1065" s="24"/>
      <c r="AG1065" s="24"/>
      <c r="AH1065" s="24"/>
      <c r="AI1065" s="24"/>
      <c r="AK1065" s="24"/>
      <c r="AL1065" s="24"/>
      <c r="AM1065" s="24"/>
      <c r="AN1065" s="24"/>
      <c r="AP1065" s="24"/>
      <c r="AQ1065" s="24"/>
      <c r="AR1065" s="24">
        <v>45523.582375416663</v>
      </c>
      <c r="AS1065" s="24">
        <v>45523.582375416663</v>
      </c>
      <c r="AX1065" s="24"/>
      <c r="AY1065" s="24"/>
      <c r="AZ1065" s="24"/>
      <c r="BA1065" s="24"/>
      <c r="BC1065" s="24"/>
      <c r="BD1065" s="24"/>
      <c r="BE1065" s="24"/>
      <c r="BF1065" s="24"/>
      <c r="BH1065" s="24">
        <v>45523.582375416663</v>
      </c>
      <c r="BI1065" s="24">
        <v>45523.582375416663</v>
      </c>
      <c r="BJ1065" s="24"/>
      <c r="BK1065" s="24"/>
      <c r="BL1065">
        <v>1</v>
      </c>
      <c r="BM1065" s="24"/>
      <c r="BN1065" s="24"/>
      <c r="BO1065" s="24"/>
      <c r="BP1065" s="24"/>
      <c r="BR1065" s="24"/>
      <c r="BS1065" s="24"/>
      <c r="BT1065" s="24"/>
      <c r="BU1065" s="24"/>
      <c r="BW1065" s="24"/>
      <c r="BX1065" s="24"/>
      <c r="BY1065" s="24"/>
      <c r="BZ1065" s="24"/>
      <c r="CB1065" s="24"/>
      <c r="CC1065" s="24"/>
      <c r="CE1065" s="24"/>
      <c r="CF1065" s="24"/>
      <c r="CH1065" s="24"/>
      <c r="CI1065" s="24"/>
      <c r="CJ1065" s="24"/>
      <c r="CK1065" s="24"/>
      <c r="DE1065" s="24"/>
      <c r="DF1065" s="24"/>
      <c r="DG1065" s="24"/>
      <c r="DH1065" s="24"/>
      <c r="DJ1065" t="s">
        <v>149</v>
      </c>
      <c r="DK1065" t="s">
        <v>149</v>
      </c>
      <c r="DP1065">
        <v>637</v>
      </c>
      <c r="DQ1065" t="s">
        <v>1001</v>
      </c>
      <c r="DR1065" t="s">
        <v>149</v>
      </c>
      <c r="DS1065" s="24">
        <v>46160.384426226854</v>
      </c>
    </row>
    <row r="1066" spans="1:123" x14ac:dyDescent="0.3">
      <c r="A1066" t="s">
        <v>1549</v>
      </c>
      <c r="D1066" t="s">
        <v>225</v>
      </c>
      <c r="E1066" s="24">
        <v>45519.475451388891</v>
      </c>
      <c r="G1066" t="s">
        <v>107</v>
      </c>
      <c r="H1066" t="s">
        <v>154</v>
      </c>
      <c r="I1066" s="24"/>
      <c r="J1066" s="24"/>
      <c r="K1066" s="24"/>
      <c r="L1066" s="24"/>
      <c r="N1066" s="24"/>
      <c r="O1066" s="24"/>
      <c r="P1066" s="24"/>
      <c r="Q1066" s="24"/>
      <c r="V1066" s="24"/>
      <c r="W1066" s="24"/>
      <c r="X1066" s="24"/>
      <c r="Y1066" s="24"/>
      <c r="AA1066" s="24"/>
      <c r="AB1066" s="24"/>
      <c r="AC1066" s="24"/>
      <c r="AD1066" s="24"/>
      <c r="AF1066" s="24"/>
      <c r="AG1066" s="24"/>
      <c r="AH1066" s="24"/>
      <c r="AI1066" s="24"/>
      <c r="AK1066" s="24"/>
      <c r="AL1066" s="24"/>
      <c r="AM1066" s="24"/>
      <c r="AN1066" s="24"/>
      <c r="AP1066" s="24"/>
      <c r="AQ1066" s="24"/>
      <c r="AR1066" s="24">
        <v>45917.484292326386</v>
      </c>
      <c r="AS1066" s="24">
        <v>45917.484292326386</v>
      </c>
      <c r="AX1066" s="24"/>
      <c r="AY1066" s="24"/>
      <c r="AZ1066" s="24"/>
      <c r="BA1066" s="24"/>
      <c r="BC1066" s="24"/>
      <c r="BD1066" s="24"/>
      <c r="BE1066" s="24"/>
      <c r="BF1066" s="24"/>
      <c r="BH1066" s="24">
        <v>45917.484292326386</v>
      </c>
      <c r="BI1066" s="24">
        <v>45917.484292326386</v>
      </c>
      <c r="BJ1066" s="24"/>
      <c r="BK1066" s="24"/>
      <c r="BL1066">
        <v>1</v>
      </c>
      <c r="BM1066" s="24"/>
      <c r="BN1066" s="24"/>
      <c r="BO1066" s="24"/>
      <c r="BP1066" s="24"/>
      <c r="BR1066" s="24"/>
      <c r="BS1066" s="24"/>
      <c r="BT1066" s="24"/>
      <c r="BU1066" s="24"/>
      <c r="BW1066" s="24"/>
      <c r="BX1066" s="24"/>
      <c r="BY1066" s="24"/>
      <c r="BZ1066" s="24"/>
      <c r="CB1066" s="24"/>
      <c r="CC1066" s="24"/>
      <c r="CE1066" s="24"/>
      <c r="CF1066" s="24"/>
      <c r="CH1066" s="24"/>
      <c r="CI1066" s="24"/>
      <c r="CJ1066" s="24"/>
      <c r="CK1066" s="24"/>
      <c r="DE1066" s="24"/>
      <c r="DF1066" s="24"/>
      <c r="DG1066" s="24"/>
      <c r="DH1066" s="24"/>
      <c r="DJ1066" t="s">
        <v>149</v>
      </c>
      <c r="DK1066" t="s">
        <v>149</v>
      </c>
      <c r="DP1066">
        <v>243</v>
      </c>
      <c r="DQ1066" t="s">
        <v>1001</v>
      </c>
      <c r="DR1066" t="s">
        <v>149</v>
      </c>
      <c r="DS1066" s="24">
        <v>46160.384426226854</v>
      </c>
    </row>
    <row r="1067" spans="1:123" x14ac:dyDescent="0.3">
      <c r="A1067" t="s">
        <v>1550</v>
      </c>
      <c r="D1067" t="s">
        <v>225</v>
      </c>
      <c r="E1067" s="24">
        <v>45519.467962962961</v>
      </c>
      <c r="G1067" t="s">
        <v>90</v>
      </c>
      <c r="H1067" t="s">
        <v>155</v>
      </c>
      <c r="I1067" s="24"/>
      <c r="J1067" s="24"/>
      <c r="K1067" s="24"/>
      <c r="L1067" s="24"/>
      <c r="N1067" s="24"/>
      <c r="O1067" s="24"/>
      <c r="P1067" s="24"/>
      <c r="Q1067" s="24"/>
      <c r="V1067" s="24"/>
      <c r="W1067" s="24"/>
      <c r="X1067" s="24"/>
      <c r="Y1067" s="24"/>
      <c r="AA1067" s="24">
        <v>45524.451023020833</v>
      </c>
      <c r="AB1067" s="24">
        <v>45524.451023020833</v>
      </c>
      <c r="AC1067" s="24">
        <v>45532.62543861111</v>
      </c>
      <c r="AD1067" s="24">
        <v>45532.62543861111</v>
      </c>
      <c r="AE1067">
        <v>1</v>
      </c>
      <c r="AF1067" s="24">
        <v>45532.62543861111</v>
      </c>
      <c r="AG1067" s="24">
        <v>45532.62543861111</v>
      </c>
      <c r="AH1067" s="24">
        <v>45533.604095173614</v>
      </c>
      <c r="AI1067" s="24">
        <v>45533.604095173614</v>
      </c>
      <c r="AJ1067">
        <v>1</v>
      </c>
      <c r="AK1067" s="24">
        <v>45533.604095173614</v>
      </c>
      <c r="AL1067" s="24">
        <v>45533.604095173614</v>
      </c>
      <c r="AM1067" s="24">
        <v>45537.440747905093</v>
      </c>
      <c r="AN1067" s="24">
        <v>45537.440747905093</v>
      </c>
      <c r="AO1067">
        <v>1</v>
      </c>
      <c r="AP1067" s="24"/>
      <c r="AQ1067" s="24"/>
      <c r="AR1067" s="24">
        <v>45523.582736956021</v>
      </c>
      <c r="AS1067" s="24">
        <v>45523.582736956021</v>
      </c>
      <c r="AX1067" s="24"/>
      <c r="AY1067" s="24"/>
      <c r="AZ1067" s="24"/>
      <c r="BA1067" s="24"/>
      <c r="BC1067" s="24">
        <v>45537.440883113428</v>
      </c>
      <c r="BD1067" s="24">
        <v>45537.440883113428</v>
      </c>
      <c r="BE1067" s="24">
        <v>45898.301054212963</v>
      </c>
      <c r="BF1067" s="24">
        <v>45898.301054212963</v>
      </c>
      <c r="BG1067">
        <v>1</v>
      </c>
      <c r="BH1067" s="24">
        <v>45523.582736956021</v>
      </c>
      <c r="BI1067" s="24">
        <v>45523.582736956021</v>
      </c>
      <c r="BJ1067" s="24">
        <v>45524.451023020833</v>
      </c>
      <c r="BK1067" s="24">
        <v>45524.451023020833</v>
      </c>
      <c r="BL1067">
        <v>1</v>
      </c>
      <c r="BM1067" s="24"/>
      <c r="BN1067" s="24"/>
      <c r="BO1067" s="24"/>
      <c r="BP1067" s="24"/>
      <c r="BR1067" s="24">
        <v>45537.440747905093</v>
      </c>
      <c r="BS1067" s="24">
        <v>45537.440747905093</v>
      </c>
      <c r="BT1067" s="24">
        <v>45537.440883113428</v>
      </c>
      <c r="BU1067" s="24">
        <v>45537.440883113428</v>
      </c>
      <c r="BV1067">
        <v>1</v>
      </c>
      <c r="BW1067" s="24"/>
      <c r="BX1067" s="24"/>
      <c r="BY1067" s="24"/>
      <c r="BZ1067" s="24"/>
      <c r="CB1067" s="24"/>
      <c r="CC1067" s="24"/>
      <c r="CE1067" s="24">
        <v>45898.301054212963</v>
      </c>
      <c r="CF1067" s="24">
        <v>45898.301054212963</v>
      </c>
      <c r="CG1067">
        <v>1</v>
      </c>
      <c r="CH1067" s="24"/>
      <c r="CI1067" s="24"/>
      <c r="CJ1067" s="24"/>
      <c r="CK1067" s="24"/>
      <c r="DE1067" s="24"/>
      <c r="DF1067" s="24"/>
      <c r="DG1067" s="24"/>
      <c r="DH1067" s="24"/>
      <c r="DJ1067" t="s">
        <v>149</v>
      </c>
      <c r="DK1067" t="s">
        <v>149</v>
      </c>
      <c r="DM1067">
        <v>375</v>
      </c>
      <c r="DN1067">
        <v>374</v>
      </c>
      <c r="DQ1067" t="s">
        <v>1001</v>
      </c>
      <c r="DR1067" t="s">
        <v>149</v>
      </c>
      <c r="DS1067" s="24">
        <v>46160.384426226854</v>
      </c>
    </row>
    <row r="1068" spans="1:123" x14ac:dyDescent="0.3">
      <c r="A1068" t="s">
        <v>1551</v>
      </c>
      <c r="D1068" t="s">
        <v>223</v>
      </c>
      <c r="E1068" s="24">
        <v>45499.44902777778</v>
      </c>
      <c r="G1068" t="s">
        <v>150</v>
      </c>
      <c r="H1068" t="s">
        <v>155</v>
      </c>
      <c r="I1068" s="24">
        <v>45632.494226331015</v>
      </c>
      <c r="J1068" s="24">
        <v>45632.494226331015</v>
      </c>
      <c r="K1068" s="24">
        <v>45632.494338136574</v>
      </c>
      <c r="L1068" s="24">
        <v>45632.494338136574</v>
      </c>
      <c r="M1068">
        <v>1</v>
      </c>
      <c r="N1068" s="24"/>
      <c r="O1068" s="24"/>
      <c r="P1068" s="24"/>
      <c r="Q1068" s="24"/>
      <c r="V1068" s="24"/>
      <c r="W1068" s="24"/>
      <c r="X1068" s="24"/>
      <c r="Y1068" s="24"/>
      <c r="AA1068" s="24">
        <v>45502.740200891203</v>
      </c>
      <c r="AB1068" s="24">
        <v>45502.740200891203</v>
      </c>
      <c r="AC1068" s="24">
        <v>45632.494226331015</v>
      </c>
      <c r="AD1068" s="24">
        <v>45632.494226331015</v>
      </c>
      <c r="AE1068">
        <v>1</v>
      </c>
      <c r="AF1068" s="24"/>
      <c r="AG1068" s="24"/>
      <c r="AH1068" s="24"/>
      <c r="AI1068" s="24"/>
      <c r="AK1068" s="24"/>
      <c r="AL1068" s="24"/>
      <c r="AM1068" s="24"/>
      <c r="AN1068" s="24"/>
      <c r="AP1068" s="24"/>
      <c r="AQ1068" s="24"/>
      <c r="AR1068" s="24"/>
      <c r="AS1068" s="24"/>
      <c r="AX1068" s="24"/>
      <c r="AY1068" s="24"/>
      <c r="AZ1068" s="24"/>
      <c r="BA1068" s="24"/>
      <c r="BC1068" s="24"/>
      <c r="BD1068" s="24"/>
      <c r="BE1068" s="24"/>
      <c r="BF1068" s="24"/>
      <c r="BH1068" s="24">
        <v>45632.494338136574</v>
      </c>
      <c r="BI1068" s="24">
        <v>45632.494338136574</v>
      </c>
      <c r="BJ1068" s="24">
        <v>45992.601572106483</v>
      </c>
      <c r="BK1068" s="24">
        <v>45992.601572106483</v>
      </c>
      <c r="BL1068">
        <v>1</v>
      </c>
      <c r="BM1068" s="24"/>
      <c r="BN1068" s="24"/>
      <c r="BO1068" s="24"/>
      <c r="BP1068" s="24"/>
      <c r="BR1068" s="24"/>
      <c r="BS1068" s="24"/>
      <c r="BT1068" s="24"/>
      <c r="BU1068" s="24"/>
      <c r="BW1068" s="24"/>
      <c r="BX1068" s="24"/>
      <c r="BY1068" s="24"/>
      <c r="BZ1068" s="24"/>
      <c r="CB1068" s="24">
        <v>45992.601572106483</v>
      </c>
      <c r="CC1068" s="24">
        <v>45992.601572106483</v>
      </c>
      <c r="CD1068">
        <v>1</v>
      </c>
      <c r="CE1068" s="24"/>
      <c r="CF1068" s="24"/>
      <c r="CH1068" s="24"/>
      <c r="CI1068" s="24"/>
      <c r="CJ1068" s="24"/>
      <c r="CK1068" s="24"/>
      <c r="DE1068" s="24"/>
      <c r="DF1068" s="24"/>
      <c r="DG1068" s="24"/>
      <c r="DH1068" s="24"/>
      <c r="DJ1068" t="s">
        <v>149</v>
      </c>
      <c r="DK1068" t="s">
        <v>149</v>
      </c>
      <c r="DQ1068" t="s">
        <v>1001</v>
      </c>
      <c r="DR1068" t="s">
        <v>149</v>
      </c>
      <c r="DS1068" s="24">
        <v>46160.384426226854</v>
      </c>
    </row>
    <row r="1069" spans="1:123" x14ac:dyDescent="0.3">
      <c r="A1069" t="s">
        <v>1552</v>
      </c>
      <c r="D1069" t="s">
        <v>225</v>
      </c>
      <c r="E1069" s="24">
        <v>45477.489537037036</v>
      </c>
      <c r="G1069" t="s">
        <v>90</v>
      </c>
      <c r="H1069" t="s">
        <v>155</v>
      </c>
      <c r="I1069" s="24"/>
      <c r="J1069" s="24"/>
      <c r="K1069" s="24"/>
      <c r="L1069" s="24"/>
      <c r="N1069" s="24"/>
      <c r="O1069" s="24"/>
      <c r="P1069" s="24"/>
      <c r="Q1069" s="24"/>
      <c r="V1069" s="24"/>
      <c r="W1069" s="24"/>
      <c r="X1069" s="24"/>
      <c r="Y1069" s="24"/>
      <c r="AA1069" s="24">
        <v>45756.446120127315</v>
      </c>
      <c r="AB1069" s="24">
        <v>45756.446120127315</v>
      </c>
      <c r="AC1069" s="24">
        <v>45762.393825277781</v>
      </c>
      <c r="AD1069" s="24">
        <v>45762.393825277781</v>
      </c>
      <c r="AE1069">
        <v>1</v>
      </c>
      <c r="AF1069" s="24">
        <v>45762.393825277781</v>
      </c>
      <c r="AG1069" s="24">
        <v>45762.393825277781</v>
      </c>
      <c r="AH1069" s="24">
        <v>45763.414324513891</v>
      </c>
      <c r="AI1069" s="24">
        <v>45763.414324513891</v>
      </c>
      <c r="AJ1069">
        <v>1</v>
      </c>
      <c r="AK1069" s="24">
        <v>45763.414324513891</v>
      </c>
      <c r="AL1069" s="24">
        <v>45763.414324513891</v>
      </c>
      <c r="AM1069" s="24">
        <v>45775.55788266204</v>
      </c>
      <c r="AN1069" s="24">
        <v>45775.55788266204</v>
      </c>
      <c r="AO1069">
        <v>1</v>
      </c>
      <c r="AP1069" s="24"/>
      <c r="AQ1069" s="24"/>
      <c r="AR1069" s="24">
        <v>45749.475562650463</v>
      </c>
      <c r="AS1069" s="24">
        <v>45749.475562650463</v>
      </c>
      <c r="AX1069" s="24"/>
      <c r="AY1069" s="24"/>
      <c r="AZ1069" s="24"/>
      <c r="BA1069" s="24"/>
      <c r="BC1069" s="24">
        <v>45775.558000543984</v>
      </c>
      <c r="BD1069" s="24">
        <v>45775.558000543984</v>
      </c>
      <c r="BE1069" s="24">
        <v>45898.301055150463</v>
      </c>
      <c r="BF1069" s="24">
        <v>45898.301055150463</v>
      </c>
      <c r="BG1069">
        <v>1</v>
      </c>
      <c r="BH1069" s="24">
        <v>45749.475562650463</v>
      </c>
      <c r="BI1069" s="24">
        <v>45749.475562650463</v>
      </c>
      <c r="BJ1069" s="24">
        <v>45756.446120127315</v>
      </c>
      <c r="BK1069" s="24">
        <v>45756.446120127315</v>
      </c>
      <c r="BL1069">
        <v>1</v>
      </c>
      <c r="BM1069" s="24"/>
      <c r="BN1069" s="24"/>
      <c r="BO1069" s="24"/>
      <c r="BP1069" s="24"/>
      <c r="BR1069" s="24">
        <v>45775.55788266204</v>
      </c>
      <c r="BS1069" s="24">
        <v>45775.55788266204</v>
      </c>
      <c r="BT1069" s="24">
        <v>45775.558000543984</v>
      </c>
      <c r="BU1069" s="24">
        <v>45775.558000543984</v>
      </c>
      <c r="BV1069">
        <v>1</v>
      </c>
      <c r="BW1069" s="24"/>
      <c r="BX1069" s="24"/>
      <c r="BY1069" s="24"/>
      <c r="BZ1069" s="24"/>
      <c r="CB1069" s="24"/>
      <c r="CC1069" s="24"/>
      <c r="CE1069" s="24">
        <v>45898.301055150463</v>
      </c>
      <c r="CF1069" s="24">
        <v>45898.301055150463</v>
      </c>
      <c r="CG1069">
        <v>1</v>
      </c>
      <c r="CH1069" s="24"/>
      <c r="CI1069" s="24"/>
      <c r="CJ1069" s="24"/>
      <c r="CK1069" s="24"/>
      <c r="DE1069" s="24"/>
      <c r="DF1069" s="24"/>
      <c r="DG1069" s="24"/>
      <c r="DH1069" s="24"/>
      <c r="DJ1069" t="s">
        <v>149</v>
      </c>
      <c r="DK1069" t="s">
        <v>149</v>
      </c>
      <c r="DM1069">
        <v>149</v>
      </c>
      <c r="DN1069">
        <v>142</v>
      </c>
      <c r="DQ1069" t="s">
        <v>1001</v>
      </c>
      <c r="DR1069" t="s">
        <v>149</v>
      </c>
      <c r="DS1069" s="24">
        <v>46160.384426226854</v>
      </c>
    </row>
    <row r="1070" spans="1:123" x14ac:dyDescent="0.3">
      <c r="A1070" t="s">
        <v>1553</v>
      </c>
      <c r="D1070" t="s">
        <v>225</v>
      </c>
      <c r="E1070" s="24">
        <v>45476.482673611114</v>
      </c>
      <c r="G1070" t="s">
        <v>107</v>
      </c>
      <c r="H1070" t="s">
        <v>154</v>
      </c>
      <c r="I1070" s="24"/>
      <c r="J1070" s="24"/>
      <c r="K1070" s="24"/>
      <c r="L1070" s="24"/>
      <c r="N1070" s="24"/>
      <c r="O1070" s="24"/>
      <c r="P1070" s="24"/>
      <c r="Q1070" s="24"/>
      <c r="V1070" s="24"/>
      <c r="W1070" s="24"/>
      <c r="X1070" s="24"/>
      <c r="Y1070" s="24"/>
      <c r="AA1070" s="24"/>
      <c r="AB1070" s="24"/>
      <c r="AC1070" s="24"/>
      <c r="AD1070" s="24"/>
      <c r="AF1070" s="24"/>
      <c r="AG1070" s="24"/>
      <c r="AH1070" s="24"/>
      <c r="AI1070" s="24"/>
      <c r="AK1070" s="24"/>
      <c r="AL1070" s="24"/>
      <c r="AM1070" s="24"/>
      <c r="AN1070" s="24"/>
      <c r="AP1070" s="24"/>
      <c r="AQ1070" s="24"/>
      <c r="AR1070" s="24">
        <v>45495.590462129629</v>
      </c>
      <c r="AS1070" s="24">
        <v>45495.590462129629</v>
      </c>
      <c r="AX1070" s="24"/>
      <c r="AY1070" s="24"/>
      <c r="AZ1070" s="24"/>
      <c r="BA1070" s="24"/>
      <c r="BC1070" s="24"/>
      <c r="BD1070" s="24"/>
      <c r="BE1070" s="24"/>
      <c r="BF1070" s="24"/>
      <c r="BH1070" s="24">
        <v>45495.590462129629</v>
      </c>
      <c r="BI1070" s="24">
        <v>45495.590462129629</v>
      </c>
      <c r="BJ1070" s="24"/>
      <c r="BK1070" s="24"/>
      <c r="BL1070">
        <v>1</v>
      </c>
      <c r="BM1070" s="24"/>
      <c r="BN1070" s="24"/>
      <c r="BO1070" s="24"/>
      <c r="BP1070" s="24"/>
      <c r="BR1070" s="24"/>
      <c r="BS1070" s="24"/>
      <c r="BT1070" s="24"/>
      <c r="BU1070" s="24"/>
      <c r="BW1070" s="24"/>
      <c r="BX1070" s="24"/>
      <c r="BY1070" s="24"/>
      <c r="BZ1070" s="24"/>
      <c r="CB1070" s="24"/>
      <c r="CC1070" s="24"/>
      <c r="CE1070" s="24"/>
      <c r="CF1070" s="24"/>
      <c r="CH1070" s="24"/>
      <c r="CI1070" s="24"/>
      <c r="CJ1070" s="24"/>
      <c r="CK1070" s="24"/>
      <c r="DE1070" s="24"/>
      <c r="DF1070" s="24"/>
      <c r="DG1070" s="24"/>
      <c r="DH1070" s="24"/>
      <c r="DJ1070" t="s">
        <v>149</v>
      </c>
      <c r="DK1070" t="s">
        <v>149</v>
      </c>
      <c r="DP1070">
        <v>665</v>
      </c>
      <c r="DQ1070" t="s">
        <v>1001</v>
      </c>
      <c r="DR1070" t="s">
        <v>149</v>
      </c>
      <c r="DS1070" s="24">
        <v>46160.384426226854</v>
      </c>
    </row>
    <row r="1071" spans="1:123" x14ac:dyDescent="0.3">
      <c r="A1071" t="s">
        <v>1554</v>
      </c>
      <c r="D1071" t="s">
        <v>224</v>
      </c>
      <c r="E1071" s="24">
        <v>45467.637245370373</v>
      </c>
      <c r="G1071" t="s">
        <v>102</v>
      </c>
      <c r="H1071" t="s">
        <v>154</v>
      </c>
      <c r="I1071" s="24"/>
      <c r="J1071" s="24"/>
      <c r="K1071" s="24"/>
      <c r="L1071" s="24"/>
      <c r="N1071" s="24"/>
      <c r="O1071" s="24"/>
      <c r="P1071" s="24"/>
      <c r="Q1071" s="24"/>
      <c r="V1071" s="24"/>
      <c r="W1071" s="24"/>
      <c r="X1071" s="24"/>
      <c r="Y1071" s="24"/>
      <c r="AA1071" s="24"/>
      <c r="AB1071" s="24"/>
      <c r="AC1071" s="24"/>
      <c r="AD1071" s="24"/>
      <c r="AF1071" s="24"/>
      <c r="AG1071" s="24"/>
      <c r="AH1071" s="24"/>
      <c r="AI1071" s="24"/>
      <c r="AK1071" s="24"/>
      <c r="AL1071" s="24"/>
      <c r="AM1071" s="24"/>
      <c r="AN1071" s="24"/>
      <c r="AP1071" s="24"/>
      <c r="AQ1071" s="24"/>
      <c r="AR1071" s="24"/>
      <c r="AS1071" s="24"/>
      <c r="AX1071" s="24"/>
      <c r="AY1071" s="24"/>
      <c r="AZ1071" s="24"/>
      <c r="BA1071" s="24"/>
      <c r="BC1071" s="24"/>
      <c r="BD1071" s="24"/>
      <c r="BE1071" s="24"/>
      <c r="BF1071" s="24"/>
      <c r="BH1071" s="24"/>
      <c r="BI1071" s="24"/>
      <c r="BJ1071" s="24"/>
      <c r="BK1071" s="24"/>
      <c r="BM1071" s="24"/>
      <c r="BN1071" s="24"/>
      <c r="BO1071" s="24"/>
      <c r="BP1071" s="24"/>
      <c r="BR1071" s="24"/>
      <c r="BS1071" s="24"/>
      <c r="BT1071" s="24"/>
      <c r="BU1071" s="24"/>
      <c r="BW1071" s="24"/>
      <c r="BX1071" s="24"/>
      <c r="BY1071" s="24"/>
      <c r="BZ1071" s="24"/>
      <c r="CB1071" s="24"/>
      <c r="CC1071" s="24"/>
      <c r="CE1071" s="24"/>
      <c r="CF1071" s="24"/>
      <c r="CH1071" s="24"/>
      <c r="CI1071" s="24"/>
      <c r="CJ1071" s="24"/>
      <c r="CK1071" s="24"/>
      <c r="DE1071" s="24"/>
      <c r="DF1071" s="24"/>
      <c r="DG1071" s="24"/>
      <c r="DH1071" s="24"/>
      <c r="DJ1071" t="s">
        <v>149</v>
      </c>
      <c r="DK1071" t="s">
        <v>149</v>
      </c>
      <c r="DQ1071" t="s">
        <v>1001</v>
      </c>
      <c r="DR1071" t="s">
        <v>149</v>
      </c>
      <c r="DS1071" s="24">
        <v>46160.384426226854</v>
      </c>
    </row>
    <row r="1072" spans="1:123" x14ac:dyDescent="0.3">
      <c r="A1072" t="s">
        <v>1555</v>
      </c>
      <c r="D1072" t="s">
        <v>223</v>
      </c>
      <c r="E1072" s="24">
        <v>45467.45888888889</v>
      </c>
      <c r="G1072" t="s">
        <v>150</v>
      </c>
      <c r="H1072" t="s">
        <v>155</v>
      </c>
      <c r="I1072" s="24"/>
      <c r="J1072" s="24"/>
      <c r="K1072" s="24"/>
      <c r="L1072" s="24"/>
      <c r="N1072" s="24"/>
      <c r="O1072" s="24"/>
      <c r="P1072" s="24"/>
      <c r="Q1072" s="24"/>
      <c r="V1072" s="24"/>
      <c r="W1072" s="24"/>
      <c r="X1072" s="24"/>
      <c r="Y1072" s="24"/>
      <c r="AA1072" s="24"/>
      <c r="AB1072" s="24"/>
      <c r="AC1072" s="24"/>
      <c r="AD1072" s="24"/>
      <c r="AF1072" s="24"/>
      <c r="AG1072" s="24"/>
      <c r="AH1072" s="24"/>
      <c r="AI1072" s="24"/>
      <c r="AK1072" s="24"/>
      <c r="AL1072" s="24"/>
      <c r="AM1072" s="24"/>
      <c r="AN1072" s="24"/>
      <c r="AP1072" s="24"/>
      <c r="AQ1072" s="24"/>
      <c r="AR1072" s="24">
        <v>45467.460108587962</v>
      </c>
      <c r="AS1072" s="24">
        <v>45467.460108587962</v>
      </c>
      <c r="AX1072" s="24"/>
      <c r="AY1072" s="24"/>
      <c r="AZ1072" s="24"/>
      <c r="BA1072" s="24"/>
      <c r="BC1072" s="24"/>
      <c r="BD1072" s="24"/>
      <c r="BE1072" s="24"/>
      <c r="BF1072" s="24"/>
      <c r="BH1072" s="24"/>
      <c r="BI1072" s="24"/>
      <c r="BJ1072" s="24"/>
      <c r="BK1072" s="24"/>
      <c r="BM1072" s="24"/>
      <c r="BN1072" s="24"/>
      <c r="BO1072" s="24"/>
      <c r="BP1072" s="24"/>
      <c r="BR1072" s="24"/>
      <c r="BS1072" s="24"/>
      <c r="BT1072" s="24"/>
      <c r="BU1072" s="24"/>
      <c r="BW1072" s="24">
        <v>45467.460108587962</v>
      </c>
      <c r="BX1072" s="24">
        <v>45467.460108587962</v>
      </c>
      <c r="BY1072" s="24">
        <v>45992.595921655091</v>
      </c>
      <c r="BZ1072" s="24">
        <v>45992.595921655091</v>
      </c>
      <c r="CA1072">
        <v>1</v>
      </c>
      <c r="CB1072" s="24">
        <v>45992.595921655091</v>
      </c>
      <c r="CC1072" s="24">
        <v>45992.595921655091</v>
      </c>
      <c r="CD1072">
        <v>1</v>
      </c>
      <c r="CE1072" s="24"/>
      <c r="CF1072" s="24"/>
      <c r="CH1072" s="24"/>
      <c r="CI1072" s="24"/>
      <c r="CJ1072" s="24"/>
      <c r="CK1072" s="24"/>
      <c r="DE1072" s="24"/>
      <c r="DF1072" s="24"/>
      <c r="DG1072" s="24"/>
      <c r="DH1072" s="24"/>
      <c r="DJ1072" t="s">
        <v>149</v>
      </c>
      <c r="DK1072" t="s">
        <v>149</v>
      </c>
      <c r="DQ1072" t="s">
        <v>1001</v>
      </c>
      <c r="DR1072" t="s">
        <v>149</v>
      </c>
      <c r="DS1072" s="24">
        <v>46160.384426226854</v>
      </c>
    </row>
    <row r="1073" spans="1:123" x14ac:dyDescent="0.3">
      <c r="A1073" t="s">
        <v>1556</v>
      </c>
      <c r="D1073" t="s">
        <v>223</v>
      </c>
      <c r="E1073" s="24">
        <v>45463.641250000001</v>
      </c>
      <c r="G1073" t="s">
        <v>90</v>
      </c>
      <c r="H1073" t="s">
        <v>155</v>
      </c>
      <c r="I1073" s="24"/>
      <c r="J1073" s="24"/>
      <c r="K1073" s="24"/>
      <c r="L1073" s="24"/>
      <c r="N1073" s="24"/>
      <c r="O1073" s="24"/>
      <c r="P1073" s="24"/>
      <c r="Q1073" s="24"/>
      <c r="V1073" s="24"/>
      <c r="W1073" s="24"/>
      <c r="X1073" s="24"/>
      <c r="Y1073" s="24"/>
      <c r="AA1073" s="24">
        <v>46139.48272521991</v>
      </c>
      <c r="AB1073" s="24">
        <v>46139.48272521991</v>
      </c>
      <c r="AC1073" s="24">
        <v>46139.483120405093</v>
      </c>
      <c r="AD1073" s="24">
        <v>46139.483120405093</v>
      </c>
      <c r="AE1073">
        <v>1</v>
      </c>
      <c r="AF1073" s="24"/>
      <c r="AG1073" s="24"/>
      <c r="AH1073" s="24"/>
      <c r="AI1073" s="24"/>
      <c r="AK1073" s="24"/>
      <c r="AL1073" s="24"/>
      <c r="AM1073" s="24"/>
      <c r="AN1073" s="24"/>
      <c r="AP1073" s="24"/>
      <c r="AQ1073" s="24"/>
      <c r="AR1073" s="24">
        <v>45523.518106655094</v>
      </c>
      <c r="AS1073" s="24">
        <v>45523.518106655094</v>
      </c>
      <c r="AX1073" s="24"/>
      <c r="AY1073" s="24"/>
      <c r="AZ1073" s="24"/>
      <c r="BA1073" s="24"/>
      <c r="BC1073" s="24"/>
      <c r="BD1073" s="24"/>
      <c r="BE1073" s="24"/>
      <c r="BF1073" s="24"/>
      <c r="BH1073" s="24">
        <v>45523.518106655094</v>
      </c>
      <c r="BI1073" s="24">
        <v>45523.518106655094</v>
      </c>
      <c r="BJ1073" s="24">
        <v>46139.48272521991</v>
      </c>
      <c r="BK1073" s="24">
        <v>46139.48272521991</v>
      </c>
      <c r="BL1073">
        <v>1</v>
      </c>
      <c r="BM1073" s="24"/>
      <c r="BN1073" s="24"/>
      <c r="BO1073" s="24"/>
      <c r="BP1073" s="24"/>
      <c r="BR1073" s="24">
        <v>46139.483120405093</v>
      </c>
      <c r="BS1073" s="24">
        <v>46139.483120405093</v>
      </c>
      <c r="BT1073" s="24">
        <v>46139.483157476854</v>
      </c>
      <c r="BU1073" s="24">
        <v>46139.483157476854</v>
      </c>
      <c r="BV1073">
        <v>1</v>
      </c>
      <c r="BW1073" s="24"/>
      <c r="BX1073" s="24"/>
      <c r="BY1073" s="24"/>
      <c r="BZ1073" s="24"/>
      <c r="CB1073" s="24"/>
      <c r="CC1073" s="24"/>
      <c r="CE1073" s="24">
        <v>46139.483157476854</v>
      </c>
      <c r="CF1073" s="24">
        <v>46139.483157476854</v>
      </c>
      <c r="CG1073">
        <v>1</v>
      </c>
      <c r="CH1073" s="24"/>
      <c r="CI1073" s="24"/>
      <c r="CJ1073" s="24"/>
      <c r="CK1073" s="24"/>
      <c r="DE1073" s="24"/>
      <c r="DF1073" s="24"/>
      <c r="DG1073" s="24"/>
      <c r="DH1073" s="24"/>
      <c r="DJ1073" t="s">
        <v>149</v>
      </c>
      <c r="DK1073" t="s">
        <v>149</v>
      </c>
      <c r="DM1073">
        <v>616</v>
      </c>
      <c r="DN1073">
        <v>1</v>
      </c>
      <c r="DQ1073" t="s">
        <v>1001</v>
      </c>
      <c r="DR1073" t="s">
        <v>149</v>
      </c>
      <c r="DS1073" s="24">
        <v>46160.384426226854</v>
      </c>
    </row>
    <row r="1074" spans="1:123" x14ac:dyDescent="0.3">
      <c r="A1074" t="s">
        <v>1557</v>
      </c>
      <c r="D1074" t="s">
        <v>225</v>
      </c>
      <c r="E1074" s="24">
        <v>45463.637511574074</v>
      </c>
      <c r="G1074" t="s">
        <v>102</v>
      </c>
      <c r="H1074" t="s">
        <v>154</v>
      </c>
      <c r="I1074" s="24"/>
      <c r="J1074" s="24"/>
      <c r="K1074" s="24"/>
      <c r="L1074" s="24"/>
      <c r="N1074" s="24"/>
      <c r="O1074" s="24"/>
      <c r="P1074" s="24"/>
      <c r="Q1074" s="24"/>
      <c r="V1074" s="24"/>
      <c r="W1074" s="24"/>
      <c r="X1074" s="24"/>
      <c r="Y1074" s="24"/>
      <c r="AA1074" s="24"/>
      <c r="AB1074" s="24"/>
      <c r="AC1074" s="24"/>
      <c r="AD1074" s="24"/>
      <c r="AF1074" s="24"/>
      <c r="AG1074" s="24"/>
      <c r="AH1074" s="24"/>
      <c r="AI1074" s="24"/>
      <c r="AK1074" s="24"/>
      <c r="AL1074" s="24"/>
      <c r="AM1074" s="24"/>
      <c r="AN1074" s="24"/>
      <c r="AP1074" s="24"/>
      <c r="AQ1074" s="24"/>
      <c r="AR1074" s="24"/>
      <c r="AS1074" s="24"/>
      <c r="AX1074" s="24"/>
      <c r="AY1074" s="24"/>
      <c r="AZ1074" s="24"/>
      <c r="BA1074" s="24"/>
      <c r="BC1074" s="24"/>
      <c r="BD1074" s="24"/>
      <c r="BE1074" s="24"/>
      <c r="BF1074" s="24"/>
      <c r="BH1074" s="24"/>
      <c r="BI1074" s="24"/>
      <c r="BJ1074" s="24"/>
      <c r="BK1074" s="24"/>
      <c r="BM1074" s="24"/>
      <c r="BN1074" s="24"/>
      <c r="BO1074" s="24"/>
      <c r="BP1074" s="24"/>
      <c r="BR1074" s="24"/>
      <c r="BS1074" s="24"/>
      <c r="BT1074" s="24"/>
      <c r="BU1074" s="24"/>
      <c r="BW1074" s="24"/>
      <c r="BX1074" s="24"/>
      <c r="BY1074" s="24"/>
      <c r="BZ1074" s="24"/>
      <c r="CB1074" s="24"/>
      <c r="CC1074" s="24"/>
      <c r="CE1074" s="24"/>
      <c r="CF1074" s="24"/>
      <c r="CH1074" s="24"/>
      <c r="CI1074" s="24"/>
      <c r="CJ1074" s="24"/>
      <c r="CK1074" s="24"/>
      <c r="DE1074" s="24"/>
      <c r="DF1074" s="24"/>
      <c r="DG1074" s="24"/>
      <c r="DH1074" s="24"/>
      <c r="DJ1074" t="s">
        <v>149</v>
      </c>
      <c r="DK1074" t="s">
        <v>149</v>
      </c>
      <c r="DQ1074" t="s">
        <v>1001</v>
      </c>
      <c r="DR1074" t="s">
        <v>149</v>
      </c>
      <c r="DS1074" s="24">
        <v>46160.384426226854</v>
      </c>
    </row>
    <row r="1075" spans="1:123" x14ac:dyDescent="0.3">
      <c r="A1075" t="s">
        <v>1558</v>
      </c>
      <c r="D1075" t="s">
        <v>225</v>
      </c>
      <c r="E1075" s="24">
        <v>45463.634398148148</v>
      </c>
      <c r="G1075" t="s">
        <v>107</v>
      </c>
      <c r="H1075" t="s">
        <v>154</v>
      </c>
      <c r="I1075" s="24"/>
      <c r="J1075" s="24"/>
      <c r="K1075" s="24"/>
      <c r="L1075" s="24"/>
      <c r="N1075" s="24"/>
      <c r="O1075" s="24"/>
      <c r="P1075" s="24"/>
      <c r="Q1075" s="24"/>
      <c r="V1075" s="24"/>
      <c r="W1075" s="24"/>
      <c r="X1075" s="24"/>
      <c r="Y1075" s="24"/>
      <c r="AA1075" s="24"/>
      <c r="AB1075" s="24"/>
      <c r="AC1075" s="24"/>
      <c r="AD1075" s="24"/>
      <c r="AF1075" s="24"/>
      <c r="AG1075" s="24"/>
      <c r="AH1075" s="24"/>
      <c r="AI1075" s="24"/>
      <c r="AK1075" s="24"/>
      <c r="AL1075" s="24"/>
      <c r="AM1075" s="24"/>
      <c r="AN1075" s="24"/>
      <c r="AP1075" s="24"/>
      <c r="AQ1075" s="24"/>
      <c r="AR1075" s="24">
        <v>46142.657050000002</v>
      </c>
      <c r="AS1075" s="24">
        <v>46142.657050000002</v>
      </c>
      <c r="AX1075" s="24"/>
      <c r="AY1075" s="24"/>
      <c r="AZ1075" s="24"/>
      <c r="BA1075" s="24"/>
      <c r="BC1075" s="24"/>
      <c r="BD1075" s="24"/>
      <c r="BE1075" s="24"/>
      <c r="BF1075" s="24"/>
      <c r="BH1075" s="24">
        <v>46142.657050000002</v>
      </c>
      <c r="BI1075" s="24">
        <v>46142.657050000002</v>
      </c>
      <c r="BJ1075" s="24"/>
      <c r="BK1075" s="24"/>
      <c r="BL1075">
        <v>1</v>
      </c>
      <c r="BM1075" s="24"/>
      <c r="BN1075" s="24"/>
      <c r="BO1075" s="24"/>
      <c r="BP1075" s="24"/>
      <c r="BR1075" s="24"/>
      <c r="BS1075" s="24"/>
      <c r="BT1075" s="24"/>
      <c r="BU1075" s="24"/>
      <c r="BW1075" s="24"/>
      <c r="BX1075" s="24"/>
      <c r="BY1075" s="24"/>
      <c r="BZ1075" s="24"/>
      <c r="CB1075" s="24"/>
      <c r="CC1075" s="24"/>
      <c r="CE1075" s="24"/>
      <c r="CF1075" s="24"/>
      <c r="CH1075" s="24"/>
      <c r="CI1075" s="24"/>
      <c r="CJ1075" s="24"/>
      <c r="CK1075" s="24"/>
      <c r="DE1075" s="24"/>
      <c r="DF1075" s="24"/>
      <c r="DG1075" s="24"/>
      <c r="DH1075" s="24"/>
      <c r="DJ1075" t="s">
        <v>149</v>
      </c>
      <c r="DK1075" t="s">
        <v>149</v>
      </c>
      <c r="DP1075">
        <v>18</v>
      </c>
      <c r="DQ1075" t="s">
        <v>1001</v>
      </c>
      <c r="DR1075" t="s">
        <v>149</v>
      </c>
      <c r="DS1075" s="24">
        <v>46160.384426226854</v>
      </c>
    </row>
    <row r="1076" spans="1:123" x14ac:dyDescent="0.3">
      <c r="A1076" t="s">
        <v>1559</v>
      </c>
      <c r="D1076" t="s">
        <v>225</v>
      </c>
      <c r="E1076" s="24">
        <v>45463.614247685182</v>
      </c>
      <c r="G1076" t="s">
        <v>90</v>
      </c>
      <c r="H1076" t="s">
        <v>155</v>
      </c>
      <c r="I1076" s="24"/>
      <c r="J1076" s="24"/>
      <c r="K1076" s="24"/>
      <c r="L1076" s="24"/>
      <c r="N1076" s="24"/>
      <c r="O1076" s="24"/>
      <c r="P1076" s="24"/>
      <c r="Q1076" s="24"/>
      <c r="V1076" s="24"/>
      <c r="W1076" s="24"/>
      <c r="X1076" s="24"/>
      <c r="Y1076" s="24"/>
      <c r="AA1076" s="24">
        <v>46087.355647488424</v>
      </c>
      <c r="AB1076" s="24">
        <v>46087.355647488424</v>
      </c>
      <c r="AC1076" s="24">
        <v>46094.435990208331</v>
      </c>
      <c r="AD1076" s="24">
        <v>46094.435990208331</v>
      </c>
      <c r="AE1076">
        <v>1</v>
      </c>
      <c r="AF1076" s="24">
        <v>46094.435990208331</v>
      </c>
      <c r="AG1076" s="24">
        <v>46094.435990208331</v>
      </c>
      <c r="AH1076" s="24">
        <v>46094.589599293984</v>
      </c>
      <c r="AI1076" s="24">
        <v>46094.589599293984</v>
      </c>
      <c r="AJ1076">
        <v>1</v>
      </c>
      <c r="AK1076" s="24">
        <v>46094.589599293984</v>
      </c>
      <c r="AL1076" s="24">
        <v>46094.589599293984</v>
      </c>
      <c r="AM1076" s="24">
        <v>46098.437386076388</v>
      </c>
      <c r="AN1076" s="24">
        <v>46098.437386076388</v>
      </c>
      <c r="AO1076">
        <v>1</v>
      </c>
      <c r="AP1076" s="24"/>
      <c r="AQ1076" s="24"/>
      <c r="AR1076" s="24">
        <v>45805.442187418979</v>
      </c>
      <c r="AS1076" s="24">
        <v>45805.442187418979</v>
      </c>
      <c r="AX1076" s="24"/>
      <c r="AY1076" s="24"/>
      <c r="AZ1076" s="24"/>
      <c r="BA1076" s="24"/>
      <c r="BC1076" s="24">
        <v>46098.437467916665</v>
      </c>
      <c r="BD1076" s="24">
        <v>46098.437467916665</v>
      </c>
      <c r="BE1076" s="24">
        <v>46141.465485532404</v>
      </c>
      <c r="BF1076" s="24">
        <v>46141.465485532404</v>
      </c>
      <c r="BG1076">
        <v>1</v>
      </c>
      <c r="BH1076" s="24">
        <v>45805.442187418979</v>
      </c>
      <c r="BI1076" s="24">
        <v>45805.442187418979</v>
      </c>
      <c r="BJ1076" s="24">
        <v>46087.355647488424</v>
      </c>
      <c r="BK1076" s="24">
        <v>46087.355647488424</v>
      </c>
      <c r="BL1076">
        <v>1</v>
      </c>
      <c r="BM1076" s="24"/>
      <c r="BN1076" s="24"/>
      <c r="BO1076" s="24"/>
      <c r="BP1076" s="24"/>
      <c r="BR1076" s="24">
        <v>46098.437386076388</v>
      </c>
      <c r="BS1076" s="24">
        <v>46098.437386076388</v>
      </c>
      <c r="BT1076" s="24">
        <v>46098.437467916665</v>
      </c>
      <c r="BU1076" s="24">
        <v>46098.437467916665</v>
      </c>
      <c r="BV1076">
        <v>1</v>
      </c>
      <c r="BW1076" s="24"/>
      <c r="BX1076" s="24"/>
      <c r="BY1076" s="24"/>
      <c r="BZ1076" s="24"/>
      <c r="CB1076" s="24"/>
      <c r="CC1076" s="24"/>
      <c r="CE1076" s="24">
        <v>46141.465485532404</v>
      </c>
      <c r="CF1076" s="24">
        <v>46141.465485532404</v>
      </c>
      <c r="CG1076">
        <v>1</v>
      </c>
      <c r="CH1076" s="24"/>
      <c r="CI1076" s="24"/>
      <c r="CJ1076" s="24"/>
      <c r="CK1076" s="24"/>
      <c r="DE1076" s="24"/>
      <c r="DF1076" s="24"/>
      <c r="DG1076" s="24"/>
      <c r="DH1076" s="24"/>
      <c r="DJ1076" t="s">
        <v>149</v>
      </c>
      <c r="DK1076" t="s">
        <v>149</v>
      </c>
      <c r="DM1076">
        <v>337</v>
      </c>
      <c r="DN1076">
        <v>55</v>
      </c>
      <c r="DQ1076" t="s">
        <v>1001</v>
      </c>
      <c r="DR1076" t="s">
        <v>149</v>
      </c>
      <c r="DS1076" s="24">
        <v>46160.384426226854</v>
      </c>
    </row>
    <row r="1077" spans="1:123" x14ac:dyDescent="0.3">
      <c r="A1077" t="s">
        <v>1560</v>
      </c>
      <c r="D1077" t="s">
        <v>225</v>
      </c>
      <c r="E1077" s="24">
        <v>45450.559814814813</v>
      </c>
      <c r="G1077" t="s">
        <v>102</v>
      </c>
      <c r="H1077" t="s">
        <v>154</v>
      </c>
      <c r="I1077" s="24"/>
      <c r="J1077" s="24"/>
      <c r="K1077" s="24"/>
      <c r="L1077" s="24"/>
      <c r="N1077" s="24"/>
      <c r="O1077" s="24"/>
      <c r="P1077" s="24"/>
      <c r="Q1077" s="24"/>
      <c r="V1077" s="24"/>
      <c r="W1077" s="24"/>
      <c r="X1077" s="24"/>
      <c r="Y1077" s="24"/>
      <c r="AA1077" s="24"/>
      <c r="AB1077" s="24"/>
      <c r="AC1077" s="24"/>
      <c r="AD1077" s="24"/>
      <c r="AF1077" s="24"/>
      <c r="AG1077" s="24"/>
      <c r="AH1077" s="24"/>
      <c r="AI1077" s="24"/>
      <c r="AK1077" s="24"/>
      <c r="AL1077" s="24"/>
      <c r="AM1077" s="24"/>
      <c r="AN1077" s="24"/>
      <c r="AP1077" s="24"/>
      <c r="AQ1077" s="24"/>
      <c r="AR1077" s="24"/>
      <c r="AS1077" s="24"/>
      <c r="AX1077" s="24"/>
      <c r="AY1077" s="24"/>
      <c r="AZ1077" s="24"/>
      <c r="BA1077" s="24"/>
      <c r="BC1077" s="24"/>
      <c r="BD1077" s="24"/>
      <c r="BE1077" s="24"/>
      <c r="BF1077" s="24"/>
      <c r="BH1077" s="24"/>
      <c r="BI1077" s="24"/>
      <c r="BJ1077" s="24"/>
      <c r="BK1077" s="24"/>
      <c r="BM1077" s="24"/>
      <c r="BN1077" s="24"/>
      <c r="BO1077" s="24"/>
      <c r="BP1077" s="24"/>
      <c r="BR1077" s="24"/>
      <c r="BS1077" s="24"/>
      <c r="BT1077" s="24"/>
      <c r="BU1077" s="24"/>
      <c r="BW1077" s="24"/>
      <c r="BX1077" s="24"/>
      <c r="BY1077" s="24"/>
      <c r="BZ1077" s="24"/>
      <c r="CB1077" s="24"/>
      <c r="CC1077" s="24"/>
      <c r="CE1077" s="24"/>
      <c r="CF1077" s="24"/>
      <c r="CH1077" s="24"/>
      <c r="CI1077" s="24"/>
      <c r="CJ1077" s="24"/>
      <c r="CK1077" s="24"/>
      <c r="DE1077" s="24"/>
      <c r="DF1077" s="24"/>
      <c r="DG1077" s="24"/>
      <c r="DH1077" s="24"/>
      <c r="DJ1077" t="s">
        <v>149</v>
      </c>
      <c r="DK1077" t="s">
        <v>149</v>
      </c>
      <c r="DQ1077" t="s">
        <v>1001</v>
      </c>
      <c r="DR1077" t="s">
        <v>149</v>
      </c>
      <c r="DS1077" s="24">
        <v>46160.384426226854</v>
      </c>
    </row>
    <row r="1078" spans="1:123" x14ac:dyDescent="0.3">
      <c r="A1078" t="s">
        <v>1561</v>
      </c>
      <c r="D1078" t="s">
        <v>224</v>
      </c>
      <c r="E1078" s="24">
        <v>45418.897719907407</v>
      </c>
      <c r="G1078" t="s">
        <v>150</v>
      </c>
      <c r="H1078" t="s">
        <v>155</v>
      </c>
      <c r="I1078" s="24"/>
      <c r="J1078" s="24"/>
      <c r="K1078" s="24"/>
      <c r="L1078" s="24"/>
      <c r="N1078" s="24"/>
      <c r="O1078" s="24"/>
      <c r="P1078" s="24"/>
      <c r="Q1078" s="24"/>
      <c r="V1078" s="24"/>
      <c r="W1078" s="24"/>
      <c r="X1078" s="24"/>
      <c r="Y1078" s="24"/>
      <c r="AA1078" s="24"/>
      <c r="AB1078" s="24"/>
      <c r="AC1078" s="24"/>
      <c r="AD1078" s="24"/>
      <c r="AF1078" s="24"/>
      <c r="AG1078" s="24"/>
      <c r="AH1078" s="24"/>
      <c r="AI1078" s="24"/>
      <c r="AK1078" s="24"/>
      <c r="AL1078" s="24"/>
      <c r="AM1078" s="24"/>
      <c r="AN1078" s="24"/>
      <c r="AP1078" s="24"/>
      <c r="AQ1078" s="24"/>
      <c r="AR1078" s="24">
        <v>46120.723236967591</v>
      </c>
      <c r="AS1078" s="24">
        <v>46120.723236967591</v>
      </c>
      <c r="AX1078" s="24"/>
      <c r="AY1078" s="24"/>
      <c r="AZ1078" s="24"/>
      <c r="BA1078" s="24"/>
      <c r="BC1078" s="24"/>
      <c r="BD1078" s="24"/>
      <c r="BE1078" s="24"/>
      <c r="BF1078" s="24"/>
      <c r="BH1078" s="24"/>
      <c r="BI1078" s="24"/>
      <c r="BJ1078" s="24"/>
      <c r="BK1078" s="24"/>
      <c r="BM1078" s="24"/>
      <c r="BN1078" s="24"/>
      <c r="BO1078" s="24"/>
      <c r="BP1078" s="24"/>
      <c r="BR1078" s="24"/>
      <c r="BS1078" s="24"/>
      <c r="BT1078" s="24"/>
      <c r="BU1078" s="24"/>
      <c r="BW1078" s="24"/>
      <c r="BX1078" s="24"/>
      <c r="BY1078" s="24"/>
      <c r="BZ1078" s="24"/>
      <c r="CB1078" s="24">
        <v>46120.723236967591</v>
      </c>
      <c r="CC1078" s="24">
        <v>46120.723236967591</v>
      </c>
      <c r="CD1078">
        <v>1</v>
      </c>
      <c r="CE1078" s="24"/>
      <c r="CF1078" s="24"/>
      <c r="CH1078" s="24"/>
      <c r="CI1078" s="24"/>
      <c r="CJ1078" s="24"/>
      <c r="CK1078" s="24"/>
      <c r="DE1078" s="24"/>
      <c r="DF1078" s="24"/>
      <c r="DG1078" s="24"/>
      <c r="DH1078" s="24"/>
      <c r="DJ1078" t="s">
        <v>149</v>
      </c>
      <c r="DK1078" t="s">
        <v>149</v>
      </c>
      <c r="DQ1078" t="s">
        <v>1001</v>
      </c>
      <c r="DR1078" t="s">
        <v>149</v>
      </c>
      <c r="DS1078" s="24">
        <v>46160.384426226854</v>
      </c>
    </row>
    <row r="1079" spans="1:123" x14ac:dyDescent="0.3">
      <c r="A1079" t="s">
        <v>1562</v>
      </c>
      <c r="D1079" t="s">
        <v>223</v>
      </c>
      <c r="E1079" s="24">
        <v>45418.884097222224</v>
      </c>
      <c r="G1079" t="s">
        <v>107</v>
      </c>
      <c r="H1079" t="s">
        <v>154</v>
      </c>
      <c r="I1079" s="24"/>
      <c r="J1079" s="24"/>
      <c r="K1079" s="24"/>
      <c r="L1079" s="24"/>
      <c r="N1079" s="24"/>
      <c r="O1079" s="24"/>
      <c r="P1079" s="24"/>
      <c r="Q1079" s="24"/>
      <c r="V1079" s="24"/>
      <c r="W1079" s="24"/>
      <c r="X1079" s="24"/>
      <c r="Y1079" s="24"/>
      <c r="AA1079" s="24"/>
      <c r="AB1079" s="24"/>
      <c r="AC1079" s="24"/>
      <c r="AD1079" s="24"/>
      <c r="AF1079" s="24"/>
      <c r="AG1079" s="24"/>
      <c r="AH1079" s="24"/>
      <c r="AI1079" s="24"/>
      <c r="AK1079" s="24"/>
      <c r="AL1079" s="24"/>
      <c r="AM1079" s="24"/>
      <c r="AN1079" s="24"/>
      <c r="AP1079" s="24"/>
      <c r="AQ1079" s="24"/>
      <c r="AR1079" s="24">
        <v>45425.514299189817</v>
      </c>
      <c r="AS1079" s="24">
        <v>45425.514299189817</v>
      </c>
      <c r="AX1079" s="24"/>
      <c r="AY1079" s="24"/>
      <c r="AZ1079" s="24"/>
      <c r="BA1079" s="24"/>
      <c r="BC1079" s="24"/>
      <c r="BD1079" s="24"/>
      <c r="BE1079" s="24"/>
      <c r="BF1079" s="24"/>
      <c r="BH1079" s="24">
        <v>45425.514299189817</v>
      </c>
      <c r="BI1079" s="24">
        <v>45425.514299189817</v>
      </c>
      <c r="BJ1079" s="24"/>
      <c r="BK1079" s="24"/>
      <c r="BL1079">
        <v>1</v>
      </c>
      <c r="BM1079" s="24"/>
      <c r="BN1079" s="24"/>
      <c r="BO1079" s="24"/>
      <c r="BP1079" s="24"/>
      <c r="BR1079" s="24"/>
      <c r="BS1079" s="24"/>
      <c r="BT1079" s="24"/>
      <c r="BU1079" s="24"/>
      <c r="BW1079" s="24"/>
      <c r="BX1079" s="24"/>
      <c r="BY1079" s="24"/>
      <c r="BZ1079" s="24"/>
      <c r="CB1079" s="24"/>
      <c r="CC1079" s="24"/>
      <c r="CE1079" s="24"/>
      <c r="CF1079" s="24"/>
      <c r="CH1079" s="24"/>
      <c r="CI1079" s="24"/>
      <c r="CJ1079" s="24"/>
      <c r="CK1079" s="24"/>
      <c r="DE1079" s="24"/>
      <c r="DF1079" s="24"/>
      <c r="DG1079" s="24"/>
      <c r="DH1079" s="24"/>
      <c r="DJ1079" t="s">
        <v>149</v>
      </c>
      <c r="DK1079" t="s">
        <v>149</v>
      </c>
      <c r="DP1079">
        <v>735</v>
      </c>
      <c r="DQ1079" t="s">
        <v>1001</v>
      </c>
      <c r="DR1079" t="s">
        <v>149</v>
      </c>
      <c r="DS1079" s="24">
        <v>46160.384426226854</v>
      </c>
    </row>
    <row r="1080" spans="1:123" x14ac:dyDescent="0.3">
      <c r="A1080" t="s">
        <v>1563</v>
      </c>
      <c r="D1080" t="s">
        <v>225</v>
      </c>
      <c r="E1080" s="24">
        <v>45408.577592592592</v>
      </c>
      <c r="G1080" t="s">
        <v>90</v>
      </c>
      <c r="H1080" t="s">
        <v>155</v>
      </c>
      <c r="I1080" s="24"/>
      <c r="J1080" s="24"/>
      <c r="K1080" s="24"/>
      <c r="L1080" s="24"/>
      <c r="N1080" s="24"/>
      <c r="O1080" s="24"/>
      <c r="P1080" s="24"/>
      <c r="Q1080" s="24"/>
      <c r="V1080" s="24"/>
      <c r="W1080" s="24"/>
      <c r="X1080" s="24"/>
      <c r="Y1080" s="24"/>
      <c r="AA1080" s="24">
        <v>45411.567961643515</v>
      </c>
      <c r="AB1080" s="24">
        <v>45411.567961643515</v>
      </c>
      <c r="AC1080" s="24">
        <v>45420.715381655093</v>
      </c>
      <c r="AD1080" s="24">
        <v>45420.715381655093</v>
      </c>
      <c r="AE1080">
        <v>1</v>
      </c>
      <c r="AF1080" s="24">
        <v>45429.561980011575</v>
      </c>
      <c r="AG1080" s="24">
        <v>45429.561980011575</v>
      </c>
      <c r="AH1080" s="24">
        <v>45429.562043773149</v>
      </c>
      <c r="AI1080" s="24">
        <v>45429.562043773149</v>
      </c>
      <c r="AJ1080">
        <v>1</v>
      </c>
      <c r="AK1080" s="24">
        <v>45429.562085057871</v>
      </c>
      <c r="AL1080" s="24">
        <v>45429.562085057871</v>
      </c>
      <c r="AM1080" s="24">
        <v>45429.562124583332</v>
      </c>
      <c r="AN1080" s="24">
        <v>45429.562124583332</v>
      </c>
      <c r="AO1080">
        <v>1</v>
      </c>
      <c r="AP1080" s="24"/>
      <c r="AQ1080" s="24"/>
      <c r="AR1080" s="24">
        <v>45411.566319571757</v>
      </c>
      <c r="AS1080" s="24">
        <v>45411.566319571757</v>
      </c>
      <c r="AX1080" s="24"/>
      <c r="AY1080" s="24"/>
      <c r="AZ1080" s="24"/>
      <c r="BA1080" s="24"/>
      <c r="BC1080" s="24">
        <v>45429.56226353009</v>
      </c>
      <c r="BD1080" s="24">
        <v>45429.56226353009</v>
      </c>
      <c r="BE1080" s="24">
        <v>45898.30105440972</v>
      </c>
      <c r="BF1080" s="24">
        <v>45898.30105440972</v>
      </c>
      <c r="BG1080">
        <v>1</v>
      </c>
      <c r="BH1080" s="24">
        <v>45411.566319571757</v>
      </c>
      <c r="BI1080" s="24">
        <v>45411.566319571757</v>
      </c>
      <c r="BJ1080" s="24">
        <v>45411.567961643515</v>
      </c>
      <c r="BK1080" s="24">
        <v>45411.567961643515</v>
      </c>
      <c r="BL1080">
        <v>1</v>
      </c>
      <c r="BM1080" s="24">
        <v>45420.715381655093</v>
      </c>
      <c r="BN1080" s="24">
        <v>45420.715381655093</v>
      </c>
      <c r="BO1080" s="24">
        <v>45429.561980011575</v>
      </c>
      <c r="BP1080" s="24">
        <v>45429.561980011575</v>
      </c>
      <c r="BQ1080">
        <v>1</v>
      </c>
      <c r="BR1080" s="24">
        <v>45429.562124583332</v>
      </c>
      <c r="BS1080" s="24">
        <v>45429.562124583332</v>
      </c>
      <c r="BT1080" s="24">
        <v>45429.56226353009</v>
      </c>
      <c r="BU1080" s="24">
        <v>45429.56226353009</v>
      </c>
      <c r="BV1080">
        <v>1</v>
      </c>
      <c r="BW1080" s="24"/>
      <c r="BX1080" s="24"/>
      <c r="BY1080" s="24"/>
      <c r="BZ1080" s="24"/>
      <c r="CB1080" s="24"/>
      <c r="CC1080" s="24"/>
      <c r="CE1080" s="24">
        <v>45898.30105440972</v>
      </c>
      <c r="CF1080" s="24">
        <v>45898.30105440972</v>
      </c>
      <c r="CG1080">
        <v>1</v>
      </c>
      <c r="CH1080" s="24"/>
      <c r="CI1080" s="24"/>
      <c r="CJ1080" s="24"/>
      <c r="CK1080" s="24"/>
      <c r="DE1080" s="24">
        <v>45429.562043773149</v>
      </c>
      <c r="DF1080" s="24">
        <v>45429.562043773149</v>
      </c>
      <c r="DG1080" s="24">
        <v>45429.562085057871</v>
      </c>
      <c r="DH1080" s="24">
        <v>45429.562085057871</v>
      </c>
      <c r="DI1080">
        <v>1</v>
      </c>
      <c r="DJ1080" t="s">
        <v>149</v>
      </c>
      <c r="DK1080" t="s">
        <v>149</v>
      </c>
      <c r="DM1080">
        <v>487</v>
      </c>
      <c r="DN1080">
        <v>487</v>
      </c>
      <c r="DQ1080" t="s">
        <v>1001</v>
      </c>
      <c r="DR1080" t="s">
        <v>149</v>
      </c>
      <c r="DS1080" s="24">
        <v>46160.384426226854</v>
      </c>
    </row>
    <row r="1081" spans="1:123" x14ac:dyDescent="0.3">
      <c r="A1081" t="s">
        <v>1564</v>
      </c>
      <c r="D1081" t="s">
        <v>225</v>
      </c>
      <c r="E1081" s="24">
        <v>45377.753854166665</v>
      </c>
      <c r="G1081" t="s">
        <v>90</v>
      </c>
      <c r="H1081" t="s">
        <v>155</v>
      </c>
      <c r="I1081" s="24"/>
      <c r="J1081" s="24"/>
      <c r="K1081" s="24"/>
      <c r="L1081" s="24"/>
      <c r="N1081" s="24"/>
      <c r="O1081" s="24"/>
      <c r="P1081" s="24"/>
      <c r="Q1081" s="24"/>
      <c r="V1081" s="24"/>
      <c r="W1081" s="24"/>
      <c r="X1081" s="24"/>
      <c r="Y1081" s="24"/>
      <c r="AA1081" s="24">
        <v>45377.755217916667</v>
      </c>
      <c r="AB1081" s="24">
        <v>45377.755217916667</v>
      </c>
      <c r="AC1081" s="24">
        <v>45397.429081168979</v>
      </c>
      <c r="AD1081" s="24">
        <v>45397.429081168979</v>
      </c>
      <c r="AE1081">
        <v>1</v>
      </c>
      <c r="AF1081" s="24"/>
      <c r="AG1081" s="24"/>
      <c r="AH1081" s="24"/>
      <c r="AI1081" s="24"/>
      <c r="AK1081" s="24"/>
      <c r="AL1081" s="24"/>
      <c r="AM1081" s="24"/>
      <c r="AN1081" s="24"/>
      <c r="AP1081" s="24"/>
      <c r="AQ1081" s="24"/>
      <c r="AR1081" s="24">
        <v>45377.754896064813</v>
      </c>
      <c r="AS1081" s="24">
        <v>45377.754896064813</v>
      </c>
      <c r="AX1081" s="24"/>
      <c r="AY1081" s="24"/>
      <c r="AZ1081" s="24"/>
      <c r="BA1081" s="24"/>
      <c r="BC1081" s="24">
        <v>45397.42931619213</v>
      </c>
      <c r="BD1081" s="24">
        <v>45397.42931619213</v>
      </c>
      <c r="BE1081" s="24">
        <v>45898.301054722222</v>
      </c>
      <c r="BF1081" s="24">
        <v>45898.301054722222</v>
      </c>
      <c r="BG1081">
        <v>1</v>
      </c>
      <c r="BH1081" s="24">
        <v>45377.754896064813</v>
      </c>
      <c r="BI1081" s="24">
        <v>45377.754896064813</v>
      </c>
      <c r="BJ1081" s="24">
        <v>45377.755217916667</v>
      </c>
      <c r="BK1081" s="24">
        <v>45377.755217916667</v>
      </c>
      <c r="BL1081">
        <v>1</v>
      </c>
      <c r="BM1081" s="24"/>
      <c r="BN1081" s="24"/>
      <c r="BO1081" s="24"/>
      <c r="BP1081" s="24"/>
      <c r="BR1081" s="24">
        <v>45397.429081168979</v>
      </c>
      <c r="BS1081" s="24">
        <v>45397.429081168979</v>
      </c>
      <c r="BT1081" s="24">
        <v>45397.42931619213</v>
      </c>
      <c r="BU1081" s="24">
        <v>45397.42931619213</v>
      </c>
      <c r="BV1081">
        <v>1</v>
      </c>
      <c r="BW1081" s="24"/>
      <c r="BX1081" s="24"/>
      <c r="BY1081" s="24"/>
      <c r="BZ1081" s="24"/>
      <c r="CB1081" s="24"/>
      <c r="CC1081" s="24"/>
      <c r="CE1081" s="24">
        <v>45898.301054722222</v>
      </c>
      <c r="CF1081" s="24">
        <v>45898.301054722222</v>
      </c>
      <c r="CG1081">
        <v>1</v>
      </c>
      <c r="CH1081" s="24"/>
      <c r="CI1081" s="24"/>
      <c r="CJ1081" s="24"/>
      <c r="CK1081" s="24"/>
      <c r="DE1081" s="24"/>
      <c r="DF1081" s="24"/>
      <c r="DG1081" s="24"/>
      <c r="DH1081" s="24"/>
      <c r="DJ1081" t="s">
        <v>149</v>
      </c>
      <c r="DK1081" t="s">
        <v>149</v>
      </c>
      <c r="DM1081">
        <v>521</v>
      </c>
      <c r="DN1081">
        <v>521</v>
      </c>
      <c r="DQ1081" t="s">
        <v>1001</v>
      </c>
      <c r="DR1081" t="s">
        <v>149</v>
      </c>
      <c r="DS1081" s="24">
        <v>46160.384426226854</v>
      </c>
    </row>
    <row r="1082" spans="1:123" x14ac:dyDescent="0.3">
      <c r="A1082" t="s">
        <v>1565</v>
      </c>
      <c r="D1082" t="s">
        <v>223</v>
      </c>
      <c r="E1082" s="24">
        <v>45373.693483796298</v>
      </c>
      <c r="G1082" t="s">
        <v>150</v>
      </c>
      <c r="H1082" t="s">
        <v>155</v>
      </c>
      <c r="I1082" s="24"/>
      <c r="J1082" s="24"/>
      <c r="K1082" s="24"/>
      <c r="L1082" s="24"/>
      <c r="N1082" s="24"/>
      <c r="O1082" s="24"/>
      <c r="P1082" s="24"/>
      <c r="Q1082" s="24"/>
      <c r="V1082" s="24"/>
      <c r="W1082" s="24"/>
      <c r="X1082" s="24"/>
      <c r="Y1082" s="24"/>
      <c r="AA1082" s="24"/>
      <c r="AB1082" s="24"/>
      <c r="AC1082" s="24"/>
      <c r="AD1082" s="24"/>
      <c r="AF1082" s="24"/>
      <c r="AG1082" s="24"/>
      <c r="AH1082" s="24"/>
      <c r="AI1082" s="24"/>
      <c r="AK1082" s="24"/>
      <c r="AL1082" s="24"/>
      <c r="AM1082" s="24"/>
      <c r="AN1082" s="24"/>
      <c r="AP1082" s="24"/>
      <c r="AQ1082" s="24"/>
      <c r="AR1082" s="24">
        <v>45992.566418807874</v>
      </c>
      <c r="AS1082" s="24">
        <v>45992.566418807874</v>
      </c>
      <c r="AX1082" s="24"/>
      <c r="AY1082" s="24"/>
      <c r="AZ1082" s="24"/>
      <c r="BA1082" s="24"/>
      <c r="BC1082" s="24"/>
      <c r="BD1082" s="24"/>
      <c r="BE1082" s="24"/>
      <c r="BF1082" s="24"/>
      <c r="BH1082" s="24"/>
      <c r="BI1082" s="24"/>
      <c r="BJ1082" s="24"/>
      <c r="BK1082" s="24"/>
      <c r="BM1082" s="24"/>
      <c r="BN1082" s="24"/>
      <c r="BO1082" s="24"/>
      <c r="BP1082" s="24"/>
      <c r="BR1082" s="24"/>
      <c r="BS1082" s="24"/>
      <c r="BT1082" s="24"/>
      <c r="BU1082" s="24"/>
      <c r="BW1082" s="24"/>
      <c r="BX1082" s="24"/>
      <c r="BY1082" s="24"/>
      <c r="BZ1082" s="24"/>
      <c r="CB1082" s="24">
        <v>45992.566418807874</v>
      </c>
      <c r="CC1082" s="24">
        <v>45992.566418807874</v>
      </c>
      <c r="CD1082">
        <v>1</v>
      </c>
      <c r="CE1082" s="24"/>
      <c r="CF1082" s="24"/>
      <c r="CH1082" s="24"/>
      <c r="CI1082" s="24"/>
      <c r="CJ1082" s="24"/>
      <c r="CK1082" s="24"/>
      <c r="DE1082" s="24"/>
      <c r="DF1082" s="24"/>
      <c r="DG1082" s="24"/>
      <c r="DH1082" s="24"/>
      <c r="DJ1082" t="s">
        <v>149</v>
      </c>
      <c r="DK1082" t="s">
        <v>149</v>
      </c>
      <c r="DQ1082" t="s">
        <v>1001</v>
      </c>
      <c r="DR1082" t="s">
        <v>149</v>
      </c>
      <c r="DS1082" s="24">
        <v>46160.384426226854</v>
      </c>
    </row>
    <row r="1083" spans="1:123" x14ac:dyDescent="0.3">
      <c r="A1083" t="s">
        <v>1566</v>
      </c>
      <c r="D1083" t="s">
        <v>224</v>
      </c>
      <c r="E1083" s="24">
        <v>45369.438703703701</v>
      </c>
      <c r="G1083" t="s">
        <v>107</v>
      </c>
      <c r="H1083" t="s">
        <v>154</v>
      </c>
      <c r="I1083" s="24"/>
      <c r="J1083" s="24"/>
      <c r="K1083" s="24"/>
      <c r="L1083" s="24"/>
      <c r="N1083" s="24"/>
      <c r="O1083" s="24"/>
      <c r="P1083" s="24"/>
      <c r="Q1083" s="24"/>
      <c r="V1083" s="24"/>
      <c r="W1083" s="24"/>
      <c r="X1083" s="24"/>
      <c r="Y1083" s="24"/>
      <c r="AA1083" s="24"/>
      <c r="AB1083" s="24"/>
      <c r="AC1083" s="24"/>
      <c r="AD1083" s="24"/>
      <c r="AF1083" s="24"/>
      <c r="AG1083" s="24"/>
      <c r="AH1083" s="24"/>
      <c r="AI1083" s="24"/>
      <c r="AK1083" s="24"/>
      <c r="AL1083" s="24"/>
      <c r="AM1083" s="24"/>
      <c r="AN1083" s="24"/>
      <c r="AP1083" s="24"/>
      <c r="AQ1083" s="24"/>
      <c r="AR1083" s="24">
        <v>45369.571949166668</v>
      </c>
      <c r="AS1083" s="24">
        <v>45369.571949166668</v>
      </c>
      <c r="AX1083" s="24"/>
      <c r="AY1083" s="24"/>
      <c r="AZ1083" s="24"/>
      <c r="BA1083" s="24"/>
      <c r="BC1083" s="24"/>
      <c r="BD1083" s="24"/>
      <c r="BE1083" s="24"/>
      <c r="BF1083" s="24"/>
      <c r="BH1083" s="24">
        <v>45369.571949166668</v>
      </c>
      <c r="BI1083" s="24">
        <v>45369.571949166668</v>
      </c>
      <c r="BJ1083" s="24"/>
      <c r="BK1083" s="24"/>
      <c r="BL1083">
        <v>1</v>
      </c>
      <c r="BM1083" s="24"/>
      <c r="BN1083" s="24"/>
      <c r="BO1083" s="24"/>
      <c r="BP1083" s="24"/>
      <c r="BR1083" s="24"/>
      <c r="BS1083" s="24"/>
      <c r="BT1083" s="24"/>
      <c r="BU1083" s="24"/>
      <c r="BW1083" s="24"/>
      <c r="BX1083" s="24"/>
      <c r="BY1083" s="24"/>
      <c r="BZ1083" s="24"/>
      <c r="CB1083" s="24"/>
      <c r="CC1083" s="24"/>
      <c r="CE1083" s="24"/>
      <c r="CF1083" s="24"/>
      <c r="CH1083" s="24"/>
      <c r="CI1083" s="24"/>
      <c r="CJ1083" s="24"/>
      <c r="CK1083" s="24"/>
      <c r="DE1083" s="24"/>
      <c r="DF1083" s="24"/>
      <c r="DG1083" s="24"/>
      <c r="DH1083" s="24"/>
      <c r="DJ1083" t="s">
        <v>149</v>
      </c>
      <c r="DK1083" t="s">
        <v>149</v>
      </c>
      <c r="DP1083">
        <v>791</v>
      </c>
      <c r="DQ1083" t="s">
        <v>1001</v>
      </c>
      <c r="DR1083" t="s">
        <v>149</v>
      </c>
      <c r="DS1083" s="24">
        <v>46160.384426226854</v>
      </c>
    </row>
    <row r="1084" spans="1:123" x14ac:dyDescent="0.3">
      <c r="A1084" t="s">
        <v>1567</v>
      </c>
      <c r="D1084" t="s">
        <v>224</v>
      </c>
      <c r="E1084" s="24">
        <v>45364.67564814815</v>
      </c>
      <c r="G1084" t="s">
        <v>150</v>
      </c>
      <c r="H1084" t="s">
        <v>155</v>
      </c>
      <c r="I1084" s="24"/>
      <c r="J1084" s="24"/>
      <c r="K1084" s="24"/>
      <c r="L1084" s="24"/>
      <c r="N1084" s="24"/>
      <c r="O1084" s="24"/>
      <c r="P1084" s="24"/>
      <c r="Q1084" s="24"/>
      <c r="V1084" s="24"/>
      <c r="W1084" s="24"/>
      <c r="X1084" s="24"/>
      <c r="Y1084" s="24"/>
      <c r="AA1084" s="24"/>
      <c r="AB1084" s="24"/>
      <c r="AC1084" s="24"/>
      <c r="AD1084" s="24"/>
      <c r="AF1084" s="24"/>
      <c r="AG1084" s="24"/>
      <c r="AH1084" s="24"/>
      <c r="AI1084" s="24"/>
      <c r="AK1084" s="24"/>
      <c r="AL1084" s="24"/>
      <c r="AM1084" s="24"/>
      <c r="AN1084" s="24"/>
      <c r="AP1084" s="24"/>
      <c r="AQ1084" s="24"/>
      <c r="AR1084" s="24">
        <v>45992.567159027778</v>
      </c>
      <c r="AS1084" s="24">
        <v>45992.567159027778</v>
      </c>
      <c r="AX1084" s="24"/>
      <c r="AY1084" s="24"/>
      <c r="AZ1084" s="24"/>
      <c r="BA1084" s="24"/>
      <c r="BC1084" s="24"/>
      <c r="BD1084" s="24"/>
      <c r="BE1084" s="24"/>
      <c r="BF1084" s="24"/>
      <c r="BH1084" s="24"/>
      <c r="BI1084" s="24"/>
      <c r="BJ1084" s="24"/>
      <c r="BK1084" s="24"/>
      <c r="BM1084" s="24"/>
      <c r="BN1084" s="24"/>
      <c r="BO1084" s="24"/>
      <c r="BP1084" s="24"/>
      <c r="BR1084" s="24"/>
      <c r="BS1084" s="24"/>
      <c r="BT1084" s="24"/>
      <c r="BU1084" s="24"/>
      <c r="BW1084" s="24"/>
      <c r="BX1084" s="24"/>
      <c r="BY1084" s="24"/>
      <c r="BZ1084" s="24"/>
      <c r="CB1084" s="24">
        <v>45992.567159027778</v>
      </c>
      <c r="CC1084" s="24">
        <v>45992.567159027778</v>
      </c>
      <c r="CD1084">
        <v>1</v>
      </c>
      <c r="CE1084" s="24"/>
      <c r="CF1084" s="24"/>
      <c r="CH1084" s="24"/>
      <c r="CI1084" s="24"/>
      <c r="CJ1084" s="24"/>
      <c r="CK1084" s="24"/>
      <c r="DE1084" s="24"/>
      <c r="DF1084" s="24"/>
      <c r="DG1084" s="24"/>
      <c r="DH1084" s="24"/>
      <c r="DJ1084" t="s">
        <v>149</v>
      </c>
      <c r="DK1084" t="s">
        <v>149</v>
      </c>
      <c r="DQ1084" t="s">
        <v>1001</v>
      </c>
      <c r="DR1084" t="s">
        <v>149</v>
      </c>
      <c r="DS1084" s="24">
        <v>46160.384426226854</v>
      </c>
    </row>
    <row r="1085" spans="1:123" x14ac:dyDescent="0.3">
      <c r="A1085" t="s">
        <v>1568</v>
      </c>
      <c r="D1085" t="s">
        <v>223</v>
      </c>
      <c r="E1085" s="24">
        <v>45359.477349537039</v>
      </c>
      <c r="G1085" t="s">
        <v>150</v>
      </c>
      <c r="H1085" t="s">
        <v>155</v>
      </c>
      <c r="I1085" s="24"/>
      <c r="J1085" s="24"/>
      <c r="K1085" s="24"/>
      <c r="L1085" s="24"/>
      <c r="N1085" s="24"/>
      <c r="O1085" s="24"/>
      <c r="P1085" s="24"/>
      <c r="Q1085" s="24"/>
      <c r="V1085" s="24"/>
      <c r="W1085" s="24"/>
      <c r="X1085" s="24"/>
      <c r="Y1085" s="24"/>
      <c r="AA1085" s="24"/>
      <c r="AB1085" s="24"/>
      <c r="AC1085" s="24"/>
      <c r="AD1085" s="24"/>
      <c r="AF1085" s="24"/>
      <c r="AG1085" s="24"/>
      <c r="AH1085" s="24"/>
      <c r="AI1085" s="24"/>
      <c r="AK1085" s="24"/>
      <c r="AL1085" s="24"/>
      <c r="AM1085" s="24"/>
      <c r="AN1085" s="24"/>
      <c r="AP1085" s="24"/>
      <c r="AQ1085" s="24"/>
      <c r="AR1085" s="24">
        <v>45992.571341585652</v>
      </c>
      <c r="AS1085" s="24">
        <v>45992.571341585652</v>
      </c>
      <c r="AX1085" s="24"/>
      <c r="AY1085" s="24"/>
      <c r="AZ1085" s="24"/>
      <c r="BA1085" s="24"/>
      <c r="BC1085" s="24"/>
      <c r="BD1085" s="24"/>
      <c r="BE1085" s="24"/>
      <c r="BF1085" s="24"/>
      <c r="BH1085" s="24"/>
      <c r="BI1085" s="24"/>
      <c r="BJ1085" s="24"/>
      <c r="BK1085" s="24"/>
      <c r="BM1085" s="24"/>
      <c r="BN1085" s="24"/>
      <c r="BO1085" s="24"/>
      <c r="BP1085" s="24"/>
      <c r="BR1085" s="24"/>
      <c r="BS1085" s="24"/>
      <c r="BT1085" s="24"/>
      <c r="BU1085" s="24"/>
      <c r="BW1085" s="24"/>
      <c r="BX1085" s="24"/>
      <c r="BY1085" s="24"/>
      <c r="BZ1085" s="24"/>
      <c r="CB1085" s="24">
        <v>45992.571341585652</v>
      </c>
      <c r="CC1085" s="24">
        <v>45992.571341585652</v>
      </c>
      <c r="CD1085">
        <v>1</v>
      </c>
      <c r="CE1085" s="24"/>
      <c r="CF1085" s="24"/>
      <c r="CH1085" s="24"/>
      <c r="CI1085" s="24"/>
      <c r="CJ1085" s="24"/>
      <c r="CK1085" s="24"/>
      <c r="DE1085" s="24"/>
      <c r="DF1085" s="24"/>
      <c r="DG1085" s="24"/>
      <c r="DH1085" s="24"/>
      <c r="DJ1085" t="s">
        <v>149</v>
      </c>
      <c r="DK1085" t="s">
        <v>149</v>
      </c>
      <c r="DQ1085" t="s">
        <v>1001</v>
      </c>
      <c r="DR1085" t="s">
        <v>149</v>
      </c>
      <c r="DS1085" s="24">
        <v>46160.384426226854</v>
      </c>
    </row>
    <row r="1086" spans="1:123" x14ac:dyDescent="0.3">
      <c r="A1086" t="s">
        <v>1569</v>
      </c>
      <c r="D1086" t="s">
        <v>223</v>
      </c>
      <c r="E1086" s="24">
        <v>45345.453530092593</v>
      </c>
      <c r="G1086" t="s">
        <v>102</v>
      </c>
      <c r="H1086" t="s">
        <v>154</v>
      </c>
      <c r="I1086" s="24"/>
      <c r="J1086" s="24"/>
      <c r="K1086" s="24"/>
      <c r="L1086" s="24"/>
      <c r="N1086" s="24"/>
      <c r="O1086" s="24"/>
      <c r="P1086" s="24"/>
      <c r="Q1086" s="24"/>
      <c r="V1086" s="24"/>
      <c r="W1086" s="24"/>
      <c r="X1086" s="24"/>
      <c r="Y1086" s="24"/>
      <c r="AA1086" s="24"/>
      <c r="AB1086" s="24"/>
      <c r="AC1086" s="24"/>
      <c r="AD1086" s="24"/>
      <c r="AF1086" s="24"/>
      <c r="AG1086" s="24"/>
      <c r="AH1086" s="24"/>
      <c r="AI1086" s="24"/>
      <c r="AK1086" s="24"/>
      <c r="AL1086" s="24"/>
      <c r="AM1086" s="24"/>
      <c r="AN1086" s="24"/>
      <c r="AP1086" s="24">
        <v>45411.490048032407</v>
      </c>
      <c r="AQ1086" s="24">
        <v>45411.490048032407</v>
      </c>
      <c r="AR1086" s="24"/>
      <c r="AS1086" s="24"/>
      <c r="AT1086">
        <v>1</v>
      </c>
      <c r="AX1086" s="24"/>
      <c r="AY1086" s="24"/>
      <c r="AZ1086" s="24"/>
      <c r="BA1086" s="24"/>
      <c r="BC1086" s="24"/>
      <c r="BD1086" s="24"/>
      <c r="BE1086" s="24"/>
      <c r="BF1086" s="24"/>
      <c r="BH1086" s="24"/>
      <c r="BI1086" s="24"/>
      <c r="BJ1086" s="24"/>
      <c r="BK1086" s="24"/>
      <c r="BM1086" s="24"/>
      <c r="BN1086" s="24"/>
      <c r="BO1086" s="24"/>
      <c r="BP1086" s="24"/>
      <c r="BR1086" s="24"/>
      <c r="BS1086" s="24"/>
      <c r="BT1086" s="24"/>
      <c r="BU1086" s="24"/>
      <c r="BW1086" s="24"/>
      <c r="BX1086" s="24"/>
      <c r="BY1086" s="24"/>
      <c r="BZ1086" s="24"/>
      <c r="CB1086" s="24"/>
      <c r="CC1086" s="24"/>
      <c r="CE1086" s="24"/>
      <c r="CF1086" s="24"/>
      <c r="CH1086" s="24"/>
      <c r="CI1086" s="24"/>
      <c r="CJ1086" s="24"/>
      <c r="CK1086" s="24"/>
      <c r="DE1086" s="24"/>
      <c r="DF1086" s="24"/>
      <c r="DG1086" s="24"/>
      <c r="DH1086" s="24"/>
      <c r="DJ1086" t="s">
        <v>149</v>
      </c>
      <c r="DK1086" t="s">
        <v>149</v>
      </c>
      <c r="DP1086">
        <v>749</v>
      </c>
      <c r="DQ1086" t="s">
        <v>1001</v>
      </c>
      <c r="DR1086" t="s">
        <v>149</v>
      </c>
      <c r="DS1086" s="24">
        <v>46160.384426226854</v>
      </c>
    </row>
    <row r="1087" spans="1:123" x14ac:dyDescent="0.3">
      <c r="A1087" t="s">
        <v>1570</v>
      </c>
      <c r="D1087" t="s">
        <v>225</v>
      </c>
      <c r="E1087" s="24">
        <v>45341.531365740739</v>
      </c>
      <c r="G1087" t="s">
        <v>90</v>
      </c>
      <c r="H1087" t="s">
        <v>155</v>
      </c>
      <c r="I1087" s="24"/>
      <c r="J1087" s="24"/>
      <c r="K1087" s="24"/>
      <c r="L1087" s="24"/>
      <c r="N1087" s="24"/>
      <c r="O1087" s="24"/>
      <c r="P1087" s="24"/>
      <c r="Q1087" s="24"/>
      <c r="V1087" s="24"/>
      <c r="W1087" s="24"/>
      <c r="X1087" s="24"/>
      <c r="Y1087" s="24"/>
      <c r="AA1087" s="24">
        <v>45398.73992832176</v>
      </c>
      <c r="AB1087" s="24">
        <v>45387.500713425929</v>
      </c>
      <c r="AC1087" s="24">
        <v>45398.660426539354</v>
      </c>
      <c r="AD1087" s="24">
        <v>45399.534282997687</v>
      </c>
      <c r="AE1087">
        <v>2</v>
      </c>
      <c r="AF1087" s="24">
        <v>45399.534282997687</v>
      </c>
      <c r="AG1087" s="24">
        <v>45398.660426539354</v>
      </c>
      <c r="AH1087" s="24">
        <v>45398.73992832176</v>
      </c>
      <c r="AI1087" s="24">
        <v>45399.603045925927</v>
      </c>
      <c r="AJ1087">
        <v>2</v>
      </c>
      <c r="AK1087" s="24">
        <v>45399.603045925927</v>
      </c>
      <c r="AL1087" s="24">
        <v>45399.603045925927</v>
      </c>
      <c r="AM1087" s="24">
        <v>45399.603337465276</v>
      </c>
      <c r="AN1087" s="24">
        <v>45399.603337465276</v>
      </c>
      <c r="AO1087">
        <v>1</v>
      </c>
      <c r="AP1087" s="24"/>
      <c r="AQ1087" s="24"/>
      <c r="AR1087" s="24">
        <v>45344.485367696761</v>
      </c>
      <c r="AS1087" s="24">
        <v>45344.485367696761</v>
      </c>
      <c r="AX1087" s="24"/>
      <c r="AY1087" s="24"/>
      <c r="AZ1087" s="24"/>
      <c r="BA1087" s="24"/>
      <c r="BC1087" s="24">
        <v>45399.603479930556</v>
      </c>
      <c r="BD1087" s="24">
        <v>45399.603479930556</v>
      </c>
      <c r="BE1087" s="24">
        <v>45898.301057233795</v>
      </c>
      <c r="BF1087" s="24">
        <v>45898.301057233795</v>
      </c>
      <c r="BG1087">
        <v>1</v>
      </c>
      <c r="BH1087" s="24">
        <v>45369.574913761571</v>
      </c>
      <c r="BI1087" s="24">
        <v>45369.574913761571</v>
      </c>
      <c r="BJ1087" s="24">
        <v>45387.500713425929</v>
      </c>
      <c r="BK1087" s="24">
        <v>45387.500713425929</v>
      </c>
      <c r="BL1087">
        <v>1</v>
      </c>
      <c r="BM1087" s="24"/>
      <c r="BN1087" s="24"/>
      <c r="BO1087" s="24"/>
      <c r="BP1087" s="24"/>
      <c r="BR1087" s="24">
        <v>45399.603337465276</v>
      </c>
      <c r="BS1087" s="24">
        <v>45399.603337465276</v>
      </c>
      <c r="BT1087" s="24">
        <v>45399.603479930556</v>
      </c>
      <c r="BU1087" s="24">
        <v>45399.603479930556</v>
      </c>
      <c r="BV1087">
        <v>1</v>
      </c>
      <c r="BW1087" s="24">
        <v>45344.485367696761</v>
      </c>
      <c r="BX1087" s="24">
        <v>45344.485367696761</v>
      </c>
      <c r="BY1087" s="24">
        <v>45369.574913761571</v>
      </c>
      <c r="BZ1087" s="24">
        <v>45369.574913761571</v>
      </c>
      <c r="CA1087">
        <v>1</v>
      </c>
      <c r="CB1087" s="24"/>
      <c r="CC1087" s="24"/>
      <c r="CE1087" s="24">
        <v>45898.301057233795</v>
      </c>
      <c r="CF1087" s="24">
        <v>45898.301057233795</v>
      </c>
      <c r="CG1087">
        <v>1</v>
      </c>
      <c r="CH1087" s="24"/>
      <c r="CI1087" s="24"/>
      <c r="CJ1087" s="24"/>
      <c r="CK1087" s="24"/>
      <c r="DE1087" s="24"/>
      <c r="DF1087" s="24"/>
      <c r="DG1087" s="24"/>
      <c r="DH1087" s="24"/>
      <c r="DJ1087" t="s">
        <v>149</v>
      </c>
      <c r="DK1087" t="s">
        <v>149</v>
      </c>
      <c r="DM1087">
        <v>529</v>
      </c>
      <c r="DN1087">
        <v>511</v>
      </c>
      <c r="DQ1087" t="s">
        <v>1001</v>
      </c>
      <c r="DR1087" t="s">
        <v>149</v>
      </c>
      <c r="DS1087" s="24">
        <v>46160.384426226854</v>
      </c>
    </row>
    <row r="1088" spans="1:123" x14ac:dyDescent="0.3">
      <c r="A1088" t="s">
        <v>1571</v>
      </c>
      <c r="D1088" t="s">
        <v>225</v>
      </c>
      <c r="E1088" s="24">
        <v>45316.39230324074</v>
      </c>
      <c r="G1088" t="s">
        <v>90</v>
      </c>
      <c r="H1088" t="s">
        <v>155</v>
      </c>
      <c r="I1088" s="24"/>
      <c r="J1088" s="24"/>
      <c r="K1088" s="24"/>
      <c r="L1088" s="24"/>
      <c r="N1088" s="24"/>
      <c r="O1088" s="24"/>
      <c r="P1088" s="24"/>
      <c r="Q1088" s="24"/>
      <c r="V1088" s="24"/>
      <c r="W1088" s="24"/>
      <c r="X1088" s="24"/>
      <c r="Y1088" s="24"/>
      <c r="AA1088" s="24">
        <v>45355.592668379628</v>
      </c>
      <c r="AB1088" s="24">
        <v>45355.592668379628</v>
      </c>
      <c r="AC1088" s="24">
        <v>45397.427609398146</v>
      </c>
      <c r="AD1088" s="24">
        <v>45397.427609398146</v>
      </c>
      <c r="AE1088">
        <v>1</v>
      </c>
      <c r="AF1088" s="24"/>
      <c r="AG1088" s="24"/>
      <c r="AH1088" s="24"/>
      <c r="AI1088" s="24"/>
      <c r="AK1088" s="24"/>
      <c r="AL1088" s="24"/>
      <c r="AM1088" s="24"/>
      <c r="AN1088" s="24"/>
      <c r="AP1088" s="24"/>
      <c r="AQ1088" s="24"/>
      <c r="AR1088" s="24">
        <v>45355.591263020833</v>
      </c>
      <c r="AS1088" s="24">
        <v>45355.591263020833</v>
      </c>
      <c r="AX1088" s="24"/>
      <c r="AY1088" s="24"/>
      <c r="AZ1088" s="24"/>
      <c r="BA1088" s="24"/>
      <c r="BC1088" s="24">
        <v>45397.428368541667</v>
      </c>
      <c r="BD1088" s="24">
        <v>45397.428368541667</v>
      </c>
      <c r="BE1088" s="24">
        <v>45898.301057708333</v>
      </c>
      <c r="BF1088" s="24">
        <v>45898.301057708333</v>
      </c>
      <c r="BG1088">
        <v>1</v>
      </c>
      <c r="BH1088" s="24">
        <v>45355.591263020833</v>
      </c>
      <c r="BI1088" s="24">
        <v>45355.591263020833</v>
      </c>
      <c r="BJ1088" s="24">
        <v>45355.592668379628</v>
      </c>
      <c r="BK1088" s="24">
        <v>45355.592668379628</v>
      </c>
      <c r="BL1088">
        <v>1</v>
      </c>
      <c r="BM1088" s="24"/>
      <c r="BN1088" s="24"/>
      <c r="BO1088" s="24"/>
      <c r="BP1088" s="24"/>
      <c r="BR1088" s="24">
        <v>45397.427609398146</v>
      </c>
      <c r="BS1088" s="24">
        <v>45397.427609398146</v>
      </c>
      <c r="BT1088" s="24">
        <v>45397.428368541667</v>
      </c>
      <c r="BU1088" s="24">
        <v>45397.428368541667</v>
      </c>
      <c r="BV1088">
        <v>1</v>
      </c>
      <c r="BW1088" s="24"/>
      <c r="BX1088" s="24"/>
      <c r="BY1088" s="24"/>
      <c r="BZ1088" s="24"/>
      <c r="CB1088" s="24"/>
      <c r="CC1088" s="24"/>
      <c r="CE1088" s="24">
        <v>45898.301057708333</v>
      </c>
      <c r="CF1088" s="24">
        <v>45898.301057708333</v>
      </c>
      <c r="CG1088">
        <v>1</v>
      </c>
      <c r="CH1088" s="24"/>
      <c r="CI1088" s="24"/>
      <c r="CJ1088" s="24"/>
      <c r="CK1088" s="24"/>
      <c r="DE1088" s="24"/>
      <c r="DF1088" s="24"/>
      <c r="DG1088" s="24"/>
      <c r="DH1088" s="24"/>
      <c r="DJ1088" t="s">
        <v>149</v>
      </c>
      <c r="DK1088" t="s">
        <v>149</v>
      </c>
      <c r="DM1088">
        <v>543</v>
      </c>
      <c r="DN1088">
        <v>543</v>
      </c>
      <c r="DQ1088" t="s">
        <v>1001</v>
      </c>
      <c r="DR1088" t="s">
        <v>149</v>
      </c>
      <c r="DS1088" s="24">
        <v>46160.384426226854</v>
      </c>
    </row>
    <row r="1089" spans="1:123" x14ac:dyDescent="0.3">
      <c r="A1089" t="s">
        <v>1572</v>
      </c>
      <c r="D1089" t="s">
        <v>223</v>
      </c>
      <c r="E1089" s="24">
        <v>45257.434641203705</v>
      </c>
      <c r="G1089" t="s">
        <v>102</v>
      </c>
      <c r="H1089" t="s">
        <v>154</v>
      </c>
      <c r="I1089" s="24"/>
      <c r="J1089" s="24"/>
      <c r="K1089" s="24"/>
      <c r="L1089" s="24"/>
      <c r="N1089" s="24"/>
      <c r="O1089" s="24"/>
      <c r="P1089" s="24"/>
      <c r="Q1089" s="24"/>
      <c r="V1089" s="24"/>
      <c r="W1089" s="24"/>
      <c r="X1089" s="24"/>
      <c r="Y1089" s="24"/>
      <c r="AA1089" s="24"/>
      <c r="AB1089" s="24"/>
      <c r="AC1089" s="24"/>
      <c r="AD1089" s="24"/>
      <c r="AF1089" s="24"/>
      <c r="AG1089" s="24"/>
      <c r="AH1089" s="24"/>
      <c r="AI1089" s="24"/>
      <c r="AK1089" s="24"/>
      <c r="AL1089" s="24"/>
      <c r="AM1089" s="24"/>
      <c r="AN1089" s="24"/>
      <c r="AP1089" s="24"/>
      <c r="AQ1089" s="24"/>
      <c r="AR1089" s="24"/>
      <c r="AS1089" s="24"/>
      <c r="AX1089" s="24"/>
      <c r="AY1089" s="24"/>
      <c r="AZ1089" s="24"/>
      <c r="BA1089" s="24"/>
      <c r="BC1089" s="24"/>
      <c r="BD1089" s="24"/>
      <c r="BE1089" s="24"/>
      <c r="BF1089" s="24"/>
      <c r="BH1089" s="24"/>
      <c r="BI1089" s="24"/>
      <c r="BJ1089" s="24"/>
      <c r="BK1089" s="24"/>
      <c r="BM1089" s="24"/>
      <c r="BN1089" s="24"/>
      <c r="BO1089" s="24"/>
      <c r="BP1089" s="24"/>
      <c r="BR1089" s="24"/>
      <c r="BS1089" s="24"/>
      <c r="BT1089" s="24"/>
      <c r="BU1089" s="24"/>
      <c r="BW1089" s="24"/>
      <c r="BX1089" s="24"/>
      <c r="BY1089" s="24"/>
      <c r="BZ1089" s="24"/>
      <c r="CB1089" s="24"/>
      <c r="CC1089" s="24"/>
      <c r="CE1089" s="24"/>
      <c r="CF1089" s="24"/>
      <c r="CH1089" s="24"/>
      <c r="CI1089" s="24"/>
      <c r="CJ1089" s="24"/>
      <c r="CK1089" s="24"/>
      <c r="DE1089" s="24"/>
      <c r="DF1089" s="24"/>
      <c r="DG1089" s="24"/>
      <c r="DH1089" s="24"/>
      <c r="DJ1089" t="s">
        <v>149</v>
      </c>
      <c r="DK1089" t="s">
        <v>149</v>
      </c>
      <c r="DQ1089" t="s">
        <v>1001</v>
      </c>
      <c r="DR1089" t="s">
        <v>149</v>
      </c>
      <c r="DS1089" s="24">
        <v>46160.384426226854</v>
      </c>
    </row>
    <row r="1090" spans="1:123" x14ac:dyDescent="0.3">
      <c r="A1090" t="s">
        <v>1573</v>
      </c>
      <c r="D1090" t="s">
        <v>225</v>
      </c>
      <c r="E1090" s="24">
        <v>45243.434178240743</v>
      </c>
      <c r="G1090" t="s">
        <v>150</v>
      </c>
      <c r="H1090" t="s">
        <v>155</v>
      </c>
      <c r="I1090" s="24"/>
      <c r="J1090" s="24"/>
      <c r="K1090" s="24"/>
      <c r="L1090" s="24"/>
      <c r="N1090" s="24"/>
      <c r="O1090" s="24"/>
      <c r="P1090" s="24"/>
      <c r="Q1090" s="24"/>
      <c r="V1090" s="24"/>
      <c r="W1090" s="24"/>
      <c r="X1090" s="24"/>
      <c r="Y1090" s="24"/>
      <c r="AA1090" s="24"/>
      <c r="AB1090" s="24"/>
      <c r="AC1090" s="24"/>
      <c r="AD1090" s="24"/>
      <c r="AF1090" s="24"/>
      <c r="AG1090" s="24"/>
      <c r="AH1090" s="24"/>
      <c r="AI1090" s="24"/>
      <c r="AK1090" s="24"/>
      <c r="AL1090" s="24"/>
      <c r="AM1090" s="24"/>
      <c r="AN1090" s="24"/>
      <c r="AP1090" s="24"/>
      <c r="AQ1090" s="24"/>
      <c r="AR1090" s="24">
        <v>45992.581164398151</v>
      </c>
      <c r="AS1090" s="24">
        <v>45992.581164398151</v>
      </c>
      <c r="AX1090" s="24"/>
      <c r="AY1090" s="24"/>
      <c r="AZ1090" s="24"/>
      <c r="BA1090" s="24"/>
      <c r="BC1090" s="24"/>
      <c r="BD1090" s="24"/>
      <c r="BE1090" s="24"/>
      <c r="BF1090" s="24"/>
      <c r="BH1090" s="24"/>
      <c r="BI1090" s="24"/>
      <c r="BJ1090" s="24"/>
      <c r="BK1090" s="24"/>
      <c r="BM1090" s="24"/>
      <c r="BN1090" s="24"/>
      <c r="BO1090" s="24"/>
      <c r="BP1090" s="24"/>
      <c r="BR1090" s="24"/>
      <c r="BS1090" s="24"/>
      <c r="BT1090" s="24"/>
      <c r="BU1090" s="24"/>
      <c r="BW1090" s="24"/>
      <c r="BX1090" s="24"/>
      <c r="BY1090" s="24"/>
      <c r="BZ1090" s="24"/>
      <c r="CB1090" s="24">
        <v>45992.581164398151</v>
      </c>
      <c r="CC1090" s="24">
        <v>45992.581164398151</v>
      </c>
      <c r="CD1090">
        <v>1</v>
      </c>
      <c r="CE1090" s="24"/>
      <c r="CF1090" s="24"/>
      <c r="CH1090" s="24"/>
      <c r="CI1090" s="24"/>
      <c r="CJ1090" s="24"/>
      <c r="CK1090" s="24"/>
      <c r="DE1090" s="24"/>
      <c r="DF1090" s="24"/>
      <c r="DG1090" s="24"/>
      <c r="DH1090" s="24"/>
      <c r="DJ1090" t="s">
        <v>149</v>
      </c>
      <c r="DK1090" t="s">
        <v>149</v>
      </c>
      <c r="DQ1090" t="s">
        <v>1001</v>
      </c>
      <c r="DR1090" t="s">
        <v>149</v>
      </c>
      <c r="DS1090" s="24">
        <v>46160.384426226854</v>
      </c>
    </row>
    <row r="1091" spans="1:123" x14ac:dyDescent="0.3">
      <c r="A1091" t="s">
        <v>1574</v>
      </c>
      <c r="D1091" t="s">
        <v>225</v>
      </c>
      <c r="E1091" s="24">
        <v>45203.4221412037</v>
      </c>
      <c r="G1091" t="s">
        <v>103</v>
      </c>
      <c r="H1091" t="s">
        <v>154</v>
      </c>
      <c r="I1091" s="24">
        <v>45209.650361805558</v>
      </c>
      <c r="J1091" s="24">
        <v>45209.650361805558</v>
      </c>
      <c r="K1091" s="24"/>
      <c r="L1091" s="24"/>
      <c r="M1091">
        <v>1</v>
      </c>
      <c r="N1091" s="24"/>
      <c r="O1091" s="24"/>
      <c r="P1091" s="24"/>
      <c r="Q1091" s="24"/>
      <c r="V1091" s="24"/>
      <c r="W1091" s="24"/>
      <c r="X1091" s="24"/>
      <c r="Y1091" s="24"/>
      <c r="AA1091" s="24"/>
      <c r="AB1091" s="24"/>
      <c r="AC1091" s="24"/>
      <c r="AD1091" s="24"/>
      <c r="AF1091" s="24"/>
      <c r="AG1091" s="24"/>
      <c r="AH1091" s="24"/>
      <c r="AI1091" s="24"/>
      <c r="AK1091" s="24"/>
      <c r="AL1091" s="24"/>
      <c r="AM1091" s="24"/>
      <c r="AN1091" s="24"/>
      <c r="AP1091" s="24"/>
      <c r="AQ1091" s="24"/>
      <c r="AR1091" s="24">
        <v>45209.650361805558</v>
      </c>
      <c r="AS1091" s="24">
        <v>45209.650361805558</v>
      </c>
      <c r="AX1091" s="24"/>
      <c r="AY1091" s="24"/>
      <c r="AZ1091" s="24"/>
      <c r="BA1091" s="24"/>
      <c r="BC1091" s="24"/>
      <c r="BD1091" s="24"/>
      <c r="BE1091" s="24"/>
      <c r="BF1091" s="24"/>
      <c r="BH1091" s="24"/>
      <c r="BI1091" s="24"/>
      <c r="BJ1091" s="24"/>
      <c r="BK1091" s="24"/>
      <c r="BM1091" s="24"/>
      <c r="BN1091" s="24"/>
      <c r="BO1091" s="24"/>
      <c r="BP1091" s="24"/>
      <c r="BR1091" s="24"/>
      <c r="BS1091" s="24"/>
      <c r="BT1091" s="24"/>
      <c r="BU1091" s="24"/>
      <c r="BW1091" s="24"/>
      <c r="BX1091" s="24"/>
      <c r="BY1091" s="24"/>
      <c r="BZ1091" s="24"/>
      <c r="CB1091" s="24"/>
      <c r="CC1091" s="24"/>
      <c r="CE1091" s="24"/>
      <c r="CF1091" s="24"/>
      <c r="CH1091" s="24"/>
      <c r="CI1091" s="24"/>
      <c r="CJ1091" s="24"/>
      <c r="CK1091" s="24"/>
      <c r="DE1091" s="24"/>
      <c r="DF1091" s="24"/>
      <c r="DG1091" s="24"/>
      <c r="DH1091" s="24"/>
      <c r="DJ1091" t="s">
        <v>149</v>
      </c>
      <c r="DK1091" t="s">
        <v>149</v>
      </c>
      <c r="DP1091">
        <v>951</v>
      </c>
      <c r="DQ1091" t="s">
        <v>1001</v>
      </c>
      <c r="DR1091" t="s">
        <v>149</v>
      </c>
      <c r="DS1091" s="24">
        <v>46160.384426226854</v>
      </c>
    </row>
    <row r="1092" spans="1:123" x14ac:dyDescent="0.3">
      <c r="A1092" t="s">
        <v>1575</v>
      </c>
      <c r="D1092" t="s">
        <v>225</v>
      </c>
      <c r="E1092" s="24">
        <v>45197.579675925925</v>
      </c>
      <c r="G1092" t="s">
        <v>106</v>
      </c>
      <c r="H1092" t="s">
        <v>154</v>
      </c>
      <c r="I1092" s="24"/>
      <c r="J1092" s="24"/>
      <c r="K1092" s="24"/>
      <c r="L1092" s="24"/>
      <c r="N1092" s="24"/>
      <c r="O1092" s="24"/>
      <c r="P1092" s="24"/>
      <c r="Q1092" s="24"/>
      <c r="V1092" s="24"/>
      <c r="W1092" s="24"/>
      <c r="X1092" s="24"/>
      <c r="Y1092" s="24"/>
      <c r="AA1092" s="24"/>
      <c r="AB1092" s="24"/>
      <c r="AC1092" s="24"/>
      <c r="AD1092" s="24"/>
      <c r="AF1092" s="24"/>
      <c r="AG1092" s="24"/>
      <c r="AH1092" s="24"/>
      <c r="AI1092" s="24"/>
      <c r="AK1092" s="24"/>
      <c r="AL1092" s="24"/>
      <c r="AM1092" s="24"/>
      <c r="AN1092" s="24"/>
      <c r="AP1092" s="24">
        <v>45296.567721828702</v>
      </c>
      <c r="AQ1092" s="24">
        <v>45296.567721828702</v>
      </c>
      <c r="AR1092" s="24">
        <v>45327.585502488429</v>
      </c>
      <c r="AS1092" s="24">
        <v>45327.585502488429</v>
      </c>
      <c r="AT1092">
        <v>1</v>
      </c>
      <c r="AX1092" s="24"/>
      <c r="AY1092" s="24"/>
      <c r="AZ1092" s="24"/>
      <c r="BA1092" s="24"/>
      <c r="BC1092" s="24"/>
      <c r="BD1092" s="24"/>
      <c r="BE1092" s="24"/>
      <c r="BF1092" s="24"/>
      <c r="BH1092" s="24"/>
      <c r="BI1092" s="24"/>
      <c r="BJ1092" s="24"/>
      <c r="BK1092" s="24"/>
      <c r="BM1092" s="24"/>
      <c r="BN1092" s="24"/>
      <c r="BO1092" s="24"/>
      <c r="BP1092" s="24"/>
      <c r="BR1092" s="24"/>
      <c r="BS1092" s="24"/>
      <c r="BT1092" s="24"/>
      <c r="BU1092" s="24"/>
      <c r="BW1092" s="24">
        <v>45327.585502488429</v>
      </c>
      <c r="BX1092" s="24">
        <v>45327.585502488429</v>
      </c>
      <c r="BY1092" s="24"/>
      <c r="BZ1092" s="24"/>
      <c r="CA1092">
        <v>1</v>
      </c>
      <c r="CB1092" s="24"/>
      <c r="CC1092" s="24"/>
      <c r="CE1092" s="24"/>
      <c r="CF1092" s="24"/>
      <c r="CH1092" s="24"/>
      <c r="CI1092" s="24"/>
      <c r="CJ1092" s="24"/>
      <c r="CK1092" s="24"/>
      <c r="DE1092" s="24"/>
      <c r="DF1092" s="24"/>
      <c r="DG1092" s="24"/>
      <c r="DH1092" s="24"/>
      <c r="DJ1092" t="s">
        <v>149</v>
      </c>
      <c r="DK1092" t="s">
        <v>149</v>
      </c>
      <c r="DP1092">
        <v>833</v>
      </c>
      <c r="DQ1092" t="s">
        <v>1001</v>
      </c>
      <c r="DR1092" t="s">
        <v>149</v>
      </c>
      <c r="DS1092" s="24">
        <v>46160.384426226854</v>
      </c>
    </row>
    <row r="1093" spans="1:123" x14ac:dyDescent="0.3">
      <c r="A1093" t="s">
        <v>1576</v>
      </c>
      <c r="D1093" t="s">
        <v>225</v>
      </c>
      <c r="E1093" s="24">
        <v>45197.385567129626</v>
      </c>
      <c r="G1093" t="s">
        <v>90</v>
      </c>
      <c r="H1093" t="s">
        <v>155</v>
      </c>
      <c r="I1093" s="24"/>
      <c r="J1093" s="24"/>
      <c r="K1093" s="24"/>
      <c r="L1093" s="24"/>
      <c r="N1093" s="24"/>
      <c r="O1093" s="24"/>
      <c r="P1093" s="24"/>
      <c r="Q1093" s="24"/>
      <c r="V1093" s="24"/>
      <c r="W1093" s="24"/>
      <c r="X1093" s="24"/>
      <c r="Y1093" s="24"/>
      <c r="AA1093" s="24">
        <v>45215.457889363424</v>
      </c>
      <c r="AB1093" s="24">
        <v>45215.457648622687</v>
      </c>
      <c r="AC1093" s="24">
        <v>45215.457694282406</v>
      </c>
      <c r="AD1093" s="24">
        <v>45257.431810254631</v>
      </c>
      <c r="AE1093">
        <v>2</v>
      </c>
      <c r="AF1093" s="24"/>
      <c r="AG1093" s="24"/>
      <c r="AH1093" s="24"/>
      <c r="AI1093" s="24"/>
      <c r="AK1093" s="24"/>
      <c r="AL1093" s="24"/>
      <c r="AM1093" s="24"/>
      <c r="AN1093" s="24"/>
      <c r="AP1093" s="24"/>
      <c r="AQ1093" s="24"/>
      <c r="AR1093" s="24">
        <v>45215.457554918983</v>
      </c>
      <c r="AS1093" s="24">
        <v>45215.457554918983</v>
      </c>
      <c r="AX1093" s="24"/>
      <c r="AY1093" s="24"/>
      <c r="AZ1093" s="24"/>
      <c r="BA1093" s="24"/>
      <c r="BC1093" s="24">
        <v>45257.433449236109</v>
      </c>
      <c r="BD1093" s="24">
        <v>45257.433449236109</v>
      </c>
      <c r="BE1093" s="24">
        <v>46049.61487578704</v>
      </c>
      <c r="BF1093" s="24">
        <v>46049.61487578704</v>
      </c>
      <c r="BG1093">
        <v>1</v>
      </c>
      <c r="BH1093" s="24">
        <v>45215.457554918983</v>
      </c>
      <c r="BI1093" s="24">
        <v>45215.457554918983</v>
      </c>
      <c r="BJ1093" s="24">
        <v>45215.457648622687</v>
      </c>
      <c r="BK1093" s="24">
        <v>45215.457648622687</v>
      </c>
      <c r="BL1093">
        <v>1</v>
      </c>
      <c r="BM1093" s="24"/>
      <c r="BN1093" s="24"/>
      <c r="BO1093" s="24"/>
      <c r="BP1093" s="24"/>
      <c r="BR1093" s="24">
        <v>45257.431810254631</v>
      </c>
      <c r="BS1093" s="24">
        <v>45215.457694282406</v>
      </c>
      <c r="BT1093" s="24">
        <v>45215.457889363424</v>
      </c>
      <c r="BU1093" s="24">
        <v>45257.433449236109</v>
      </c>
      <c r="BV1093">
        <v>2</v>
      </c>
      <c r="BW1093" s="24"/>
      <c r="BX1093" s="24"/>
      <c r="BY1093" s="24"/>
      <c r="BZ1093" s="24"/>
      <c r="CB1093" s="24"/>
      <c r="CC1093" s="24"/>
      <c r="CE1093" s="24">
        <v>46049.61487578704</v>
      </c>
      <c r="CF1093" s="24">
        <v>46049.61487578704</v>
      </c>
      <c r="CG1093">
        <v>1</v>
      </c>
      <c r="CH1093" s="24"/>
      <c r="CI1093" s="24"/>
      <c r="CJ1093" s="24"/>
      <c r="CK1093" s="24"/>
      <c r="DE1093" s="24"/>
      <c r="DF1093" s="24"/>
      <c r="DG1093" s="24"/>
      <c r="DH1093" s="24"/>
      <c r="DJ1093" t="s">
        <v>149</v>
      </c>
      <c r="DK1093" t="s">
        <v>149</v>
      </c>
      <c r="DM1093">
        <v>835</v>
      </c>
      <c r="DN1093">
        <v>835</v>
      </c>
      <c r="DQ1093" t="s">
        <v>1001</v>
      </c>
      <c r="DR1093" t="s">
        <v>149</v>
      </c>
      <c r="DS1093" s="24">
        <v>46160.384426226854</v>
      </c>
    </row>
    <row r="1094" spans="1:123" x14ac:dyDescent="0.3">
      <c r="A1094" t="s">
        <v>1577</v>
      </c>
      <c r="D1094" t="s">
        <v>225</v>
      </c>
      <c r="E1094" s="24">
        <v>45189.427407407406</v>
      </c>
      <c r="G1094" t="s">
        <v>102</v>
      </c>
      <c r="H1094" t="s">
        <v>154</v>
      </c>
      <c r="I1094" s="24"/>
      <c r="J1094" s="24"/>
      <c r="K1094" s="24"/>
      <c r="L1094" s="24"/>
      <c r="N1094" s="24"/>
      <c r="O1094" s="24"/>
      <c r="P1094" s="24"/>
      <c r="Q1094" s="24"/>
      <c r="V1094" s="24"/>
      <c r="W1094" s="24"/>
      <c r="X1094" s="24"/>
      <c r="Y1094" s="24"/>
      <c r="AA1094" s="24"/>
      <c r="AB1094" s="24"/>
      <c r="AC1094" s="24"/>
      <c r="AD1094" s="24"/>
      <c r="AF1094" s="24"/>
      <c r="AG1094" s="24"/>
      <c r="AH1094" s="24"/>
      <c r="AI1094" s="24"/>
      <c r="AK1094" s="24"/>
      <c r="AL1094" s="24"/>
      <c r="AM1094" s="24"/>
      <c r="AN1094" s="24"/>
      <c r="AP1094" s="24">
        <v>45203.405867002315</v>
      </c>
      <c r="AQ1094" s="24">
        <v>45203.405867002315</v>
      </c>
      <c r="AR1094" s="24"/>
      <c r="AS1094" s="24"/>
      <c r="AT1094">
        <v>1</v>
      </c>
      <c r="AX1094" s="24"/>
      <c r="AY1094" s="24"/>
      <c r="AZ1094" s="24"/>
      <c r="BA1094" s="24"/>
      <c r="BC1094" s="24"/>
      <c r="BD1094" s="24"/>
      <c r="BE1094" s="24"/>
      <c r="BF1094" s="24"/>
      <c r="BH1094" s="24"/>
      <c r="BI1094" s="24"/>
      <c r="BJ1094" s="24"/>
      <c r="BK1094" s="24"/>
      <c r="BM1094" s="24"/>
      <c r="BN1094" s="24"/>
      <c r="BO1094" s="24"/>
      <c r="BP1094" s="24"/>
      <c r="BR1094" s="24"/>
      <c r="BS1094" s="24"/>
      <c r="BT1094" s="24"/>
      <c r="BU1094" s="24"/>
      <c r="BW1094" s="24"/>
      <c r="BX1094" s="24"/>
      <c r="BY1094" s="24"/>
      <c r="BZ1094" s="24"/>
      <c r="CB1094" s="24"/>
      <c r="CC1094" s="24"/>
      <c r="CE1094" s="24"/>
      <c r="CF1094" s="24"/>
      <c r="CH1094" s="24"/>
      <c r="CI1094" s="24"/>
      <c r="CJ1094" s="24"/>
      <c r="CK1094" s="24"/>
      <c r="DE1094" s="24"/>
      <c r="DF1094" s="24"/>
      <c r="DG1094" s="24"/>
      <c r="DH1094" s="24"/>
      <c r="DJ1094" t="s">
        <v>149</v>
      </c>
      <c r="DK1094" t="s">
        <v>149</v>
      </c>
      <c r="DP1094">
        <v>957</v>
      </c>
      <c r="DQ1094" t="s">
        <v>1001</v>
      </c>
      <c r="DR1094" t="s">
        <v>149</v>
      </c>
      <c r="DS1094" s="24">
        <v>46160.384426226854</v>
      </c>
    </row>
    <row r="1095" spans="1:123" x14ac:dyDescent="0.3">
      <c r="A1095" t="s">
        <v>1578</v>
      </c>
      <c r="D1095" t="s">
        <v>223</v>
      </c>
      <c r="E1095" s="24">
        <v>45063.270578703705</v>
      </c>
      <c r="G1095" t="s">
        <v>150</v>
      </c>
      <c r="H1095" t="s">
        <v>155</v>
      </c>
      <c r="I1095" s="24"/>
      <c r="J1095" s="24"/>
      <c r="K1095" s="24"/>
      <c r="L1095" s="24"/>
      <c r="N1095" s="24"/>
      <c r="O1095" s="24"/>
      <c r="P1095" s="24"/>
      <c r="Q1095" s="24"/>
      <c r="V1095" s="24"/>
      <c r="W1095" s="24"/>
      <c r="X1095" s="24"/>
      <c r="Y1095" s="24"/>
      <c r="AA1095" s="24"/>
      <c r="AB1095" s="24"/>
      <c r="AC1095" s="24"/>
      <c r="AD1095" s="24"/>
      <c r="AF1095" s="24"/>
      <c r="AG1095" s="24"/>
      <c r="AH1095" s="24"/>
      <c r="AI1095" s="24"/>
      <c r="AK1095" s="24"/>
      <c r="AL1095" s="24"/>
      <c r="AM1095" s="24"/>
      <c r="AN1095" s="24"/>
      <c r="AP1095" s="24"/>
      <c r="AQ1095" s="24"/>
      <c r="AR1095" s="24"/>
      <c r="AS1095" s="24"/>
      <c r="AX1095" s="24"/>
      <c r="AY1095" s="24"/>
      <c r="AZ1095" s="24"/>
      <c r="BA1095" s="24"/>
      <c r="BC1095" s="24"/>
      <c r="BD1095" s="24"/>
      <c r="BE1095" s="24"/>
      <c r="BF1095" s="24"/>
      <c r="BH1095" s="24">
        <v>45176.452315706018</v>
      </c>
      <c r="BI1095" s="24">
        <v>45176.452315706018</v>
      </c>
      <c r="BJ1095" s="24">
        <v>46001.414294456015</v>
      </c>
      <c r="BK1095" s="24">
        <v>46001.414294456015</v>
      </c>
      <c r="BL1095">
        <v>1</v>
      </c>
      <c r="BM1095" s="24"/>
      <c r="BN1095" s="24"/>
      <c r="BO1095" s="24"/>
      <c r="BP1095" s="24"/>
      <c r="BR1095" s="24"/>
      <c r="BS1095" s="24"/>
      <c r="BT1095" s="24"/>
      <c r="BU1095" s="24"/>
      <c r="BW1095" s="24"/>
      <c r="BX1095" s="24"/>
      <c r="BY1095" s="24"/>
      <c r="BZ1095" s="24"/>
      <c r="CB1095" s="24">
        <v>46001.414294456015</v>
      </c>
      <c r="CC1095" s="24">
        <v>46001.414294456015</v>
      </c>
      <c r="CD1095">
        <v>1</v>
      </c>
      <c r="CE1095" s="24"/>
      <c r="CF1095" s="24"/>
      <c r="CH1095" s="24"/>
      <c r="CI1095" s="24"/>
      <c r="CJ1095" s="24"/>
      <c r="CK1095" s="24"/>
      <c r="DE1095" s="24"/>
      <c r="DF1095" s="24"/>
      <c r="DG1095" s="24"/>
      <c r="DH1095" s="24"/>
      <c r="DJ1095" t="s">
        <v>149</v>
      </c>
      <c r="DK1095" t="s">
        <v>149</v>
      </c>
      <c r="DQ1095" t="s">
        <v>1001</v>
      </c>
      <c r="DR1095" t="s">
        <v>149</v>
      </c>
      <c r="DS1095" s="24">
        <v>46160.384426226854</v>
      </c>
    </row>
    <row r="1096" spans="1:123" x14ac:dyDescent="0.3">
      <c r="A1096" t="s">
        <v>1579</v>
      </c>
      <c r="D1096" t="s">
        <v>223</v>
      </c>
      <c r="E1096" s="24">
        <v>44585.613321759258</v>
      </c>
      <c r="G1096" t="s">
        <v>150</v>
      </c>
      <c r="H1096" t="s">
        <v>155</v>
      </c>
      <c r="I1096" s="24"/>
      <c r="J1096" s="24"/>
      <c r="K1096" s="24"/>
      <c r="L1096" s="24"/>
      <c r="N1096" s="24"/>
      <c r="O1096" s="24"/>
      <c r="P1096" s="24"/>
      <c r="Q1096" s="24"/>
      <c r="V1096" s="24"/>
      <c r="W1096" s="24"/>
      <c r="X1096" s="24"/>
      <c r="Y1096" s="24"/>
      <c r="AA1096" s="24"/>
      <c r="AB1096" s="24"/>
      <c r="AC1096" s="24"/>
      <c r="AD1096" s="24"/>
      <c r="AF1096" s="24"/>
      <c r="AG1096" s="24"/>
      <c r="AH1096" s="24"/>
      <c r="AI1096" s="24"/>
      <c r="AK1096" s="24"/>
      <c r="AL1096" s="24"/>
      <c r="AM1096" s="24"/>
      <c r="AN1096" s="24"/>
      <c r="AP1096" s="24"/>
      <c r="AQ1096" s="24"/>
      <c r="AR1096" s="24"/>
      <c r="AS1096" s="24"/>
      <c r="AX1096" s="24"/>
      <c r="AY1096" s="24"/>
      <c r="AZ1096" s="24"/>
      <c r="BA1096" s="24"/>
      <c r="BC1096" s="24"/>
      <c r="BD1096" s="24"/>
      <c r="BE1096" s="24"/>
      <c r="BF1096" s="24"/>
      <c r="BH1096" s="24">
        <v>45176.451956550925</v>
      </c>
      <c r="BI1096" s="24">
        <v>45176.451956550925</v>
      </c>
      <c r="BJ1096" s="24">
        <v>45992.562489537035</v>
      </c>
      <c r="BK1096" s="24">
        <v>45992.562489537035</v>
      </c>
      <c r="BL1096">
        <v>1</v>
      </c>
      <c r="BM1096" s="24"/>
      <c r="BN1096" s="24"/>
      <c r="BO1096" s="24"/>
      <c r="BP1096" s="24"/>
      <c r="BR1096" s="24"/>
      <c r="BS1096" s="24"/>
      <c r="BT1096" s="24"/>
      <c r="BU1096" s="24"/>
      <c r="BW1096" s="24"/>
      <c r="BX1096" s="24"/>
      <c r="BY1096" s="24"/>
      <c r="BZ1096" s="24"/>
      <c r="CB1096" s="24">
        <v>45992.562489537035</v>
      </c>
      <c r="CC1096" s="24">
        <v>45992.562489537035</v>
      </c>
      <c r="CD1096">
        <v>1</v>
      </c>
      <c r="CE1096" s="24"/>
      <c r="CF1096" s="24"/>
      <c r="CH1096" s="24"/>
      <c r="CI1096" s="24"/>
      <c r="CJ1096" s="24"/>
      <c r="CK1096" s="24"/>
      <c r="DE1096" s="24"/>
      <c r="DF1096" s="24"/>
      <c r="DG1096" s="24"/>
      <c r="DH1096" s="24"/>
      <c r="DJ1096" t="s">
        <v>149</v>
      </c>
      <c r="DK1096" t="s">
        <v>149</v>
      </c>
      <c r="DQ1096" t="s">
        <v>1001</v>
      </c>
      <c r="DR1096" t="s">
        <v>149</v>
      </c>
      <c r="DS1096" s="24">
        <v>46160.384426226854</v>
      </c>
    </row>
    <row r="1097" spans="1:123" x14ac:dyDescent="0.3">
      <c r="A1097" t="s">
        <v>1580</v>
      </c>
      <c r="D1097" t="s">
        <v>223</v>
      </c>
      <c r="E1097" s="24">
        <v>45062.432997685188</v>
      </c>
      <c r="G1097" t="s">
        <v>150</v>
      </c>
      <c r="H1097" t="s">
        <v>155</v>
      </c>
      <c r="I1097" s="24"/>
      <c r="J1097" s="24"/>
      <c r="K1097" s="24"/>
      <c r="L1097" s="24"/>
      <c r="N1097" s="24"/>
      <c r="O1097" s="24"/>
      <c r="P1097" s="24"/>
      <c r="Q1097" s="24"/>
      <c r="V1097" s="24"/>
      <c r="W1097" s="24"/>
      <c r="X1097" s="24"/>
      <c r="Y1097" s="24"/>
      <c r="AA1097" s="24"/>
      <c r="AB1097" s="24"/>
      <c r="AC1097" s="24"/>
      <c r="AD1097" s="24"/>
      <c r="AF1097" s="24"/>
      <c r="AG1097" s="24"/>
      <c r="AH1097" s="24"/>
      <c r="AI1097" s="24"/>
      <c r="AK1097" s="24"/>
      <c r="AL1097" s="24"/>
      <c r="AM1097" s="24"/>
      <c r="AN1097" s="24"/>
      <c r="AP1097" s="24"/>
      <c r="AQ1097" s="24"/>
      <c r="AR1097" s="24"/>
      <c r="AS1097" s="24"/>
      <c r="AX1097" s="24"/>
      <c r="AY1097" s="24"/>
      <c r="AZ1097" s="24"/>
      <c r="BA1097" s="24"/>
      <c r="BC1097" s="24"/>
      <c r="BD1097" s="24"/>
      <c r="BE1097" s="24"/>
      <c r="BF1097" s="24"/>
      <c r="BH1097" s="24">
        <v>45176.451845405092</v>
      </c>
      <c r="BI1097" s="24">
        <v>45176.451845405092</v>
      </c>
      <c r="BJ1097" s="24">
        <v>46001.41416291667</v>
      </c>
      <c r="BK1097" s="24">
        <v>46001.41416291667</v>
      </c>
      <c r="BL1097">
        <v>1</v>
      </c>
      <c r="BM1097" s="24"/>
      <c r="BN1097" s="24"/>
      <c r="BO1097" s="24"/>
      <c r="BP1097" s="24"/>
      <c r="BR1097" s="24"/>
      <c r="BS1097" s="24"/>
      <c r="BT1097" s="24"/>
      <c r="BU1097" s="24"/>
      <c r="BW1097" s="24"/>
      <c r="BX1097" s="24"/>
      <c r="BY1097" s="24"/>
      <c r="BZ1097" s="24"/>
      <c r="CB1097" s="24">
        <v>46001.41416291667</v>
      </c>
      <c r="CC1097" s="24">
        <v>46001.41416291667</v>
      </c>
      <c r="CD1097">
        <v>1</v>
      </c>
      <c r="CE1097" s="24"/>
      <c r="CF1097" s="24"/>
      <c r="CH1097" s="24"/>
      <c r="CI1097" s="24"/>
      <c r="CJ1097" s="24"/>
      <c r="CK1097" s="24"/>
      <c r="DE1097" s="24"/>
      <c r="DF1097" s="24"/>
      <c r="DG1097" s="24"/>
      <c r="DH1097" s="24"/>
      <c r="DJ1097" t="s">
        <v>149</v>
      </c>
      <c r="DK1097" t="s">
        <v>149</v>
      </c>
      <c r="DQ1097" t="s">
        <v>1001</v>
      </c>
      <c r="DR1097" t="s">
        <v>149</v>
      </c>
      <c r="DS1097" s="24">
        <v>46160.384426226854</v>
      </c>
    </row>
    <row r="1098" spans="1:123" x14ac:dyDescent="0.3">
      <c r="A1098" t="s">
        <v>1581</v>
      </c>
      <c r="D1098" t="s">
        <v>225</v>
      </c>
      <c r="E1098" s="24">
        <v>45168.582592592589</v>
      </c>
      <c r="G1098" t="s">
        <v>150</v>
      </c>
      <c r="H1098" t="s">
        <v>155</v>
      </c>
      <c r="I1098" s="24"/>
      <c r="J1098" s="24"/>
      <c r="K1098" s="24"/>
      <c r="L1098" s="24"/>
      <c r="N1098" s="24"/>
      <c r="O1098" s="24"/>
      <c r="P1098" s="24"/>
      <c r="Q1098" s="24"/>
      <c r="V1098" s="24"/>
      <c r="W1098" s="24"/>
      <c r="X1098" s="24"/>
      <c r="Y1098" s="24"/>
      <c r="AA1098" s="24"/>
      <c r="AB1098" s="24"/>
      <c r="AC1098" s="24"/>
      <c r="AD1098" s="24"/>
      <c r="AF1098" s="24"/>
      <c r="AG1098" s="24"/>
      <c r="AH1098" s="24"/>
      <c r="AI1098" s="24"/>
      <c r="AK1098" s="24"/>
      <c r="AL1098" s="24"/>
      <c r="AM1098" s="24"/>
      <c r="AN1098" s="24"/>
      <c r="AP1098" s="24"/>
      <c r="AQ1098" s="24"/>
      <c r="AR1098" s="24"/>
      <c r="AS1098" s="24"/>
      <c r="AX1098" s="24"/>
      <c r="AY1098" s="24"/>
      <c r="AZ1098" s="24"/>
      <c r="BA1098" s="24"/>
      <c r="BC1098" s="24"/>
      <c r="BD1098" s="24"/>
      <c r="BE1098" s="24"/>
      <c r="BF1098" s="24"/>
      <c r="BH1098" s="24">
        <v>45176.447892997683</v>
      </c>
      <c r="BI1098" s="24">
        <v>45176.447892997683</v>
      </c>
      <c r="BJ1098" s="24">
        <v>45992.574764131947</v>
      </c>
      <c r="BK1098" s="24">
        <v>45992.574764131947</v>
      </c>
      <c r="BL1098">
        <v>1</v>
      </c>
      <c r="BM1098" s="24"/>
      <c r="BN1098" s="24"/>
      <c r="BO1098" s="24"/>
      <c r="BP1098" s="24"/>
      <c r="BR1098" s="24"/>
      <c r="BS1098" s="24"/>
      <c r="BT1098" s="24"/>
      <c r="BU1098" s="24"/>
      <c r="BW1098" s="24"/>
      <c r="BX1098" s="24"/>
      <c r="BY1098" s="24"/>
      <c r="BZ1098" s="24"/>
      <c r="CB1098" s="24">
        <v>45992.574764131947</v>
      </c>
      <c r="CC1098" s="24">
        <v>45992.574764131947</v>
      </c>
      <c r="CD1098">
        <v>1</v>
      </c>
      <c r="CE1098" s="24"/>
      <c r="CF1098" s="24"/>
      <c r="CH1098" s="24"/>
      <c r="CI1098" s="24"/>
      <c r="CJ1098" s="24"/>
      <c r="CK1098" s="24"/>
      <c r="DE1098" s="24"/>
      <c r="DF1098" s="24"/>
      <c r="DG1098" s="24"/>
      <c r="DH1098" s="24"/>
      <c r="DJ1098" t="s">
        <v>149</v>
      </c>
      <c r="DK1098" t="s">
        <v>149</v>
      </c>
      <c r="DQ1098" t="s">
        <v>1001</v>
      </c>
      <c r="DR1098" t="s">
        <v>149</v>
      </c>
      <c r="DS1098" s="24">
        <v>46160.384426226854</v>
      </c>
    </row>
    <row r="1099" spans="1:123" x14ac:dyDescent="0.3">
      <c r="A1099" t="s">
        <v>1582</v>
      </c>
      <c r="D1099" t="s">
        <v>225</v>
      </c>
      <c r="E1099" s="24">
        <v>45099.465057870373</v>
      </c>
      <c r="G1099" t="s">
        <v>150</v>
      </c>
      <c r="H1099" t="s">
        <v>155</v>
      </c>
      <c r="I1099" s="24"/>
      <c r="J1099" s="24"/>
      <c r="K1099" s="24"/>
      <c r="L1099" s="24"/>
      <c r="N1099" s="24"/>
      <c r="O1099" s="24"/>
      <c r="P1099" s="24"/>
      <c r="Q1099" s="24"/>
      <c r="V1099" s="24"/>
      <c r="W1099" s="24"/>
      <c r="X1099" s="24"/>
      <c r="Y1099" s="24"/>
      <c r="AA1099" s="24"/>
      <c r="AB1099" s="24"/>
      <c r="AC1099" s="24"/>
      <c r="AD1099" s="24"/>
      <c r="AF1099" s="24"/>
      <c r="AG1099" s="24"/>
      <c r="AH1099" s="24"/>
      <c r="AI1099" s="24"/>
      <c r="AK1099" s="24"/>
      <c r="AL1099" s="24"/>
      <c r="AM1099" s="24"/>
      <c r="AN1099" s="24"/>
      <c r="AP1099" s="24"/>
      <c r="AQ1099" s="24"/>
      <c r="AR1099" s="24"/>
      <c r="AS1099" s="24"/>
      <c r="AX1099" s="24"/>
      <c r="AY1099" s="24"/>
      <c r="AZ1099" s="24"/>
      <c r="BA1099" s="24"/>
      <c r="BC1099" s="24"/>
      <c r="BD1099" s="24"/>
      <c r="BE1099" s="24"/>
      <c r="BF1099" s="24"/>
      <c r="BH1099" s="24">
        <v>45176.447853217593</v>
      </c>
      <c r="BI1099" s="24">
        <v>45176.447853217593</v>
      </c>
      <c r="BJ1099" s="24">
        <v>45992.5873746875</v>
      </c>
      <c r="BK1099" s="24">
        <v>45992.5873746875</v>
      </c>
      <c r="BL1099">
        <v>1</v>
      </c>
      <c r="BM1099" s="24"/>
      <c r="BN1099" s="24"/>
      <c r="BO1099" s="24"/>
      <c r="BP1099" s="24"/>
      <c r="BR1099" s="24"/>
      <c r="BS1099" s="24"/>
      <c r="BT1099" s="24"/>
      <c r="BU1099" s="24"/>
      <c r="BW1099" s="24"/>
      <c r="BX1099" s="24"/>
      <c r="BY1099" s="24"/>
      <c r="BZ1099" s="24"/>
      <c r="CB1099" s="24">
        <v>45992.5873746875</v>
      </c>
      <c r="CC1099" s="24">
        <v>45992.5873746875</v>
      </c>
      <c r="CD1099">
        <v>1</v>
      </c>
      <c r="CE1099" s="24"/>
      <c r="CF1099" s="24"/>
      <c r="CH1099" s="24"/>
      <c r="CI1099" s="24"/>
      <c r="CJ1099" s="24"/>
      <c r="CK1099" s="24"/>
      <c r="DE1099" s="24"/>
      <c r="DF1099" s="24"/>
      <c r="DG1099" s="24"/>
      <c r="DH1099" s="24"/>
      <c r="DJ1099" t="s">
        <v>149</v>
      </c>
      <c r="DK1099" t="s">
        <v>149</v>
      </c>
      <c r="DQ1099" t="s">
        <v>1001</v>
      </c>
      <c r="DR1099" t="s">
        <v>149</v>
      </c>
      <c r="DS1099" s="24">
        <v>46160.384426226854</v>
      </c>
    </row>
    <row r="1100" spans="1:123" x14ac:dyDescent="0.3">
      <c r="A1100" t="s">
        <v>1583</v>
      </c>
      <c r="D1100" t="s">
        <v>225</v>
      </c>
      <c r="E1100" s="24">
        <v>45111.403344907405</v>
      </c>
      <c r="G1100" t="s">
        <v>150</v>
      </c>
      <c r="H1100" t="s">
        <v>155</v>
      </c>
      <c r="I1100" s="24"/>
      <c r="J1100" s="24"/>
      <c r="K1100" s="24"/>
      <c r="L1100" s="24"/>
      <c r="N1100" s="24"/>
      <c r="O1100" s="24"/>
      <c r="P1100" s="24"/>
      <c r="Q1100" s="24"/>
      <c r="V1100" s="24"/>
      <c r="W1100" s="24"/>
      <c r="X1100" s="24"/>
      <c r="Y1100" s="24"/>
      <c r="AA1100" s="24"/>
      <c r="AB1100" s="24"/>
      <c r="AC1100" s="24"/>
      <c r="AD1100" s="24"/>
      <c r="AF1100" s="24"/>
      <c r="AG1100" s="24"/>
      <c r="AH1100" s="24"/>
      <c r="AI1100" s="24"/>
      <c r="AK1100" s="24"/>
      <c r="AL1100" s="24"/>
      <c r="AM1100" s="24"/>
      <c r="AN1100" s="24"/>
      <c r="AP1100" s="24"/>
      <c r="AQ1100" s="24"/>
      <c r="AR1100" s="24"/>
      <c r="AS1100" s="24"/>
      <c r="AX1100" s="24"/>
      <c r="AY1100" s="24"/>
      <c r="AZ1100" s="24"/>
      <c r="BA1100" s="24"/>
      <c r="BC1100" s="24"/>
      <c r="BD1100" s="24"/>
      <c r="BE1100" s="24"/>
      <c r="BF1100" s="24"/>
      <c r="BH1100" s="24">
        <v>45176.447743032404</v>
      </c>
      <c r="BI1100" s="24">
        <v>45176.447743032404</v>
      </c>
      <c r="BJ1100" s="24">
        <v>45992.588832719906</v>
      </c>
      <c r="BK1100" s="24">
        <v>45992.588832719906</v>
      </c>
      <c r="BL1100">
        <v>1</v>
      </c>
      <c r="BM1100" s="24"/>
      <c r="BN1100" s="24"/>
      <c r="BO1100" s="24"/>
      <c r="BP1100" s="24"/>
      <c r="BR1100" s="24"/>
      <c r="BS1100" s="24"/>
      <c r="BT1100" s="24"/>
      <c r="BU1100" s="24"/>
      <c r="BW1100" s="24"/>
      <c r="BX1100" s="24"/>
      <c r="BY1100" s="24"/>
      <c r="BZ1100" s="24"/>
      <c r="CB1100" s="24">
        <v>45992.588832719906</v>
      </c>
      <c r="CC1100" s="24">
        <v>45992.588832719906</v>
      </c>
      <c r="CD1100">
        <v>1</v>
      </c>
      <c r="CE1100" s="24"/>
      <c r="CF1100" s="24"/>
      <c r="CH1100" s="24"/>
      <c r="CI1100" s="24"/>
      <c r="CJ1100" s="24"/>
      <c r="CK1100" s="24"/>
      <c r="DE1100" s="24"/>
      <c r="DF1100" s="24"/>
      <c r="DG1100" s="24"/>
      <c r="DH1100" s="24"/>
      <c r="DJ1100" t="s">
        <v>149</v>
      </c>
      <c r="DK1100" t="s">
        <v>149</v>
      </c>
      <c r="DQ1100" t="s">
        <v>1001</v>
      </c>
      <c r="DR1100" t="s">
        <v>149</v>
      </c>
      <c r="DS1100" s="24">
        <v>46160.384426226854</v>
      </c>
    </row>
    <row r="1101" spans="1:123" x14ac:dyDescent="0.3">
      <c r="A1101" t="s">
        <v>1584</v>
      </c>
      <c r="D1101" t="s">
        <v>225</v>
      </c>
      <c r="E1101" s="24">
        <v>45041.491527777776</v>
      </c>
      <c r="G1101" t="s">
        <v>107</v>
      </c>
      <c r="H1101" t="s">
        <v>154</v>
      </c>
      <c r="I1101" s="24"/>
      <c r="J1101" s="24"/>
      <c r="K1101" s="24"/>
      <c r="L1101" s="24"/>
      <c r="N1101" s="24"/>
      <c r="O1101" s="24"/>
      <c r="P1101" s="24"/>
      <c r="Q1101" s="24"/>
      <c r="V1101" s="24"/>
      <c r="W1101" s="24"/>
      <c r="X1101" s="24"/>
      <c r="Y1101" s="24"/>
      <c r="AA1101" s="24"/>
      <c r="AB1101" s="24"/>
      <c r="AC1101" s="24"/>
      <c r="AD1101" s="24"/>
      <c r="AF1101" s="24"/>
      <c r="AG1101" s="24"/>
      <c r="AH1101" s="24"/>
      <c r="AI1101" s="24"/>
      <c r="AK1101" s="24"/>
      <c r="AL1101" s="24"/>
      <c r="AM1101" s="24"/>
      <c r="AN1101" s="24"/>
      <c r="AP1101" s="24"/>
      <c r="AQ1101" s="24"/>
      <c r="AR1101" s="24"/>
      <c r="AS1101" s="24"/>
      <c r="AX1101" s="24"/>
      <c r="AY1101" s="24"/>
      <c r="AZ1101" s="24"/>
      <c r="BA1101" s="24"/>
      <c r="BC1101" s="24"/>
      <c r="BD1101" s="24"/>
      <c r="BE1101" s="24"/>
      <c r="BF1101" s="24"/>
      <c r="BH1101" s="24">
        <v>45176.44760702546</v>
      </c>
      <c r="BI1101" s="24">
        <v>45176.44760702546</v>
      </c>
      <c r="BJ1101" s="24"/>
      <c r="BK1101" s="24"/>
      <c r="BL1101">
        <v>1</v>
      </c>
      <c r="BM1101" s="24"/>
      <c r="BN1101" s="24"/>
      <c r="BO1101" s="24"/>
      <c r="BP1101" s="24"/>
      <c r="BR1101" s="24"/>
      <c r="BS1101" s="24"/>
      <c r="BT1101" s="24"/>
      <c r="BU1101" s="24"/>
      <c r="BW1101" s="24"/>
      <c r="BX1101" s="24"/>
      <c r="BY1101" s="24"/>
      <c r="BZ1101" s="24"/>
      <c r="CB1101" s="24"/>
      <c r="CC1101" s="24"/>
      <c r="CE1101" s="24"/>
      <c r="CF1101" s="24"/>
      <c r="CH1101" s="24"/>
      <c r="CI1101" s="24"/>
      <c r="CJ1101" s="24"/>
      <c r="CK1101" s="24"/>
      <c r="DE1101" s="24"/>
      <c r="DF1101" s="24"/>
      <c r="DG1101" s="24"/>
      <c r="DH1101" s="24"/>
      <c r="DJ1101" t="s">
        <v>149</v>
      </c>
      <c r="DK1101" t="s">
        <v>149</v>
      </c>
      <c r="DP1101">
        <v>984</v>
      </c>
      <c r="DQ1101" t="s">
        <v>1001</v>
      </c>
      <c r="DR1101" t="s">
        <v>149</v>
      </c>
      <c r="DS1101" s="24">
        <v>46160.384426226854</v>
      </c>
    </row>
    <row r="1102" spans="1:123" x14ac:dyDescent="0.3">
      <c r="A1102" t="s">
        <v>1585</v>
      </c>
      <c r="D1102" t="s">
        <v>225</v>
      </c>
      <c r="E1102" s="24">
        <v>45014.510266203702</v>
      </c>
      <c r="G1102" t="s">
        <v>150</v>
      </c>
      <c r="H1102" t="s">
        <v>155</v>
      </c>
      <c r="I1102" s="24"/>
      <c r="J1102" s="24"/>
      <c r="K1102" s="24"/>
      <c r="L1102" s="24"/>
      <c r="N1102" s="24"/>
      <c r="O1102" s="24"/>
      <c r="P1102" s="24"/>
      <c r="Q1102" s="24"/>
      <c r="V1102" s="24"/>
      <c r="W1102" s="24"/>
      <c r="X1102" s="24"/>
      <c r="Y1102" s="24"/>
      <c r="AA1102" s="24"/>
      <c r="AB1102" s="24"/>
      <c r="AC1102" s="24"/>
      <c r="AD1102" s="24"/>
      <c r="AF1102" s="24"/>
      <c r="AG1102" s="24"/>
      <c r="AH1102" s="24"/>
      <c r="AI1102" s="24"/>
      <c r="AK1102" s="24"/>
      <c r="AL1102" s="24"/>
      <c r="AM1102" s="24"/>
      <c r="AN1102" s="24"/>
      <c r="AP1102" s="24"/>
      <c r="AQ1102" s="24"/>
      <c r="AR1102" s="24"/>
      <c r="AS1102" s="24"/>
      <c r="AX1102" s="24"/>
      <c r="AY1102" s="24"/>
      <c r="AZ1102" s="24"/>
      <c r="BA1102" s="24"/>
      <c r="BC1102" s="24"/>
      <c r="BD1102" s="24"/>
      <c r="BE1102" s="24"/>
      <c r="BF1102" s="24"/>
      <c r="BH1102" s="24">
        <v>45176.447573229168</v>
      </c>
      <c r="BI1102" s="24">
        <v>45176.447573229168</v>
      </c>
      <c r="BJ1102" s="24">
        <v>46001.41343079861</v>
      </c>
      <c r="BK1102" s="24">
        <v>46001.41343079861</v>
      </c>
      <c r="BL1102">
        <v>1</v>
      </c>
      <c r="BM1102" s="24"/>
      <c r="BN1102" s="24"/>
      <c r="BO1102" s="24"/>
      <c r="BP1102" s="24"/>
      <c r="BR1102" s="24"/>
      <c r="BS1102" s="24"/>
      <c r="BT1102" s="24"/>
      <c r="BU1102" s="24"/>
      <c r="BW1102" s="24"/>
      <c r="BX1102" s="24"/>
      <c r="BY1102" s="24"/>
      <c r="BZ1102" s="24"/>
      <c r="CB1102" s="24">
        <v>46001.41343079861</v>
      </c>
      <c r="CC1102" s="24">
        <v>46001.41343079861</v>
      </c>
      <c r="CD1102">
        <v>1</v>
      </c>
      <c r="CE1102" s="24"/>
      <c r="CF1102" s="24"/>
      <c r="CH1102" s="24"/>
      <c r="CI1102" s="24"/>
      <c r="CJ1102" s="24"/>
      <c r="CK1102" s="24"/>
      <c r="DE1102" s="24"/>
      <c r="DF1102" s="24"/>
      <c r="DG1102" s="24"/>
      <c r="DH1102" s="24"/>
      <c r="DJ1102" t="s">
        <v>149</v>
      </c>
      <c r="DK1102" t="s">
        <v>149</v>
      </c>
      <c r="DQ1102" t="s">
        <v>1001</v>
      </c>
      <c r="DR1102" t="s">
        <v>149</v>
      </c>
      <c r="DS1102" s="24">
        <v>46160.384426226854</v>
      </c>
    </row>
    <row r="1103" spans="1:123" x14ac:dyDescent="0.3">
      <c r="A1103" t="s">
        <v>1586</v>
      </c>
      <c r="D1103" t="s">
        <v>225</v>
      </c>
      <c r="E1103" s="24">
        <v>45009.455451388887</v>
      </c>
      <c r="G1103" t="s">
        <v>150</v>
      </c>
      <c r="H1103" t="s">
        <v>155</v>
      </c>
      <c r="I1103" s="24"/>
      <c r="J1103" s="24"/>
      <c r="K1103" s="24"/>
      <c r="L1103" s="24"/>
      <c r="N1103" s="24"/>
      <c r="O1103" s="24"/>
      <c r="P1103" s="24"/>
      <c r="Q1103" s="24"/>
      <c r="V1103" s="24"/>
      <c r="W1103" s="24"/>
      <c r="X1103" s="24"/>
      <c r="Y1103" s="24"/>
      <c r="AA1103" s="24"/>
      <c r="AB1103" s="24"/>
      <c r="AC1103" s="24"/>
      <c r="AD1103" s="24"/>
      <c r="AF1103" s="24"/>
      <c r="AG1103" s="24"/>
      <c r="AH1103" s="24"/>
      <c r="AI1103" s="24"/>
      <c r="AK1103" s="24"/>
      <c r="AL1103" s="24"/>
      <c r="AM1103" s="24"/>
      <c r="AN1103" s="24"/>
      <c r="AP1103" s="24"/>
      <c r="AQ1103" s="24"/>
      <c r="AR1103" s="24"/>
      <c r="AS1103" s="24"/>
      <c r="AX1103" s="24"/>
      <c r="AY1103" s="24"/>
      <c r="AZ1103" s="24"/>
      <c r="BA1103" s="24"/>
      <c r="BC1103" s="24"/>
      <c r="BD1103" s="24"/>
      <c r="BE1103" s="24"/>
      <c r="BF1103" s="24"/>
      <c r="BH1103" s="24">
        <v>45176.447440081021</v>
      </c>
      <c r="BI1103" s="24">
        <v>45176.447440081021</v>
      </c>
      <c r="BJ1103" s="24">
        <v>45992.590484837965</v>
      </c>
      <c r="BK1103" s="24">
        <v>45992.590484837965</v>
      </c>
      <c r="BL1103">
        <v>1</v>
      </c>
      <c r="BM1103" s="24"/>
      <c r="BN1103" s="24"/>
      <c r="BO1103" s="24"/>
      <c r="BP1103" s="24"/>
      <c r="BR1103" s="24"/>
      <c r="BS1103" s="24"/>
      <c r="BT1103" s="24"/>
      <c r="BU1103" s="24"/>
      <c r="BW1103" s="24"/>
      <c r="BX1103" s="24"/>
      <c r="BY1103" s="24"/>
      <c r="BZ1103" s="24"/>
      <c r="CB1103" s="24">
        <v>45992.590484837965</v>
      </c>
      <c r="CC1103" s="24">
        <v>45992.590484837965</v>
      </c>
      <c r="CD1103">
        <v>1</v>
      </c>
      <c r="CE1103" s="24"/>
      <c r="CF1103" s="24"/>
      <c r="CH1103" s="24"/>
      <c r="CI1103" s="24"/>
      <c r="CJ1103" s="24"/>
      <c r="CK1103" s="24"/>
      <c r="DE1103" s="24"/>
      <c r="DF1103" s="24"/>
      <c r="DG1103" s="24"/>
      <c r="DH1103" s="24"/>
      <c r="DJ1103" t="s">
        <v>149</v>
      </c>
      <c r="DK1103" t="s">
        <v>149</v>
      </c>
      <c r="DQ1103" t="s">
        <v>1001</v>
      </c>
      <c r="DR1103" t="s">
        <v>149</v>
      </c>
      <c r="DS1103" s="24">
        <v>46160.384426226854</v>
      </c>
    </row>
    <row r="1104" spans="1:123" x14ac:dyDescent="0.3">
      <c r="A1104" t="s">
        <v>1587</v>
      </c>
      <c r="D1104" t="s">
        <v>225</v>
      </c>
      <c r="E1104" s="24">
        <v>44988.48636574074</v>
      </c>
      <c r="G1104" t="s">
        <v>150</v>
      </c>
      <c r="H1104" t="s">
        <v>155</v>
      </c>
      <c r="I1104" s="24"/>
      <c r="J1104" s="24"/>
      <c r="K1104" s="24"/>
      <c r="L1104" s="24"/>
      <c r="N1104" s="24"/>
      <c r="O1104" s="24"/>
      <c r="P1104" s="24"/>
      <c r="Q1104" s="24"/>
      <c r="V1104" s="24"/>
      <c r="W1104" s="24"/>
      <c r="X1104" s="24"/>
      <c r="Y1104" s="24"/>
      <c r="AA1104" s="24"/>
      <c r="AB1104" s="24"/>
      <c r="AC1104" s="24"/>
      <c r="AD1104" s="24"/>
      <c r="AF1104" s="24"/>
      <c r="AG1104" s="24"/>
      <c r="AH1104" s="24"/>
      <c r="AI1104" s="24"/>
      <c r="AK1104" s="24"/>
      <c r="AL1104" s="24"/>
      <c r="AM1104" s="24"/>
      <c r="AN1104" s="24"/>
      <c r="AP1104" s="24"/>
      <c r="AQ1104" s="24"/>
      <c r="AR1104" s="24"/>
      <c r="AS1104" s="24"/>
      <c r="AX1104" s="24"/>
      <c r="AY1104" s="24"/>
      <c r="AZ1104" s="24"/>
      <c r="BA1104" s="24"/>
      <c r="BC1104" s="24"/>
      <c r="BD1104" s="24"/>
      <c r="BE1104" s="24"/>
      <c r="BF1104" s="24"/>
      <c r="BH1104" s="24">
        <v>45176.446926770834</v>
      </c>
      <c r="BI1104" s="24">
        <v>45176.446926770834</v>
      </c>
      <c r="BJ1104" s="24">
        <v>45992.580163159721</v>
      </c>
      <c r="BK1104" s="24">
        <v>45992.580163159721</v>
      </c>
      <c r="BL1104">
        <v>1</v>
      </c>
      <c r="BM1104" s="24"/>
      <c r="BN1104" s="24"/>
      <c r="BO1104" s="24"/>
      <c r="BP1104" s="24"/>
      <c r="BR1104" s="24"/>
      <c r="BS1104" s="24"/>
      <c r="BT1104" s="24"/>
      <c r="BU1104" s="24"/>
      <c r="BW1104" s="24"/>
      <c r="BX1104" s="24"/>
      <c r="BY1104" s="24"/>
      <c r="BZ1104" s="24"/>
      <c r="CB1104" s="24">
        <v>45992.580163159721</v>
      </c>
      <c r="CC1104" s="24">
        <v>45992.580163159721</v>
      </c>
      <c r="CD1104">
        <v>1</v>
      </c>
      <c r="CE1104" s="24"/>
      <c r="CF1104" s="24"/>
      <c r="CH1104" s="24"/>
      <c r="CI1104" s="24"/>
      <c r="CJ1104" s="24"/>
      <c r="CK1104" s="24"/>
      <c r="DE1104" s="24"/>
      <c r="DF1104" s="24"/>
      <c r="DG1104" s="24"/>
      <c r="DH1104" s="24"/>
      <c r="DJ1104" t="s">
        <v>149</v>
      </c>
      <c r="DK1104" t="s">
        <v>149</v>
      </c>
      <c r="DQ1104" t="s">
        <v>1001</v>
      </c>
      <c r="DR1104" t="s">
        <v>149</v>
      </c>
      <c r="DS1104" s="24">
        <v>46160.384426226854</v>
      </c>
    </row>
    <row r="1105" spans="1:123" x14ac:dyDescent="0.3">
      <c r="A1105" t="s">
        <v>1588</v>
      </c>
      <c r="D1105" t="s">
        <v>225</v>
      </c>
      <c r="E1105" s="24">
        <v>45029.436018518521</v>
      </c>
      <c r="G1105" t="s">
        <v>107</v>
      </c>
      <c r="H1105" t="s">
        <v>154</v>
      </c>
      <c r="I1105" s="24"/>
      <c r="J1105" s="24"/>
      <c r="K1105" s="24"/>
      <c r="L1105" s="24"/>
      <c r="N1105" s="24"/>
      <c r="O1105" s="24"/>
      <c r="P1105" s="24"/>
      <c r="Q1105" s="24"/>
      <c r="V1105" s="24"/>
      <c r="W1105" s="24"/>
      <c r="X1105" s="24"/>
      <c r="Y1105" s="24"/>
      <c r="AA1105" s="24"/>
      <c r="AB1105" s="24"/>
      <c r="AC1105" s="24"/>
      <c r="AD1105" s="24"/>
      <c r="AF1105" s="24"/>
      <c r="AG1105" s="24"/>
      <c r="AH1105" s="24"/>
      <c r="AI1105" s="24"/>
      <c r="AK1105" s="24"/>
      <c r="AL1105" s="24"/>
      <c r="AM1105" s="24"/>
      <c r="AN1105" s="24"/>
      <c r="AP1105" s="24"/>
      <c r="AQ1105" s="24"/>
      <c r="AR1105" s="24"/>
      <c r="AS1105" s="24"/>
      <c r="AX1105" s="24"/>
      <c r="AY1105" s="24"/>
      <c r="AZ1105" s="24"/>
      <c r="BA1105" s="24"/>
      <c r="BC1105" s="24"/>
      <c r="BD1105" s="24"/>
      <c r="BE1105" s="24"/>
      <c r="BF1105" s="24"/>
      <c r="BH1105" s="24">
        <v>45176.446328043981</v>
      </c>
      <c r="BI1105" s="24">
        <v>45176.446328043981</v>
      </c>
      <c r="BJ1105" s="24"/>
      <c r="BK1105" s="24"/>
      <c r="BL1105">
        <v>1</v>
      </c>
      <c r="BM1105" s="24"/>
      <c r="BN1105" s="24"/>
      <c r="BO1105" s="24"/>
      <c r="BP1105" s="24"/>
      <c r="BR1105" s="24"/>
      <c r="BS1105" s="24"/>
      <c r="BT1105" s="24"/>
      <c r="BU1105" s="24"/>
      <c r="BW1105" s="24"/>
      <c r="BX1105" s="24"/>
      <c r="BY1105" s="24"/>
      <c r="BZ1105" s="24"/>
      <c r="CB1105" s="24"/>
      <c r="CC1105" s="24"/>
      <c r="CE1105" s="24"/>
      <c r="CF1105" s="24"/>
      <c r="CH1105" s="24"/>
      <c r="CI1105" s="24"/>
      <c r="CJ1105" s="24"/>
      <c r="CK1105" s="24"/>
      <c r="DE1105" s="24"/>
      <c r="DF1105" s="24"/>
      <c r="DG1105" s="24"/>
      <c r="DH1105" s="24"/>
      <c r="DJ1105" t="s">
        <v>149</v>
      </c>
      <c r="DK1105" t="s">
        <v>149</v>
      </c>
      <c r="DP1105">
        <v>984</v>
      </c>
      <c r="DQ1105" t="s">
        <v>1001</v>
      </c>
      <c r="DR1105" t="s">
        <v>149</v>
      </c>
      <c r="DS1105" s="24">
        <v>46160.384426226854</v>
      </c>
    </row>
    <row r="1106" spans="1:123" x14ac:dyDescent="0.3">
      <c r="A1106" t="s">
        <v>1589</v>
      </c>
      <c r="D1106" t="s">
        <v>225</v>
      </c>
      <c r="E1106" s="24">
        <v>44805.638009259259</v>
      </c>
      <c r="G1106" t="s">
        <v>150</v>
      </c>
      <c r="H1106" t="s">
        <v>155</v>
      </c>
      <c r="I1106" s="24"/>
      <c r="J1106" s="24"/>
      <c r="K1106" s="24"/>
      <c r="L1106" s="24"/>
      <c r="N1106" s="24"/>
      <c r="O1106" s="24"/>
      <c r="P1106" s="24"/>
      <c r="Q1106" s="24"/>
      <c r="V1106" s="24"/>
      <c r="W1106" s="24"/>
      <c r="X1106" s="24"/>
      <c r="Y1106" s="24"/>
      <c r="AA1106" s="24"/>
      <c r="AB1106" s="24"/>
      <c r="AC1106" s="24"/>
      <c r="AD1106" s="24"/>
      <c r="AF1106" s="24"/>
      <c r="AG1106" s="24"/>
      <c r="AH1106" s="24"/>
      <c r="AI1106" s="24"/>
      <c r="AK1106" s="24"/>
      <c r="AL1106" s="24"/>
      <c r="AM1106" s="24"/>
      <c r="AN1106" s="24"/>
      <c r="AP1106" s="24"/>
      <c r="AQ1106" s="24"/>
      <c r="AR1106" s="24"/>
      <c r="AS1106" s="24"/>
      <c r="AX1106" s="24"/>
      <c r="AY1106" s="24"/>
      <c r="AZ1106" s="24"/>
      <c r="BA1106" s="24"/>
      <c r="BC1106" s="24"/>
      <c r="BD1106" s="24"/>
      <c r="BE1106" s="24"/>
      <c r="BF1106" s="24"/>
      <c r="BH1106" s="24">
        <v>45176.44615452546</v>
      </c>
      <c r="BI1106" s="24">
        <v>45176.44615452546</v>
      </c>
      <c r="BJ1106" s="24">
        <v>45992.565155486111</v>
      </c>
      <c r="BK1106" s="24">
        <v>45992.565155486111</v>
      </c>
      <c r="BL1106">
        <v>1</v>
      </c>
      <c r="BM1106" s="24"/>
      <c r="BN1106" s="24"/>
      <c r="BO1106" s="24"/>
      <c r="BP1106" s="24"/>
      <c r="BR1106" s="24"/>
      <c r="BS1106" s="24"/>
      <c r="BT1106" s="24"/>
      <c r="BU1106" s="24"/>
      <c r="BW1106" s="24"/>
      <c r="BX1106" s="24"/>
      <c r="BY1106" s="24"/>
      <c r="BZ1106" s="24"/>
      <c r="CB1106" s="24">
        <v>45992.565155486111</v>
      </c>
      <c r="CC1106" s="24">
        <v>45992.565155486111</v>
      </c>
      <c r="CD1106">
        <v>1</v>
      </c>
      <c r="CE1106" s="24"/>
      <c r="CF1106" s="24"/>
      <c r="CH1106" s="24"/>
      <c r="CI1106" s="24"/>
      <c r="CJ1106" s="24"/>
      <c r="CK1106" s="24"/>
      <c r="DE1106" s="24"/>
      <c r="DF1106" s="24"/>
      <c r="DG1106" s="24"/>
      <c r="DH1106" s="24"/>
      <c r="DJ1106" t="s">
        <v>149</v>
      </c>
      <c r="DK1106" t="s">
        <v>149</v>
      </c>
      <c r="DQ1106" t="s">
        <v>1001</v>
      </c>
      <c r="DR1106" t="s">
        <v>149</v>
      </c>
      <c r="DS1106" s="24">
        <v>46160.384426226854</v>
      </c>
    </row>
    <row r="1107" spans="1:123" x14ac:dyDescent="0.3">
      <c r="A1107" t="s">
        <v>1590</v>
      </c>
      <c r="D1107" t="s">
        <v>225</v>
      </c>
      <c r="E1107" s="24">
        <v>45058.542870370373</v>
      </c>
      <c r="G1107" t="s">
        <v>150</v>
      </c>
      <c r="H1107" t="s">
        <v>155</v>
      </c>
      <c r="I1107" s="24"/>
      <c r="J1107" s="24"/>
      <c r="K1107" s="24"/>
      <c r="L1107" s="24"/>
      <c r="N1107" s="24"/>
      <c r="O1107" s="24"/>
      <c r="P1107" s="24"/>
      <c r="Q1107" s="24"/>
      <c r="V1107" s="24"/>
      <c r="W1107" s="24"/>
      <c r="X1107" s="24"/>
      <c r="Y1107" s="24"/>
      <c r="AA1107" s="24"/>
      <c r="AB1107" s="24"/>
      <c r="AC1107" s="24"/>
      <c r="AD1107" s="24"/>
      <c r="AF1107" s="24"/>
      <c r="AG1107" s="24"/>
      <c r="AH1107" s="24"/>
      <c r="AI1107" s="24"/>
      <c r="AK1107" s="24"/>
      <c r="AL1107" s="24"/>
      <c r="AM1107" s="24"/>
      <c r="AN1107" s="24"/>
      <c r="AP1107" s="24"/>
      <c r="AQ1107" s="24"/>
      <c r="AR1107" s="24"/>
      <c r="AS1107" s="24"/>
      <c r="AX1107" s="24"/>
      <c r="AY1107" s="24"/>
      <c r="AZ1107" s="24"/>
      <c r="BA1107" s="24"/>
      <c r="BC1107" s="24"/>
      <c r="BD1107" s="24"/>
      <c r="BE1107" s="24"/>
      <c r="BF1107" s="24"/>
      <c r="BH1107" s="24">
        <v>45176.446143773152</v>
      </c>
      <c r="BI1107" s="24">
        <v>45176.446143773152</v>
      </c>
      <c r="BJ1107" s="24">
        <v>45992.564629432869</v>
      </c>
      <c r="BK1107" s="24">
        <v>45992.564629432869</v>
      </c>
      <c r="BL1107">
        <v>1</v>
      </c>
      <c r="BM1107" s="24"/>
      <c r="BN1107" s="24"/>
      <c r="BO1107" s="24"/>
      <c r="BP1107" s="24"/>
      <c r="BR1107" s="24"/>
      <c r="BS1107" s="24"/>
      <c r="BT1107" s="24"/>
      <c r="BU1107" s="24"/>
      <c r="BW1107" s="24"/>
      <c r="BX1107" s="24"/>
      <c r="BY1107" s="24"/>
      <c r="BZ1107" s="24"/>
      <c r="CB1107" s="24">
        <v>45992.564629432869</v>
      </c>
      <c r="CC1107" s="24">
        <v>45992.564629432869</v>
      </c>
      <c r="CD1107">
        <v>1</v>
      </c>
      <c r="CE1107" s="24"/>
      <c r="CF1107" s="24"/>
      <c r="CH1107" s="24"/>
      <c r="CI1107" s="24"/>
      <c r="CJ1107" s="24"/>
      <c r="CK1107" s="24"/>
      <c r="DE1107" s="24"/>
      <c r="DF1107" s="24"/>
      <c r="DG1107" s="24"/>
      <c r="DH1107" s="24"/>
      <c r="DJ1107" t="s">
        <v>149</v>
      </c>
      <c r="DK1107" t="s">
        <v>149</v>
      </c>
      <c r="DQ1107" t="s">
        <v>1001</v>
      </c>
      <c r="DR1107" t="s">
        <v>149</v>
      </c>
      <c r="DS1107" s="24">
        <v>46160.384426226854</v>
      </c>
    </row>
    <row r="1108" spans="1:123" x14ac:dyDescent="0.3">
      <c r="A1108" t="s">
        <v>1591</v>
      </c>
      <c r="D1108" t="s">
        <v>225</v>
      </c>
      <c r="E1108" s="24">
        <v>45041.48128472222</v>
      </c>
      <c r="G1108" t="s">
        <v>107</v>
      </c>
      <c r="H1108" t="s">
        <v>154</v>
      </c>
      <c r="I1108" s="24"/>
      <c r="J1108" s="24"/>
      <c r="K1108" s="24"/>
      <c r="L1108" s="24"/>
      <c r="N1108" s="24"/>
      <c r="O1108" s="24"/>
      <c r="P1108" s="24"/>
      <c r="Q1108" s="24"/>
      <c r="V1108" s="24"/>
      <c r="W1108" s="24"/>
      <c r="X1108" s="24"/>
      <c r="Y1108" s="24"/>
      <c r="AA1108" s="24"/>
      <c r="AB1108" s="24"/>
      <c r="AC1108" s="24"/>
      <c r="AD1108" s="24"/>
      <c r="AF1108" s="24"/>
      <c r="AG1108" s="24"/>
      <c r="AH1108" s="24"/>
      <c r="AI1108" s="24"/>
      <c r="AK1108" s="24"/>
      <c r="AL1108" s="24"/>
      <c r="AM1108" s="24"/>
      <c r="AN1108" s="24"/>
      <c r="AP1108" s="24"/>
      <c r="AQ1108" s="24"/>
      <c r="AR1108" s="24"/>
      <c r="AS1108" s="24"/>
      <c r="AX1108" s="24"/>
      <c r="AY1108" s="24"/>
      <c r="AZ1108" s="24"/>
      <c r="BA1108" s="24"/>
      <c r="BC1108" s="24"/>
      <c r="BD1108" s="24"/>
      <c r="BE1108" s="24"/>
      <c r="BF1108" s="24"/>
      <c r="BH1108" s="24">
        <v>45176.445854710648</v>
      </c>
      <c r="BI1108" s="24">
        <v>45176.445854710648</v>
      </c>
      <c r="BJ1108" s="24"/>
      <c r="BK1108" s="24"/>
      <c r="BL1108">
        <v>1</v>
      </c>
      <c r="BM1108" s="24"/>
      <c r="BN1108" s="24"/>
      <c r="BO1108" s="24"/>
      <c r="BP1108" s="24"/>
      <c r="BR1108" s="24"/>
      <c r="BS1108" s="24"/>
      <c r="BT1108" s="24"/>
      <c r="BU1108" s="24"/>
      <c r="BW1108" s="24"/>
      <c r="BX1108" s="24"/>
      <c r="BY1108" s="24"/>
      <c r="BZ1108" s="24"/>
      <c r="CB1108" s="24"/>
      <c r="CC1108" s="24"/>
      <c r="CE1108" s="24"/>
      <c r="CF1108" s="24"/>
      <c r="CH1108" s="24"/>
      <c r="CI1108" s="24"/>
      <c r="CJ1108" s="24"/>
      <c r="CK1108" s="24"/>
      <c r="DE1108" s="24"/>
      <c r="DF1108" s="24"/>
      <c r="DG1108" s="24"/>
      <c r="DH1108" s="24"/>
      <c r="DJ1108" t="s">
        <v>149</v>
      </c>
      <c r="DK1108" t="s">
        <v>149</v>
      </c>
      <c r="DP1108">
        <v>984</v>
      </c>
      <c r="DQ1108" t="s">
        <v>1001</v>
      </c>
      <c r="DR1108" t="s">
        <v>149</v>
      </c>
      <c r="DS1108" s="24">
        <v>46160.384426226854</v>
      </c>
    </row>
    <row r="1109" spans="1:123" x14ac:dyDescent="0.3">
      <c r="A1109" t="s">
        <v>1592</v>
      </c>
      <c r="D1109" t="s">
        <v>225</v>
      </c>
      <c r="E1109" s="24">
        <v>44721.545347222222</v>
      </c>
      <c r="G1109" t="s">
        <v>150</v>
      </c>
      <c r="H1109" t="s">
        <v>155</v>
      </c>
      <c r="I1109" s="24"/>
      <c r="J1109" s="24"/>
      <c r="K1109" s="24"/>
      <c r="L1109" s="24"/>
      <c r="N1109" s="24"/>
      <c r="O1109" s="24"/>
      <c r="P1109" s="24"/>
      <c r="Q1109" s="24"/>
      <c r="V1109" s="24"/>
      <c r="W1109" s="24"/>
      <c r="X1109" s="24"/>
      <c r="Y1109" s="24"/>
      <c r="AA1109" s="24"/>
      <c r="AB1109" s="24"/>
      <c r="AC1109" s="24"/>
      <c r="AD1109" s="24"/>
      <c r="AF1109" s="24"/>
      <c r="AG1109" s="24"/>
      <c r="AH1109" s="24"/>
      <c r="AI1109" s="24"/>
      <c r="AK1109" s="24"/>
      <c r="AL1109" s="24"/>
      <c r="AM1109" s="24"/>
      <c r="AN1109" s="24"/>
      <c r="AP1109" s="24"/>
      <c r="AQ1109" s="24"/>
      <c r="AR1109" s="24"/>
      <c r="AS1109" s="24"/>
      <c r="AX1109" s="24"/>
      <c r="AY1109" s="24"/>
      <c r="AZ1109" s="24"/>
      <c r="BA1109" s="24"/>
      <c r="BC1109" s="24"/>
      <c r="BD1109" s="24"/>
      <c r="BE1109" s="24"/>
      <c r="BF1109" s="24"/>
      <c r="BH1109" s="24">
        <v>45176.44578357639</v>
      </c>
      <c r="BI1109" s="24">
        <v>45176.44578357639</v>
      </c>
      <c r="BJ1109" s="24">
        <v>46001.413810127313</v>
      </c>
      <c r="BK1109" s="24">
        <v>46001.413810127313</v>
      </c>
      <c r="BL1109">
        <v>1</v>
      </c>
      <c r="BM1109" s="24"/>
      <c r="BN1109" s="24"/>
      <c r="BO1109" s="24"/>
      <c r="BP1109" s="24"/>
      <c r="BR1109" s="24"/>
      <c r="BS1109" s="24"/>
      <c r="BT1109" s="24"/>
      <c r="BU1109" s="24"/>
      <c r="BW1109" s="24"/>
      <c r="BX1109" s="24"/>
      <c r="BY1109" s="24"/>
      <c r="BZ1109" s="24"/>
      <c r="CB1109" s="24">
        <v>46001.413810127313</v>
      </c>
      <c r="CC1109" s="24">
        <v>46001.413810127313</v>
      </c>
      <c r="CD1109">
        <v>1</v>
      </c>
      <c r="CE1109" s="24"/>
      <c r="CF1109" s="24"/>
      <c r="CH1109" s="24"/>
      <c r="CI1109" s="24"/>
      <c r="CJ1109" s="24"/>
      <c r="CK1109" s="24"/>
      <c r="DE1109" s="24"/>
      <c r="DF1109" s="24"/>
      <c r="DG1109" s="24"/>
      <c r="DH1109" s="24"/>
      <c r="DJ1109" t="s">
        <v>149</v>
      </c>
      <c r="DK1109" t="s">
        <v>149</v>
      </c>
      <c r="DQ1109" t="s">
        <v>1001</v>
      </c>
      <c r="DR1109" t="s">
        <v>149</v>
      </c>
      <c r="DS1109" s="24">
        <v>46160.384426226854</v>
      </c>
    </row>
    <row r="1110" spans="1:123" x14ac:dyDescent="0.3">
      <c r="A1110" t="s">
        <v>1593</v>
      </c>
      <c r="D1110" t="s">
        <v>225</v>
      </c>
      <c r="E1110" s="24">
        <v>44820.552812499998</v>
      </c>
      <c r="G1110" t="s">
        <v>150</v>
      </c>
      <c r="H1110" t="s">
        <v>155</v>
      </c>
      <c r="I1110" s="24"/>
      <c r="J1110" s="24"/>
      <c r="K1110" s="24"/>
      <c r="L1110" s="24"/>
      <c r="N1110" s="24"/>
      <c r="O1110" s="24"/>
      <c r="P1110" s="24"/>
      <c r="Q1110" s="24"/>
      <c r="V1110" s="24"/>
      <c r="W1110" s="24"/>
      <c r="X1110" s="24"/>
      <c r="Y1110" s="24"/>
      <c r="AA1110" s="24"/>
      <c r="AB1110" s="24"/>
      <c r="AC1110" s="24"/>
      <c r="AD1110" s="24"/>
      <c r="AF1110" s="24"/>
      <c r="AG1110" s="24"/>
      <c r="AH1110" s="24"/>
      <c r="AI1110" s="24"/>
      <c r="AK1110" s="24"/>
      <c r="AL1110" s="24"/>
      <c r="AM1110" s="24"/>
      <c r="AN1110" s="24"/>
      <c r="AP1110" s="24"/>
      <c r="AQ1110" s="24"/>
      <c r="AR1110" s="24"/>
      <c r="AS1110" s="24"/>
      <c r="AX1110" s="24"/>
      <c r="AY1110" s="24"/>
      <c r="AZ1110" s="24"/>
      <c r="BA1110" s="24"/>
      <c r="BC1110" s="24"/>
      <c r="BD1110" s="24"/>
      <c r="BE1110" s="24"/>
      <c r="BF1110" s="24"/>
      <c r="BH1110" s="24">
        <v>45176.445537638887</v>
      </c>
      <c r="BI1110" s="24">
        <v>45176.445537638887</v>
      </c>
      <c r="BJ1110" s="24">
        <v>45992.564819872685</v>
      </c>
      <c r="BK1110" s="24">
        <v>45992.564819872685</v>
      </c>
      <c r="BL1110">
        <v>1</v>
      </c>
      <c r="BM1110" s="24"/>
      <c r="BN1110" s="24"/>
      <c r="BO1110" s="24"/>
      <c r="BP1110" s="24"/>
      <c r="BR1110" s="24"/>
      <c r="BS1110" s="24"/>
      <c r="BT1110" s="24"/>
      <c r="BU1110" s="24"/>
      <c r="BW1110" s="24"/>
      <c r="BX1110" s="24"/>
      <c r="BY1110" s="24"/>
      <c r="BZ1110" s="24"/>
      <c r="CB1110" s="24">
        <v>45992.564819872685</v>
      </c>
      <c r="CC1110" s="24">
        <v>45992.564819872685</v>
      </c>
      <c r="CD1110">
        <v>1</v>
      </c>
      <c r="CE1110" s="24"/>
      <c r="CF1110" s="24"/>
      <c r="CH1110" s="24"/>
      <c r="CI1110" s="24"/>
      <c r="CJ1110" s="24"/>
      <c r="CK1110" s="24"/>
      <c r="DE1110" s="24"/>
      <c r="DF1110" s="24"/>
      <c r="DG1110" s="24"/>
      <c r="DH1110" s="24"/>
      <c r="DJ1110" t="s">
        <v>149</v>
      </c>
      <c r="DK1110" t="s">
        <v>149</v>
      </c>
      <c r="DQ1110" t="s">
        <v>1001</v>
      </c>
      <c r="DR1110" t="s">
        <v>149</v>
      </c>
      <c r="DS1110" s="24">
        <v>46160.384426226854</v>
      </c>
    </row>
    <row r="1111" spans="1:123" x14ac:dyDescent="0.3">
      <c r="A1111" t="s">
        <v>1594</v>
      </c>
      <c r="D1111" t="s">
        <v>225</v>
      </c>
      <c r="E1111" s="24">
        <v>44939.578530092593</v>
      </c>
      <c r="G1111" t="s">
        <v>150</v>
      </c>
      <c r="H1111" t="s">
        <v>155</v>
      </c>
      <c r="I1111" s="24"/>
      <c r="J1111" s="24"/>
      <c r="K1111" s="24"/>
      <c r="L1111" s="24"/>
      <c r="N1111" s="24"/>
      <c r="O1111" s="24"/>
      <c r="P1111" s="24"/>
      <c r="Q1111" s="24"/>
      <c r="V1111" s="24"/>
      <c r="W1111" s="24"/>
      <c r="X1111" s="24"/>
      <c r="Y1111" s="24"/>
      <c r="AA1111" s="24"/>
      <c r="AB1111" s="24"/>
      <c r="AC1111" s="24"/>
      <c r="AD1111" s="24"/>
      <c r="AF1111" s="24"/>
      <c r="AG1111" s="24"/>
      <c r="AH1111" s="24"/>
      <c r="AI1111" s="24"/>
      <c r="AK1111" s="24"/>
      <c r="AL1111" s="24"/>
      <c r="AM1111" s="24"/>
      <c r="AN1111" s="24"/>
      <c r="AP1111" s="24"/>
      <c r="AQ1111" s="24"/>
      <c r="AR1111" s="24"/>
      <c r="AS1111" s="24"/>
      <c r="AX1111" s="24"/>
      <c r="AY1111" s="24"/>
      <c r="AZ1111" s="24"/>
      <c r="BA1111" s="24"/>
      <c r="BC1111" s="24"/>
      <c r="BD1111" s="24"/>
      <c r="BE1111" s="24"/>
      <c r="BF1111" s="24"/>
      <c r="BH1111" s="24">
        <v>45176.445318715276</v>
      </c>
      <c r="BI1111" s="24">
        <v>45176.445318715276</v>
      </c>
      <c r="BJ1111" s="24">
        <v>46001.414042118056</v>
      </c>
      <c r="BK1111" s="24">
        <v>46001.414042118056</v>
      </c>
      <c r="BL1111">
        <v>1</v>
      </c>
      <c r="BM1111" s="24"/>
      <c r="BN1111" s="24"/>
      <c r="BO1111" s="24"/>
      <c r="BP1111" s="24"/>
      <c r="BR1111" s="24"/>
      <c r="BS1111" s="24"/>
      <c r="BT1111" s="24"/>
      <c r="BU1111" s="24"/>
      <c r="BW1111" s="24"/>
      <c r="BX1111" s="24"/>
      <c r="BY1111" s="24"/>
      <c r="BZ1111" s="24"/>
      <c r="CB1111" s="24">
        <v>46001.414042118056</v>
      </c>
      <c r="CC1111" s="24">
        <v>46001.414042118056</v>
      </c>
      <c r="CD1111">
        <v>1</v>
      </c>
      <c r="CE1111" s="24"/>
      <c r="CF1111" s="24"/>
      <c r="CH1111" s="24"/>
      <c r="CI1111" s="24"/>
      <c r="CJ1111" s="24"/>
      <c r="CK1111" s="24"/>
      <c r="DE1111" s="24"/>
      <c r="DF1111" s="24"/>
      <c r="DG1111" s="24"/>
      <c r="DH1111" s="24"/>
      <c r="DJ1111" t="s">
        <v>149</v>
      </c>
      <c r="DK1111" t="s">
        <v>149</v>
      </c>
      <c r="DQ1111" t="s">
        <v>1001</v>
      </c>
      <c r="DR1111" t="s">
        <v>149</v>
      </c>
      <c r="DS1111" s="24">
        <v>46160.384426226854</v>
      </c>
    </row>
    <row r="1112" spans="1:123" x14ac:dyDescent="0.3">
      <c r="A1112" t="s">
        <v>1595</v>
      </c>
      <c r="D1112" t="s">
        <v>225</v>
      </c>
      <c r="E1112" s="24">
        <v>44672.605937499997</v>
      </c>
      <c r="G1112" t="s">
        <v>150</v>
      </c>
      <c r="H1112" t="s">
        <v>155</v>
      </c>
      <c r="I1112" s="24"/>
      <c r="J1112" s="24"/>
      <c r="K1112" s="24"/>
      <c r="L1112" s="24"/>
      <c r="N1112" s="24"/>
      <c r="O1112" s="24"/>
      <c r="P1112" s="24"/>
      <c r="Q1112" s="24"/>
      <c r="V1112" s="24"/>
      <c r="W1112" s="24"/>
      <c r="X1112" s="24"/>
      <c r="Y1112" s="24"/>
      <c r="AA1112" s="24"/>
      <c r="AB1112" s="24"/>
      <c r="AC1112" s="24"/>
      <c r="AD1112" s="24"/>
      <c r="AF1112" s="24"/>
      <c r="AG1112" s="24"/>
      <c r="AH1112" s="24"/>
      <c r="AI1112" s="24"/>
      <c r="AK1112" s="24"/>
      <c r="AL1112" s="24"/>
      <c r="AM1112" s="24"/>
      <c r="AN1112" s="24"/>
      <c r="AP1112" s="24"/>
      <c r="AQ1112" s="24"/>
      <c r="AR1112" s="24"/>
      <c r="AS1112" s="24"/>
      <c r="AX1112" s="24"/>
      <c r="AY1112" s="24"/>
      <c r="AZ1112" s="24"/>
      <c r="BA1112" s="24"/>
      <c r="BC1112" s="24"/>
      <c r="BD1112" s="24"/>
      <c r="BE1112" s="24"/>
      <c r="BF1112" s="24"/>
      <c r="BH1112" s="24">
        <v>45176.444319513888</v>
      </c>
      <c r="BI1112" s="24">
        <v>45176.444319513888</v>
      </c>
      <c r="BJ1112" s="24">
        <v>45992.58953193287</v>
      </c>
      <c r="BK1112" s="24">
        <v>45992.58953193287</v>
      </c>
      <c r="BL1112">
        <v>1</v>
      </c>
      <c r="BM1112" s="24"/>
      <c r="BN1112" s="24"/>
      <c r="BO1112" s="24"/>
      <c r="BP1112" s="24"/>
      <c r="BR1112" s="24"/>
      <c r="BS1112" s="24"/>
      <c r="BT1112" s="24"/>
      <c r="BU1112" s="24"/>
      <c r="BW1112" s="24"/>
      <c r="BX1112" s="24"/>
      <c r="BY1112" s="24"/>
      <c r="BZ1112" s="24"/>
      <c r="CB1112" s="24">
        <v>45992.58953193287</v>
      </c>
      <c r="CC1112" s="24">
        <v>45992.58953193287</v>
      </c>
      <c r="CD1112">
        <v>1</v>
      </c>
      <c r="CE1112" s="24"/>
      <c r="CF1112" s="24"/>
      <c r="CH1112" s="24"/>
      <c r="CI1112" s="24"/>
      <c r="CJ1112" s="24"/>
      <c r="CK1112" s="24"/>
      <c r="DE1112" s="24"/>
      <c r="DF1112" s="24"/>
      <c r="DG1112" s="24"/>
      <c r="DH1112" s="24"/>
      <c r="DJ1112" t="s">
        <v>149</v>
      </c>
      <c r="DK1112" t="s">
        <v>149</v>
      </c>
      <c r="DQ1112" t="s">
        <v>1001</v>
      </c>
      <c r="DR1112" t="s">
        <v>149</v>
      </c>
      <c r="DS1112" s="24">
        <v>46160.384426226854</v>
      </c>
    </row>
    <row r="1113" spans="1:123" x14ac:dyDescent="0.3">
      <c r="A1113" t="s">
        <v>1596</v>
      </c>
      <c r="D1113" t="s">
        <v>225</v>
      </c>
      <c r="E1113" s="24">
        <v>45040.392361111109</v>
      </c>
      <c r="G1113" t="s">
        <v>107</v>
      </c>
      <c r="H1113" t="s">
        <v>154</v>
      </c>
      <c r="I1113" s="24"/>
      <c r="J1113" s="24"/>
      <c r="K1113" s="24"/>
      <c r="L1113" s="24"/>
      <c r="N1113" s="24"/>
      <c r="O1113" s="24"/>
      <c r="P1113" s="24"/>
      <c r="Q1113" s="24"/>
      <c r="V1113" s="24"/>
      <c r="W1113" s="24"/>
      <c r="X1113" s="24"/>
      <c r="Y1113" s="24"/>
      <c r="AA1113" s="24"/>
      <c r="AB1113" s="24"/>
      <c r="AC1113" s="24"/>
      <c r="AD1113" s="24"/>
      <c r="AF1113" s="24"/>
      <c r="AG1113" s="24"/>
      <c r="AH1113" s="24"/>
      <c r="AI1113" s="24"/>
      <c r="AK1113" s="24"/>
      <c r="AL1113" s="24"/>
      <c r="AM1113" s="24"/>
      <c r="AN1113" s="24"/>
      <c r="AP1113" s="24"/>
      <c r="AQ1113" s="24"/>
      <c r="AR1113" s="24"/>
      <c r="AS1113" s="24"/>
      <c r="AX1113" s="24"/>
      <c r="AY1113" s="24"/>
      <c r="AZ1113" s="24"/>
      <c r="BA1113" s="24"/>
      <c r="BC1113" s="24"/>
      <c r="BD1113" s="24"/>
      <c r="BE1113" s="24"/>
      <c r="BF1113" s="24"/>
      <c r="BH1113" s="24">
        <v>45176.444121851855</v>
      </c>
      <c r="BI1113" s="24">
        <v>45176.444121851855</v>
      </c>
      <c r="BJ1113" s="24"/>
      <c r="BK1113" s="24"/>
      <c r="BL1113">
        <v>1</v>
      </c>
      <c r="BM1113" s="24"/>
      <c r="BN1113" s="24"/>
      <c r="BO1113" s="24"/>
      <c r="BP1113" s="24"/>
      <c r="BR1113" s="24"/>
      <c r="BS1113" s="24"/>
      <c r="BT1113" s="24"/>
      <c r="BU1113" s="24"/>
      <c r="BW1113" s="24"/>
      <c r="BX1113" s="24"/>
      <c r="BY1113" s="24"/>
      <c r="BZ1113" s="24"/>
      <c r="CB1113" s="24"/>
      <c r="CC1113" s="24"/>
      <c r="CE1113" s="24"/>
      <c r="CF1113" s="24"/>
      <c r="CH1113" s="24"/>
      <c r="CI1113" s="24"/>
      <c r="CJ1113" s="24"/>
      <c r="CK1113" s="24"/>
      <c r="DE1113" s="24"/>
      <c r="DF1113" s="24"/>
      <c r="DG1113" s="24"/>
      <c r="DH1113" s="24"/>
      <c r="DJ1113" t="s">
        <v>149</v>
      </c>
      <c r="DK1113" t="s">
        <v>149</v>
      </c>
      <c r="DP1113">
        <v>984</v>
      </c>
      <c r="DQ1113" t="s">
        <v>1001</v>
      </c>
      <c r="DR1113" t="s">
        <v>149</v>
      </c>
      <c r="DS1113" s="24">
        <v>46160.384426226854</v>
      </c>
    </row>
    <row r="1114" spans="1:123" x14ac:dyDescent="0.3">
      <c r="A1114" t="s">
        <v>1597</v>
      </c>
      <c r="D1114" t="s">
        <v>225</v>
      </c>
      <c r="E1114" s="24">
        <v>45155.464259259257</v>
      </c>
      <c r="G1114" t="s">
        <v>90</v>
      </c>
      <c r="H1114" t="s">
        <v>155</v>
      </c>
      <c r="I1114" s="24"/>
      <c r="J1114" s="24"/>
      <c r="K1114" s="24"/>
      <c r="L1114" s="24"/>
      <c r="N1114" s="24"/>
      <c r="O1114" s="24"/>
      <c r="P1114" s="24"/>
      <c r="Q1114" s="24"/>
      <c r="V1114" s="24"/>
      <c r="W1114" s="24"/>
      <c r="X1114" s="24"/>
      <c r="Y1114" s="24"/>
      <c r="AA1114" s="24">
        <v>45160.581816215279</v>
      </c>
      <c r="AB1114" s="24">
        <v>45160.581816215279</v>
      </c>
      <c r="AC1114" s="24">
        <v>45182.451270439815</v>
      </c>
      <c r="AD1114" s="24">
        <v>45182.451270439815</v>
      </c>
      <c r="AE1114">
        <v>1</v>
      </c>
      <c r="AF1114" s="24"/>
      <c r="AG1114" s="24"/>
      <c r="AH1114" s="24"/>
      <c r="AI1114" s="24"/>
      <c r="AK1114" s="24">
        <v>45182.451270439815</v>
      </c>
      <c r="AL1114" s="24">
        <v>45182.451270439815</v>
      </c>
      <c r="AM1114" s="24">
        <v>45187.500822361108</v>
      </c>
      <c r="AN1114" s="24">
        <v>45187.500822361108</v>
      </c>
      <c r="AO1114">
        <v>1</v>
      </c>
      <c r="AP1114" s="24"/>
      <c r="AQ1114" s="24"/>
      <c r="AR1114" s="24"/>
      <c r="AS1114" s="24"/>
      <c r="AX1114" s="24"/>
      <c r="AY1114" s="24"/>
      <c r="AZ1114" s="24"/>
      <c r="BA1114" s="24"/>
      <c r="BC1114" s="24">
        <v>45187.501695092593</v>
      </c>
      <c r="BD1114" s="24">
        <v>45187.501695092593</v>
      </c>
      <c r="BE1114" s="24">
        <v>46049.614944016204</v>
      </c>
      <c r="BF1114" s="24">
        <v>46049.614944016204</v>
      </c>
      <c r="BG1114">
        <v>1</v>
      </c>
      <c r="BH1114" s="24"/>
      <c r="BI1114" s="24"/>
      <c r="BJ1114" s="24"/>
      <c r="BK1114" s="24"/>
      <c r="BM1114" s="24"/>
      <c r="BN1114" s="24"/>
      <c r="BO1114" s="24"/>
      <c r="BP1114" s="24"/>
      <c r="BR1114" s="24">
        <v>45187.500822361108</v>
      </c>
      <c r="BS1114" s="24">
        <v>45187.500822361108</v>
      </c>
      <c r="BT1114" s="24">
        <v>45187.501695092593</v>
      </c>
      <c r="BU1114" s="24">
        <v>45187.501695092593</v>
      </c>
      <c r="BV1114">
        <v>1</v>
      </c>
      <c r="BW1114" s="24"/>
      <c r="BX1114" s="24"/>
      <c r="BY1114" s="24"/>
      <c r="BZ1114" s="24"/>
      <c r="CB1114" s="24"/>
      <c r="CC1114" s="24"/>
      <c r="CE1114" s="24">
        <v>46049.614944016204</v>
      </c>
      <c r="CF1114" s="24">
        <v>46049.614944016204</v>
      </c>
      <c r="CG1114">
        <v>1</v>
      </c>
      <c r="CH1114" s="24"/>
      <c r="CI1114" s="24"/>
      <c r="CJ1114" s="24"/>
      <c r="CK1114" s="24"/>
      <c r="DE1114" s="24"/>
      <c r="DF1114" s="24"/>
      <c r="DG1114" s="24"/>
      <c r="DH1114" s="24"/>
      <c r="DJ1114" t="s">
        <v>149</v>
      </c>
      <c r="DK1114" t="s">
        <v>149</v>
      </c>
      <c r="DN1114">
        <v>890</v>
      </c>
      <c r="DQ1114" t="s">
        <v>1001</v>
      </c>
      <c r="DR1114" t="s">
        <v>149</v>
      </c>
      <c r="DS1114" s="24">
        <v>46160.384426226854</v>
      </c>
    </row>
    <row r="1115" spans="1:123" x14ac:dyDescent="0.3">
      <c r="A1115" t="s">
        <v>1598</v>
      </c>
      <c r="D1115" t="s">
        <v>224</v>
      </c>
      <c r="E1115" s="24">
        <v>44823.613935185182</v>
      </c>
      <c r="G1115" t="s">
        <v>150</v>
      </c>
      <c r="H1115" t="s">
        <v>155</v>
      </c>
      <c r="I1115" s="24"/>
      <c r="J1115" s="24"/>
      <c r="K1115" s="24"/>
      <c r="L1115" s="24"/>
      <c r="N1115" s="24"/>
      <c r="O1115" s="24"/>
      <c r="P1115" s="24"/>
      <c r="Q1115" s="24"/>
      <c r="V1115" s="24"/>
      <c r="W1115" s="24"/>
      <c r="X1115" s="24"/>
      <c r="Y1115" s="24"/>
      <c r="AA1115" s="24"/>
      <c r="AB1115" s="24"/>
      <c r="AC1115" s="24"/>
      <c r="AD1115" s="24"/>
      <c r="AF1115" s="24"/>
      <c r="AG1115" s="24"/>
      <c r="AH1115" s="24"/>
      <c r="AI1115" s="24"/>
      <c r="AK1115" s="24"/>
      <c r="AL1115" s="24"/>
      <c r="AM1115" s="24"/>
      <c r="AN1115" s="24"/>
      <c r="AP1115" s="24"/>
      <c r="AQ1115" s="24"/>
      <c r="AR1115" s="24"/>
      <c r="AS1115" s="24"/>
      <c r="AX1115" s="24"/>
      <c r="AY1115" s="24"/>
      <c r="AZ1115" s="24"/>
      <c r="BA1115" s="24"/>
      <c r="BC1115" s="24"/>
      <c r="BD1115" s="24"/>
      <c r="BE1115" s="24"/>
      <c r="BF1115" s="24"/>
      <c r="BH1115" s="24">
        <v>45176.442581400464</v>
      </c>
      <c r="BI1115" s="24">
        <v>45176.442581400464</v>
      </c>
      <c r="BJ1115" s="24">
        <v>45992.563981516207</v>
      </c>
      <c r="BK1115" s="24">
        <v>45992.563981516207</v>
      </c>
      <c r="BL1115">
        <v>1</v>
      </c>
      <c r="BM1115" s="24"/>
      <c r="BN1115" s="24"/>
      <c r="BO1115" s="24"/>
      <c r="BP1115" s="24"/>
      <c r="BR1115" s="24"/>
      <c r="BS1115" s="24"/>
      <c r="BT1115" s="24"/>
      <c r="BU1115" s="24"/>
      <c r="BW1115" s="24"/>
      <c r="BX1115" s="24"/>
      <c r="BY1115" s="24"/>
      <c r="BZ1115" s="24"/>
      <c r="CB1115" s="24">
        <v>45992.563981516207</v>
      </c>
      <c r="CC1115" s="24">
        <v>45992.563981516207</v>
      </c>
      <c r="CD1115">
        <v>1</v>
      </c>
      <c r="CE1115" s="24"/>
      <c r="CF1115" s="24"/>
      <c r="CH1115" s="24"/>
      <c r="CI1115" s="24"/>
      <c r="CJ1115" s="24"/>
      <c r="CK1115" s="24"/>
      <c r="DE1115" s="24"/>
      <c r="DF1115" s="24"/>
      <c r="DG1115" s="24"/>
      <c r="DH1115" s="24"/>
      <c r="DJ1115" t="s">
        <v>149</v>
      </c>
      <c r="DK1115" t="s">
        <v>149</v>
      </c>
      <c r="DQ1115" t="s">
        <v>1001</v>
      </c>
      <c r="DR1115" t="s">
        <v>149</v>
      </c>
      <c r="DS1115" s="24">
        <v>46160.384426226854</v>
      </c>
    </row>
    <row r="1116" spans="1:123" x14ac:dyDescent="0.3">
      <c r="A1116" t="s">
        <v>1599</v>
      </c>
      <c r="D1116" t="s">
        <v>224</v>
      </c>
      <c r="E1116" s="24">
        <v>44700.604664351849</v>
      </c>
      <c r="G1116" t="s">
        <v>150</v>
      </c>
      <c r="H1116" t="s">
        <v>155</v>
      </c>
      <c r="I1116" s="24"/>
      <c r="J1116" s="24"/>
      <c r="K1116" s="24"/>
      <c r="L1116" s="24"/>
      <c r="N1116" s="24"/>
      <c r="O1116" s="24"/>
      <c r="P1116" s="24"/>
      <c r="Q1116" s="24"/>
      <c r="V1116" s="24"/>
      <c r="W1116" s="24"/>
      <c r="X1116" s="24"/>
      <c r="Y1116" s="24"/>
      <c r="AA1116" s="24"/>
      <c r="AB1116" s="24"/>
      <c r="AC1116" s="24"/>
      <c r="AD1116" s="24"/>
      <c r="AF1116" s="24"/>
      <c r="AG1116" s="24"/>
      <c r="AH1116" s="24"/>
      <c r="AI1116" s="24"/>
      <c r="AK1116" s="24"/>
      <c r="AL1116" s="24"/>
      <c r="AM1116" s="24"/>
      <c r="AN1116" s="24"/>
      <c r="AP1116" s="24"/>
      <c r="AQ1116" s="24"/>
      <c r="AR1116" s="24"/>
      <c r="AS1116" s="24"/>
      <c r="AX1116" s="24"/>
      <c r="AY1116" s="24"/>
      <c r="AZ1116" s="24"/>
      <c r="BA1116" s="24"/>
      <c r="BC1116" s="24"/>
      <c r="BD1116" s="24"/>
      <c r="BE1116" s="24"/>
      <c r="BF1116" s="24"/>
      <c r="BH1116" s="24">
        <v>45176.442552303241</v>
      </c>
      <c r="BI1116" s="24">
        <v>45176.442552303241</v>
      </c>
      <c r="BJ1116" s="24">
        <v>46001.413694363429</v>
      </c>
      <c r="BK1116" s="24">
        <v>46001.413694363429</v>
      </c>
      <c r="BL1116">
        <v>1</v>
      </c>
      <c r="BM1116" s="24"/>
      <c r="BN1116" s="24"/>
      <c r="BO1116" s="24"/>
      <c r="BP1116" s="24"/>
      <c r="BR1116" s="24"/>
      <c r="BS1116" s="24"/>
      <c r="BT1116" s="24"/>
      <c r="BU1116" s="24"/>
      <c r="BW1116" s="24"/>
      <c r="BX1116" s="24"/>
      <c r="BY1116" s="24"/>
      <c r="BZ1116" s="24"/>
      <c r="CB1116" s="24">
        <v>46001.413694363429</v>
      </c>
      <c r="CC1116" s="24">
        <v>46001.413694363429</v>
      </c>
      <c r="CD1116">
        <v>1</v>
      </c>
      <c r="CE1116" s="24"/>
      <c r="CF1116" s="24"/>
      <c r="CH1116" s="24"/>
      <c r="CI1116" s="24"/>
      <c r="CJ1116" s="24"/>
      <c r="CK1116" s="24"/>
      <c r="DE1116" s="24"/>
      <c r="DF1116" s="24"/>
      <c r="DG1116" s="24"/>
      <c r="DH1116" s="24"/>
      <c r="DJ1116" t="s">
        <v>149</v>
      </c>
      <c r="DK1116" t="s">
        <v>149</v>
      </c>
      <c r="DQ1116" t="s">
        <v>1001</v>
      </c>
      <c r="DR1116" t="s">
        <v>149</v>
      </c>
      <c r="DS1116" s="24">
        <v>46160.384426226854</v>
      </c>
    </row>
    <row r="1117" spans="1:123" x14ac:dyDescent="0.3">
      <c r="A1117" t="s">
        <v>1600</v>
      </c>
      <c r="D1117" t="s">
        <v>224</v>
      </c>
      <c r="E1117" s="24">
        <v>44700.500613425924</v>
      </c>
      <c r="G1117" t="s">
        <v>150</v>
      </c>
      <c r="H1117" t="s">
        <v>155</v>
      </c>
      <c r="I1117" s="24"/>
      <c r="J1117" s="24"/>
      <c r="K1117" s="24"/>
      <c r="L1117" s="24"/>
      <c r="N1117" s="24"/>
      <c r="O1117" s="24"/>
      <c r="P1117" s="24"/>
      <c r="Q1117" s="24"/>
      <c r="V1117" s="24"/>
      <c r="W1117" s="24"/>
      <c r="X1117" s="24"/>
      <c r="Y1117" s="24"/>
      <c r="AA1117" s="24"/>
      <c r="AB1117" s="24"/>
      <c r="AC1117" s="24"/>
      <c r="AD1117" s="24"/>
      <c r="AF1117" s="24"/>
      <c r="AG1117" s="24"/>
      <c r="AH1117" s="24"/>
      <c r="AI1117" s="24"/>
      <c r="AK1117" s="24"/>
      <c r="AL1117" s="24"/>
      <c r="AM1117" s="24"/>
      <c r="AN1117" s="24"/>
      <c r="AP1117" s="24"/>
      <c r="AQ1117" s="24"/>
      <c r="AR1117" s="24"/>
      <c r="AS1117" s="24"/>
      <c r="AX1117" s="24"/>
      <c r="AY1117" s="24"/>
      <c r="AZ1117" s="24"/>
      <c r="BA1117" s="24"/>
      <c r="BC1117" s="24"/>
      <c r="BD1117" s="24"/>
      <c r="BE1117" s="24"/>
      <c r="BF1117" s="24"/>
      <c r="BH1117" s="24">
        <v>45176.442512511574</v>
      </c>
      <c r="BI1117" s="24">
        <v>45176.442512511574</v>
      </c>
      <c r="BJ1117" s="24">
        <v>46001.413578391206</v>
      </c>
      <c r="BK1117" s="24">
        <v>46001.413578391206</v>
      </c>
      <c r="BL1117">
        <v>1</v>
      </c>
      <c r="BM1117" s="24"/>
      <c r="BN1117" s="24"/>
      <c r="BO1117" s="24"/>
      <c r="BP1117" s="24"/>
      <c r="BR1117" s="24"/>
      <c r="BS1117" s="24"/>
      <c r="BT1117" s="24"/>
      <c r="BU1117" s="24"/>
      <c r="BW1117" s="24"/>
      <c r="BX1117" s="24"/>
      <c r="BY1117" s="24"/>
      <c r="BZ1117" s="24"/>
      <c r="CB1117" s="24">
        <v>46001.413578391206</v>
      </c>
      <c r="CC1117" s="24">
        <v>46001.413578391206</v>
      </c>
      <c r="CD1117">
        <v>1</v>
      </c>
      <c r="CE1117" s="24"/>
      <c r="CF1117" s="24"/>
      <c r="CH1117" s="24"/>
      <c r="CI1117" s="24"/>
      <c r="CJ1117" s="24"/>
      <c r="CK1117" s="24"/>
      <c r="DE1117" s="24"/>
      <c r="DF1117" s="24"/>
      <c r="DG1117" s="24"/>
      <c r="DH1117" s="24"/>
      <c r="DJ1117" t="s">
        <v>149</v>
      </c>
      <c r="DK1117" t="s">
        <v>149</v>
      </c>
      <c r="DQ1117" t="s">
        <v>1001</v>
      </c>
      <c r="DR1117" t="s">
        <v>149</v>
      </c>
      <c r="DS1117" s="24">
        <v>46160.384426226854</v>
      </c>
    </row>
    <row r="1118" spans="1:123" x14ac:dyDescent="0.3">
      <c r="A1118" t="s">
        <v>1601</v>
      </c>
      <c r="D1118" t="s">
        <v>224</v>
      </c>
      <c r="E1118" s="24">
        <v>44704.540995370371</v>
      </c>
      <c r="G1118" t="s">
        <v>150</v>
      </c>
      <c r="H1118" t="s">
        <v>155</v>
      </c>
      <c r="I1118" s="24"/>
      <c r="J1118" s="24"/>
      <c r="K1118" s="24"/>
      <c r="L1118" s="24"/>
      <c r="N1118" s="24"/>
      <c r="O1118" s="24"/>
      <c r="P1118" s="24"/>
      <c r="Q1118" s="24"/>
      <c r="V1118" s="24"/>
      <c r="W1118" s="24"/>
      <c r="X1118" s="24"/>
      <c r="Y1118" s="24"/>
      <c r="AA1118" s="24"/>
      <c r="AB1118" s="24"/>
      <c r="AC1118" s="24"/>
      <c r="AD1118" s="24"/>
      <c r="AF1118" s="24"/>
      <c r="AG1118" s="24"/>
      <c r="AH1118" s="24"/>
      <c r="AI1118" s="24"/>
      <c r="AK1118" s="24"/>
      <c r="AL1118" s="24"/>
      <c r="AM1118" s="24"/>
      <c r="AN1118" s="24"/>
      <c r="AP1118" s="24"/>
      <c r="AQ1118" s="24"/>
      <c r="AR1118" s="24"/>
      <c r="AS1118" s="24"/>
      <c r="AX1118" s="24"/>
      <c r="AY1118" s="24"/>
      <c r="AZ1118" s="24"/>
      <c r="BA1118" s="24"/>
      <c r="BC1118" s="24"/>
      <c r="BD1118" s="24"/>
      <c r="BE1118" s="24"/>
      <c r="BF1118" s="24"/>
      <c r="BH1118" s="24">
        <v>45176.442484398147</v>
      </c>
      <c r="BI1118" s="24">
        <v>45176.442484398147</v>
      </c>
      <c r="BJ1118" s="24">
        <v>46001.413929363429</v>
      </c>
      <c r="BK1118" s="24">
        <v>46001.413929363429</v>
      </c>
      <c r="BL1118">
        <v>1</v>
      </c>
      <c r="BM1118" s="24"/>
      <c r="BN1118" s="24"/>
      <c r="BO1118" s="24"/>
      <c r="BP1118" s="24"/>
      <c r="BR1118" s="24"/>
      <c r="BS1118" s="24"/>
      <c r="BT1118" s="24"/>
      <c r="BU1118" s="24"/>
      <c r="BW1118" s="24"/>
      <c r="BX1118" s="24"/>
      <c r="BY1118" s="24"/>
      <c r="BZ1118" s="24"/>
      <c r="CB1118" s="24">
        <v>46001.413929363429</v>
      </c>
      <c r="CC1118" s="24">
        <v>46001.413929363429</v>
      </c>
      <c r="CD1118">
        <v>1</v>
      </c>
      <c r="CE1118" s="24"/>
      <c r="CF1118" s="24"/>
      <c r="CH1118" s="24"/>
      <c r="CI1118" s="24"/>
      <c r="CJ1118" s="24"/>
      <c r="CK1118" s="24"/>
      <c r="DE1118" s="24"/>
      <c r="DF1118" s="24"/>
      <c r="DG1118" s="24"/>
      <c r="DH1118" s="24"/>
      <c r="DJ1118" t="s">
        <v>149</v>
      </c>
      <c r="DK1118" t="s">
        <v>149</v>
      </c>
      <c r="DQ1118" t="s">
        <v>1001</v>
      </c>
      <c r="DR1118" t="s">
        <v>149</v>
      </c>
      <c r="DS1118" s="24">
        <v>46160.384426226854</v>
      </c>
    </row>
    <row r="1119" spans="1:123" x14ac:dyDescent="0.3">
      <c r="A1119" t="s">
        <v>1602</v>
      </c>
      <c r="D1119" t="s">
        <v>224</v>
      </c>
      <c r="E1119" s="24">
        <v>44816.428043981483</v>
      </c>
      <c r="G1119" t="s">
        <v>150</v>
      </c>
      <c r="H1119" t="s">
        <v>155</v>
      </c>
      <c r="I1119" s="24"/>
      <c r="J1119" s="24"/>
      <c r="K1119" s="24"/>
      <c r="L1119" s="24"/>
      <c r="N1119" s="24"/>
      <c r="O1119" s="24"/>
      <c r="P1119" s="24"/>
      <c r="Q1119" s="24"/>
      <c r="V1119" s="24"/>
      <c r="W1119" s="24"/>
      <c r="X1119" s="24"/>
      <c r="Y1119" s="24"/>
      <c r="AA1119" s="24"/>
      <c r="AB1119" s="24"/>
      <c r="AC1119" s="24"/>
      <c r="AD1119" s="24"/>
      <c r="AF1119" s="24"/>
      <c r="AG1119" s="24"/>
      <c r="AH1119" s="24"/>
      <c r="AI1119" s="24"/>
      <c r="AK1119" s="24"/>
      <c r="AL1119" s="24"/>
      <c r="AM1119" s="24"/>
      <c r="AN1119" s="24"/>
      <c r="AP1119" s="24"/>
      <c r="AQ1119" s="24"/>
      <c r="AR1119" s="24"/>
      <c r="AS1119" s="24"/>
      <c r="AX1119" s="24"/>
      <c r="AY1119" s="24"/>
      <c r="AZ1119" s="24"/>
      <c r="BA1119" s="24"/>
      <c r="BC1119" s="24"/>
      <c r="BD1119" s="24"/>
      <c r="BE1119" s="24"/>
      <c r="BF1119" s="24"/>
      <c r="BH1119" s="24">
        <v>45176.442442743057</v>
      </c>
      <c r="BI1119" s="24">
        <v>45176.442442743057</v>
      </c>
      <c r="BJ1119" s="24">
        <v>45992.562746909724</v>
      </c>
      <c r="BK1119" s="24">
        <v>45992.562746909724</v>
      </c>
      <c r="BL1119">
        <v>1</v>
      </c>
      <c r="BM1119" s="24"/>
      <c r="BN1119" s="24"/>
      <c r="BO1119" s="24"/>
      <c r="BP1119" s="24"/>
      <c r="BR1119" s="24"/>
      <c r="BS1119" s="24"/>
      <c r="BT1119" s="24"/>
      <c r="BU1119" s="24"/>
      <c r="BW1119" s="24"/>
      <c r="BX1119" s="24"/>
      <c r="BY1119" s="24"/>
      <c r="BZ1119" s="24"/>
      <c r="CB1119" s="24">
        <v>45992.562746909724</v>
      </c>
      <c r="CC1119" s="24">
        <v>45992.562746909724</v>
      </c>
      <c r="CD1119">
        <v>1</v>
      </c>
      <c r="CE1119" s="24"/>
      <c r="CF1119" s="24"/>
      <c r="CH1119" s="24"/>
      <c r="CI1119" s="24"/>
      <c r="CJ1119" s="24"/>
      <c r="CK1119" s="24"/>
      <c r="DE1119" s="24"/>
      <c r="DF1119" s="24"/>
      <c r="DG1119" s="24"/>
      <c r="DH1119" s="24"/>
      <c r="DJ1119" t="s">
        <v>149</v>
      </c>
      <c r="DK1119" t="s">
        <v>149</v>
      </c>
      <c r="DQ1119" t="s">
        <v>1001</v>
      </c>
      <c r="DR1119" t="s">
        <v>149</v>
      </c>
      <c r="DS1119" s="24">
        <v>46160.384426226854</v>
      </c>
    </row>
    <row r="1120" spans="1:123" x14ac:dyDescent="0.3">
      <c r="A1120" t="s">
        <v>1603</v>
      </c>
      <c r="D1120" t="s">
        <v>224</v>
      </c>
      <c r="E1120" s="24">
        <v>44825.3440625</v>
      </c>
      <c r="G1120" t="s">
        <v>150</v>
      </c>
      <c r="H1120" t="s">
        <v>155</v>
      </c>
      <c r="I1120" s="24"/>
      <c r="J1120" s="24"/>
      <c r="K1120" s="24"/>
      <c r="L1120" s="24"/>
      <c r="N1120" s="24"/>
      <c r="O1120" s="24"/>
      <c r="P1120" s="24"/>
      <c r="Q1120" s="24"/>
      <c r="V1120" s="24"/>
      <c r="W1120" s="24"/>
      <c r="X1120" s="24"/>
      <c r="Y1120" s="24"/>
      <c r="AA1120" s="24"/>
      <c r="AB1120" s="24"/>
      <c r="AC1120" s="24"/>
      <c r="AD1120" s="24"/>
      <c r="AF1120" s="24"/>
      <c r="AG1120" s="24"/>
      <c r="AH1120" s="24"/>
      <c r="AI1120" s="24"/>
      <c r="AK1120" s="24"/>
      <c r="AL1120" s="24"/>
      <c r="AM1120" s="24"/>
      <c r="AN1120" s="24"/>
      <c r="AP1120" s="24"/>
      <c r="AQ1120" s="24"/>
      <c r="AR1120" s="24"/>
      <c r="AS1120" s="24"/>
      <c r="AX1120" s="24"/>
      <c r="AY1120" s="24"/>
      <c r="AZ1120" s="24"/>
      <c r="BA1120" s="24"/>
      <c r="BC1120" s="24"/>
      <c r="BD1120" s="24"/>
      <c r="BE1120" s="24"/>
      <c r="BF1120" s="24"/>
      <c r="BH1120" s="24">
        <v>45176.442410393516</v>
      </c>
      <c r="BI1120" s="24">
        <v>45176.442410393516</v>
      </c>
      <c r="BJ1120" s="24">
        <v>45992.564323379629</v>
      </c>
      <c r="BK1120" s="24">
        <v>45992.564323379629</v>
      </c>
      <c r="BL1120">
        <v>1</v>
      </c>
      <c r="BM1120" s="24"/>
      <c r="BN1120" s="24"/>
      <c r="BO1120" s="24"/>
      <c r="BP1120" s="24"/>
      <c r="BR1120" s="24"/>
      <c r="BS1120" s="24"/>
      <c r="BT1120" s="24"/>
      <c r="BU1120" s="24"/>
      <c r="BW1120" s="24"/>
      <c r="BX1120" s="24"/>
      <c r="BY1120" s="24"/>
      <c r="BZ1120" s="24"/>
      <c r="CB1120" s="24">
        <v>45992.564323379629</v>
      </c>
      <c r="CC1120" s="24">
        <v>45992.564323379629</v>
      </c>
      <c r="CD1120">
        <v>1</v>
      </c>
      <c r="CE1120" s="24"/>
      <c r="CF1120" s="24"/>
      <c r="CH1120" s="24"/>
      <c r="CI1120" s="24"/>
      <c r="CJ1120" s="24"/>
      <c r="CK1120" s="24"/>
      <c r="DE1120" s="24"/>
      <c r="DF1120" s="24"/>
      <c r="DG1120" s="24"/>
      <c r="DH1120" s="24"/>
      <c r="DJ1120" t="s">
        <v>149</v>
      </c>
      <c r="DK1120" t="s">
        <v>149</v>
      </c>
      <c r="DQ1120" t="s">
        <v>1001</v>
      </c>
      <c r="DR1120" t="s">
        <v>149</v>
      </c>
      <c r="DS1120" s="24">
        <v>46160.384426226854</v>
      </c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C0DB-BC80-46A7-9BB4-2D25E3274544}">
  <sheetPr>
    <tabColor theme="7" tint="0.39997558519241921"/>
  </sheetPr>
  <dimension ref="A1:AG376"/>
  <sheetViews>
    <sheetView workbookViewId="0">
      <selection activeCell="B8" sqref="B8"/>
    </sheetView>
  </sheetViews>
  <sheetFormatPr baseColWidth="10" defaultRowHeight="14.4" x14ac:dyDescent="0.3"/>
  <cols>
    <col min="1" max="1" width="15.88671875" bestFit="1" customWidth="1"/>
    <col min="2" max="2" width="81.109375" bestFit="1" customWidth="1"/>
    <col min="3" max="3" width="8.109375" bestFit="1" customWidth="1"/>
    <col min="4" max="4" width="22.33203125" bestFit="1" customWidth="1"/>
    <col min="5" max="5" width="14" bestFit="1" customWidth="1"/>
    <col min="6" max="6" width="18" bestFit="1" customWidth="1"/>
    <col min="7" max="7" width="25.5546875" bestFit="1" customWidth="1"/>
    <col min="8" max="8" width="81.109375" bestFit="1" customWidth="1"/>
    <col min="9" max="9" width="13.33203125" bestFit="1" customWidth="1"/>
    <col min="10" max="10" width="27.44140625" bestFit="1" customWidth="1"/>
    <col min="11" max="11" width="22.5546875" bestFit="1" customWidth="1"/>
    <col min="12" max="18" width="15.109375" bestFit="1" customWidth="1"/>
    <col min="19" max="19" width="15.5546875" bestFit="1" customWidth="1"/>
    <col min="20" max="20" width="17.33203125" bestFit="1" customWidth="1"/>
    <col min="21" max="25" width="15.109375" bestFit="1" customWidth="1"/>
    <col min="26" max="26" width="16.109375" bestFit="1" customWidth="1"/>
    <col min="27" max="32" width="15.109375" bestFit="1" customWidth="1"/>
    <col min="33" max="33" width="19.44140625" bestFit="1" customWidth="1"/>
    <col min="34" max="34" width="15.109375" bestFit="1" customWidth="1"/>
    <col min="35" max="35" width="19.44140625" customWidth="1"/>
    <col min="36" max="41" width="15.109375" bestFit="1" customWidth="1"/>
    <col min="42" max="42" width="19.44140625" customWidth="1"/>
    <col min="43" max="43" width="13" bestFit="1" customWidth="1"/>
    <col min="44" max="44" width="8.109375" bestFit="1" customWidth="1"/>
    <col min="45" max="45" width="11.109375" bestFit="1" customWidth="1"/>
    <col min="46" max="46" width="11.44140625" bestFit="1" customWidth="1"/>
    <col min="47" max="47" width="8.33203125" bestFit="1" customWidth="1"/>
    <col min="48" max="48" width="12.5546875" bestFit="1" customWidth="1"/>
    <col min="49" max="49" width="19.44140625" customWidth="1"/>
    <col min="50" max="50" width="13" bestFit="1" customWidth="1"/>
    <col min="51" max="51" width="16.109375" bestFit="1" customWidth="1"/>
    <col min="52" max="52" width="8.109375" bestFit="1" customWidth="1"/>
    <col min="53" max="53" width="11.109375" bestFit="1" customWidth="1"/>
    <col min="54" max="54" width="11.44140625" bestFit="1" customWidth="1"/>
    <col min="55" max="55" width="12.5546875" bestFit="1" customWidth="1"/>
    <col min="56" max="56" width="19.44140625" customWidth="1"/>
    <col min="57" max="59" width="15.109375" bestFit="1" customWidth="1"/>
    <col min="60" max="60" width="19.44140625" bestFit="1" customWidth="1"/>
    <col min="61" max="63" width="15.109375" bestFit="1" customWidth="1"/>
    <col min="64" max="64" width="19.44140625" customWidth="1"/>
  </cols>
  <sheetData>
    <row r="1" spans="1:33" x14ac:dyDescent="0.3">
      <c r="A1" t="s">
        <v>94</v>
      </c>
      <c r="B1" t="s">
        <v>145</v>
      </c>
      <c r="C1" t="s">
        <v>146</v>
      </c>
      <c r="D1" t="s">
        <v>98</v>
      </c>
      <c r="E1" t="s">
        <v>100</v>
      </c>
      <c r="F1" t="s">
        <v>101</v>
      </c>
      <c r="G1" t="s">
        <v>147</v>
      </c>
      <c r="H1" t="s">
        <v>1</v>
      </c>
      <c r="I1" t="s">
        <v>95</v>
      </c>
      <c r="J1" t="s">
        <v>96</v>
      </c>
      <c r="K1" t="s">
        <v>0</v>
      </c>
      <c r="L1" t="s">
        <v>236</v>
      </c>
      <c r="M1" t="s">
        <v>237</v>
      </c>
      <c r="N1" t="s">
        <v>238</v>
      </c>
      <c r="O1" t="s">
        <v>239</v>
      </c>
      <c r="P1" t="s">
        <v>155</v>
      </c>
      <c r="Q1" t="s">
        <v>89</v>
      </c>
      <c r="R1" t="s">
        <v>84</v>
      </c>
      <c r="S1" t="s">
        <v>240</v>
      </c>
      <c r="T1" t="s">
        <v>107</v>
      </c>
      <c r="U1" t="s">
        <v>241</v>
      </c>
      <c r="V1" t="s">
        <v>106</v>
      </c>
      <c r="W1" t="s">
        <v>150</v>
      </c>
      <c r="X1" t="s">
        <v>242</v>
      </c>
      <c r="Y1" t="s">
        <v>90</v>
      </c>
      <c r="Z1" t="s">
        <v>243</v>
      </c>
      <c r="AA1" t="s">
        <v>154</v>
      </c>
      <c r="AB1" t="s">
        <v>153</v>
      </c>
      <c r="AC1" t="s">
        <v>244</v>
      </c>
      <c r="AD1" t="s">
        <v>245</v>
      </c>
      <c r="AE1" t="s">
        <v>246</v>
      </c>
      <c r="AF1" t="s">
        <v>247</v>
      </c>
      <c r="AG1" t="s">
        <v>121</v>
      </c>
    </row>
    <row r="2" spans="1:33" x14ac:dyDescent="0.3">
      <c r="A2" t="s">
        <v>1014</v>
      </c>
      <c r="C2" t="s">
        <v>251</v>
      </c>
      <c r="D2" s="24">
        <v>45275.689479166664</v>
      </c>
      <c r="E2" t="s">
        <v>90</v>
      </c>
      <c r="F2" t="s">
        <v>155</v>
      </c>
      <c r="K2" t="s">
        <v>1000</v>
      </c>
      <c r="L2" s="24"/>
      <c r="M2" s="24"/>
      <c r="N2" s="24"/>
      <c r="O2" s="24"/>
      <c r="P2" s="24"/>
      <c r="Q2" s="24">
        <v>45315.61283002315</v>
      </c>
      <c r="R2" s="24"/>
      <c r="S2" s="24"/>
      <c r="T2" s="24"/>
      <c r="U2" s="24"/>
      <c r="V2" s="24"/>
      <c r="W2" s="24"/>
      <c r="X2" s="24"/>
      <c r="Y2" s="24">
        <v>45370.335659421296</v>
      </c>
      <c r="Z2" s="24"/>
      <c r="AA2" s="24"/>
      <c r="AB2" s="24"/>
      <c r="AC2" s="24"/>
      <c r="AD2" s="24"/>
      <c r="AE2" s="24"/>
      <c r="AF2" s="24"/>
      <c r="AG2" s="24">
        <v>46160.377809062498</v>
      </c>
    </row>
    <row r="3" spans="1:33" x14ac:dyDescent="0.3">
      <c r="A3" t="s">
        <v>1015</v>
      </c>
      <c r="C3" t="s">
        <v>251</v>
      </c>
      <c r="D3" s="24">
        <v>45275.689444444448</v>
      </c>
      <c r="E3" t="s">
        <v>90</v>
      </c>
      <c r="F3" t="s">
        <v>155</v>
      </c>
      <c r="K3" t="s">
        <v>1000</v>
      </c>
      <c r="L3" s="24"/>
      <c r="M3" s="24"/>
      <c r="N3" s="24"/>
      <c r="O3" s="24"/>
      <c r="P3" s="24"/>
      <c r="Q3" s="24">
        <v>45315.615218078703</v>
      </c>
      <c r="R3" s="24"/>
      <c r="S3" s="24"/>
      <c r="T3" s="24"/>
      <c r="U3" s="24"/>
      <c r="V3" s="24"/>
      <c r="W3" s="24"/>
      <c r="X3" s="24"/>
      <c r="Y3" s="24">
        <v>45408.449104212959</v>
      </c>
      <c r="Z3" s="24"/>
      <c r="AA3" s="24"/>
      <c r="AB3" s="24"/>
      <c r="AC3" s="24"/>
      <c r="AD3" s="24"/>
      <c r="AE3" s="24"/>
      <c r="AF3" s="24"/>
      <c r="AG3" s="24">
        <v>46160.377809062498</v>
      </c>
    </row>
    <row r="4" spans="1:33" x14ac:dyDescent="0.3">
      <c r="A4" t="s">
        <v>1016</v>
      </c>
      <c r="C4" t="s">
        <v>251</v>
      </c>
      <c r="D4" s="24">
        <v>45275.689467592594</v>
      </c>
      <c r="E4" t="s">
        <v>90</v>
      </c>
      <c r="F4" t="s">
        <v>155</v>
      </c>
      <c r="K4" t="s">
        <v>1000</v>
      </c>
      <c r="L4" s="24"/>
      <c r="M4" s="24"/>
      <c r="N4" s="24"/>
      <c r="O4" s="24"/>
      <c r="P4" s="24"/>
      <c r="Q4" s="24">
        <v>45315.626100243055</v>
      </c>
      <c r="R4" s="24"/>
      <c r="S4" s="24"/>
      <c r="T4" s="24"/>
      <c r="U4" s="24"/>
      <c r="V4" s="24"/>
      <c r="W4" s="24"/>
      <c r="X4" s="24"/>
      <c r="Y4" s="24">
        <v>45379.447253576385</v>
      </c>
      <c r="Z4" s="24"/>
      <c r="AA4" s="24"/>
      <c r="AB4" s="24"/>
      <c r="AC4" s="24"/>
      <c r="AD4" s="24"/>
      <c r="AE4" s="24"/>
      <c r="AF4" s="24"/>
      <c r="AG4" s="24">
        <v>46160.377809062498</v>
      </c>
    </row>
    <row r="5" spans="1:33" x14ac:dyDescent="0.3">
      <c r="A5" t="s">
        <v>1017</v>
      </c>
      <c r="C5" t="s">
        <v>251</v>
      </c>
      <c r="D5" s="24">
        <v>45275.689467592594</v>
      </c>
      <c r="E5" t="s">
        <v>90</v>
      </c>
      <c r="F5" t="s">
        <v>155</v>
      </c>
      <c r="K5" t="s">
        <v>1000</v>
      </c>
      <c r="L5" s="24"/>
      <c r="M5" s="24"/>
      <c r="N5" s="24"/>
      <c r="O5" s="24"/>
      <c r="P5" s="24"/>
      <c r="Q5" s="24">
        <v>45315.630252407405</v>
      </c>
      <c r="R5" s="24"/>
      <c r="S5" s="24"/>
      <c r="T5" s="24"/>
      <c r="U5" s="24"/>
      <c r="V5" s="24"/>
      <c r="W5" s="24"/>
      <c r="X5" s="24"/>
      <c r="Y5" s="24">
        <v>45355.620979953703</v>
      </c>
      <c r="Z5" s="24"/>
      <c r="AA5" s="24"/>
      <c r="AB5" s="24"/>
      <c r="AC5" s="24"/>
      <c r="AD5" s="24"/>
      <c r="AE5" s="24"/>
      <c r="AF5" s="24"/>
      <c r="AG5" s="24">
        <v>46160.377809062498</v>
      </c>
    </row>
    <row r="6" spans="1:33" x14ac:dyDescent="0.3">
      <c r="A6" t="s">
        <v>1018</v>
      </c>
      <c r="C6" t="s">
        <v>251</v>
      </c>
      <c r="D6" s="24">
        <v>45275.689432870371</v>
      </c>
      <c r="E6" t="s">
        <v>90</v>
      </c>
      <c r="F6" t="s">
        <v>155</v>
      </c>
      <c r="K6" t="s">
        <v>1000</v>
      </c>
      <c r="L6" s="24"/>
      <c r="M6" s="24"/>
      <c r="N6" s="24"/>
      <c r="O6" s="24"/>
      <c r="P6" s="24"/>
      <c r="Q6" s="24">
        <v>45343.490125729164</v>
      </c>
      <c r="R6" s="24"/>
      <c r="S6" s="24"/>
      <c r="T6" s="24"/>
      <c r="U6" s="24"/>
      <c r="V6" s="24"/>
      <c r="W6" s="24"/>
      <c r="X6" s="24"/>
      <c r="Y6" s="24">
        <v>45408.446232395836</v>
      </c>
      <c r="Z6" s="24"/>
      <c r="AA6" s="24"/>
      <c r="AB6" s="24"/>
      <c r="AC6" s="24"/>
      <c r="AD6" s="24"/>
      <c r="AE6" s="24"/>
      <c r="AF6" s="24"/>
      <c r="AG6" s="24">
        <v>46160.377809062498</v>
      </c>
    </row>
    <row r="7" spans="1:33" x14ac:dyDescent="0.3">
      <c r="A7" t="s">
        <v>1019</v>
      </c>
      <c r="C7" t="s">
        <v>251</v>
      </c>
      <c r="D7" s="24">
        <v>45275.689444444448</v>
      </c>
      <c r="E7" t="s">
        <v>90</v>
      </c>
      <c r="F7" t="s">
        <v>155</v>
      </c>
      <c r="K7" t="s">
        <v>1000</v>
      </c>
      <c r="L7" s="24"/>
      <c r="M7" s="24"/>
      <c r="N7" s="24"/>
      <c r="O7" s="24"/>
      <c r="P7" s="24"/>
      <c r="Q7" s="24">
        <v>45343.579189456017</v>
      </c>
      <c r="R7" s="24"/>
      <c r="S7" s="24"/>
      <c r="T7" s="24"/>
      <c r="U7" s="24"/>
      <c r="V7" s="24"/>
      <c r="W7" s="24"/>
      <c r="X7" s="24"/>
      <c r="Y7" s="24">
        <v>45355.618821192133</v>
      </c>
      <c r="Z7" s="24"/>
      <c r="AA7" s="24"/>
      <c r="AB7" s="24"/>
      <c r="AC7" s="24"/>
      <c r="AD7" s="24"/>
      <c r="AE7" s="24"/>
      <c r="AF7" s="24"/>
      <c r="AG7" s="24">
        <v>46160.377809062498</v>
      </c>
    </row>
    <row r="8" spans="1:33" x14ac:dyDescent="0.3">
      <c r="A8" t="s">
        <v>1020</v>
      </c>
      <c r="C8" t="s">
        <v>251</v>
      </c>
      <c r="D8" s="24">
        <v>45275.689456018517</v>
      </c>
      <c r="E8" t="s">
        <v>90</v>
      </c>
      <c r="F8" t="s">
        <v>155</v>
      </c>
      <c r="K8" t="s">
        <v>1000</v>
      </c>
      <c r="L8" s="24"/>
      <c r="M8" s="24"/>
      <c r="N8" s="24"/>
      <c r="O8" s="24"/>
      <c r="P8" s="24"/>
      <c r="Q8" s="24">
        <v>45343.578633090277</v>
      </c>
      <c r="R8" s="24"/>
      <c r="S8" s="24"/>
      <c r="T8" s="24"/>
      <c r="U8" s="24"/>
      <c r="V8" s="24"/>
      <c r="W8" s="24"/>
      <c r="X8" s="24"/>
      <c r="Y8" s="24">
        <v>45365.343325381946</v>
      </c>
      <c r="Z8" s="24"/>
      <c r="AA8" s="24"/>
      <c r="AB8" s="24"/>
      <c r="AC8" s="24"/>
      <c r="AD8" s="24"/>
      <c r="AE8" s="24"/>
      <c r="AF8" s="24"/>
      <c r="AG8" s="24">
        <v>46160.377809062498</v>
      </c>
    </row>
    <row r="9" spans="1:33" x14ac:dyDescent="0.3">
      <c r="A9" t="s">
        <v>1021</v>
      </c>
      <c r="C9" t="s">
        <v>251</v>
      </c>
      <c r="D9" s="24">
        <v>45275.689456018517</v>
      </c>
      <c r="E9" t="s">
        <v>90</v>
      </c>
      <c r="F9" t="s">
        <v>155</v>
      </c>
      <c r="K9" t="s">
        <v>1000</v>
      </c>
      <c r="L9" s="24"/>
      <c r="M9" s="24"/>
      <c r="N9" s="24"/>
      <c r="O9" s="24"/>
      <c r="P9" s="24"/>
      <c r="Q9" s="24">
        <v>45355.6886394213</v>
      </c>
      <c r="R9" s="24"/>
      <c r="S9" s="24"/>
      <c r="T9" s="24"/>
      <c r="U9" s="24"/>
      <c r="V9" s="24"/>
      <c r="W9" s="24"/>
      <c r="X9" s="24"/>
      <c r="Y9" s="24">
        <v>45376.623591481482</v>
      </c>
      <c r="Z9" s="24"/>
      <c r="AA9" s="24"/>
      <c r="AB9" s="24"/>
      <c r="AC9" s="24"/>
      <c r="AD9" s="24"/>
      <c r="AE9" s="24"/>
      <c r="AF9" s="24"/>
      <c r="AG9" s="24">
        <v>46160.377809062498</v>
      </c>
    </row>
    <row r="10" spans="1:33" x14ac:dyDescent="0.3">
      <c r="A10" t="s">
        <v>1604</v>
      </c>
      <c r="C10" t="s">
        <v>251</v>
      </c>
      <c r="D10" s="24">
        <v>45275.689421296294</v>
      </c>
      <c r="E10" t="s">
        <v>90</v>
      </c>
      <c r="F10" t="s">
        <v>155</v>
      </c>
      <c r="K10" t="s">
        <v>1001</v>
      </c>
      <c r="L10" s="24"/>
      <c r="M10" s="24"/>
      <c r="N10" s="24"/>
      <c r="O10" s="24"/>
      <c r="P10" s="24"/>
      <c r="Q10" s="24">
        <v>45327.377628113427</v>
      </c>
      <c r="R10" s="24"/>
      <c r="S10" s="24"/>
      <c r="T10" s="24"/>
      <c r="U10" s="24"/>
      <c r="V10" s="24"/>
      <c r="W10" s="24"/>
      <c r="X10" s="24"/>
      <c r="Y10" s="24">
        <v>45400.467721342589</v>
      </c>
      <c r="Z10" s="24"/>
      <c r="AA10" s="24"/>
      <c r="AB10" s="24"/>
      <c r="AC10" s="24"/>
      <c r="AD10" s="24"/>
      <c r="AE10" s="24"/>
      <c r="AF10" s="24"/>
      <c r="AG10" s="24">
        <v>46160.377809062498</v>
      </c>
    </row>
    <row r="11" spans="1:33" x14ac:dyDescent="0.3">
      <c r="A11" t="s">
        <v>1605</v>
      </c>
      <c r="C11" t="s">
        <v>251</v>
      </c>
      <c r="D11" s="24">
        <v>45275.689375000002</v>
      </c>
      <c r="E11" t="s">
        <v>90</v>
      </c>
      <c r="F11" t="s">
        <v>155</v>
      </c>
      <c r="K11" t="s">
        <v>1001</v>
      </c>
      <c r="L11" s="24"/>
      <c r="M11" s="24"/>
      <c r="N11" s="24"/>
      <c r="O11" s="24"/>
      <c r="P11" s="24"/>
      <c r="Q11" s="24">
        <v>45327.373660474535</v>
      </c>
      <c r="R11" s="24"/>
      <c r="S11" s="24"/>
      <c r="T11" s="24"/>
      <c r="U11" s="24"/>
      <c r="V11" s="24"/>
      <c r="W11" s="24"/>
      <c r="X11" s="24"/>
      <c r="Y11" s="24">
        <v>45414.459097939813</v>
      </c>
      <c r="Z11" s="24"/>
      <c r="AA11" s="24"/>
      <c r="AB11" s="24"/>
      <c r="AC11" s="24"/>
      <c r="AD11" s="24"/>
      <c r="AE11" s="24"/>
      <c r="AF11" s="24"/>
      <c r="AG11" s="24">
        <v>46160.377809062498</v>
      </c>
    </row>
    <row r="12" spans="1:33" x14ac:dyDescent="0.3">
      <c r="A12" t="s">
        <v>1606</v>
      </c>
      <c r="C12" t="s">
        <v>251</v>
      </c>
      <c r="D12" s="24">
        <v>45275.689409722225</v>
      </c>
      <c r="E12" t="s">
        <v>90</v>
      </c>
      <c r="F12" t="s">
        <v>155</v>
      </c>
      <c r="K12" t="s">
        <v>1001</v>
      </c>
      <c r="L12" s="24"/>
      <c r="M12" s="24"/>
      <c r="N12" s="24"/>
      <c r="O12" s="24"/>
      <c r="P12" s="24"/>
      <c r="Q12" s="24">
        <v>45314.633138773148</v>
      </c>
      <c r="R12" s="24"/>
      <c r="S12" s="24"/>
      <c r="T12" s="24"/>
      <c r="U12" s="24"/>
      <c r="V12" s="24"/>
      <c r="W12" s="24"/>
      <c r="X12" s="24"/>
      <c r="Y12" s="24">
        <v>45400.47485377315</v>
      </c>
      <c r="Z12" s="24"/>
      <c r="AA12" s="24"/>
      <c r="AB12" s="24"/>
      <c r="AC12" s="24"/>
      <c r="AD12" s="24"/>
      <c r="AE12" s="24"/>
      <c r="AF12" s="24"/>
      <c r="AG12" s="24">
        <v>46160.377809062498</v>
      </c>
    </row>
    <row r="13" spans="1:33" x14ac:dyDescent="0.3">
      <c r="A13" t="s">
        <v>1607</v>
      </c>
      <c r="C13" t="s">
        <v>251</v>
      </c>
      <c r="D13" s="24">
        <v>45275.689363425925</v>
      </c>
      <c r="E13" t="s">
        <v>150</v>
      </c>
      <c r="F13" t="s">
        <v>155</v>
      </c>
      <c r="K13" t="s">
        <v>1001</v>
      </c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>
        <v>45345.550757476849</v>
      </c>
      <c r="X13" s="24"/>
      <c r="Y13" s="24"/>
      <c r="Z13" s="24"/>
      <c r="AA13" s="24"/>
      <c r="AB13" s="24"/>
      <c r="AC13" s="24"/>
      <c r="AD13" s="24"/>
      <c r="AE13" s="24"/>
      <c r="AF13" s="24"/>
      <c r="AG13" s="24">
        <v>46160.377809062498</v>
      </c>
    </row>
    <row r="14" spans="1:33" x14ac:dyDescent="0.3">
      <c r="A14" t="s">
        <v>1608</v>
      </c>
      <c r="C14" t="s">
        <v>251</v>
      </c>
      <c r="D14" s="24">
        <v>45275.689363425925</v>
      </c>
      <c r="E14" t="s">
        <v>90</v>
      </c>
      <c r="F14" t="s">
        <v>155</v>
      </c>
      <c r="K14" t="s">
        <v>1001</v>
      </c>
      <c r="L14" s="24"/>
      <c r="M14" s="24"/>
      <c r="N14" s="24"/>
      <c r="O14" s="24"/>
      <c r="P14" s="24"/>
      <c r="Q14" s="24">
        <v>45315.481533888887</v>
      </c>
      <c r="R14" s="24"/>
      <c r="S14" s="24"/>
      <c r="T14" s="24"/>
      <c r="U14" s="24"/>
      <c r="V14" s="24"/>
      <c r="W14" s="24"/>
      <c r="X14" s="24"/>
      <c r="Y14" s="24">
        <v>45377.298592106483</v>
      </c>
      <c r="Z14" s="24"/>
      <c r="AA14" s="24"/>
      <c r="AB14" s="24"/>
      <c r="AC14" s="24"/>
      <c r="AD14" s="24"/>
      <c r="AE14" s="24"/>
      <c r="AF14" s="24"/>
      <c r="AG14" s="24">
        <v>46160.377809062498</v>
      </c>
    </row>
    <row r="15" spans="1:33" x14ac:dyDescent="0.3">
      <c r="A15" t="s">
        <v>1609</v>
      </c>
      <c r="C15" t="s">
        <v>251</v>
      </c>
      <c r="D15" s="24">
        <v>45275.689421296294</v>
      </c>
      <c r="E15" t="s">
        <v>153</v>
      </c>
      <c r="F15" t="s">
        <v>155</v>
      </c>
      <c r="K15" t="s">
        <v>1001</v>
      </c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>
        <v>45376.491075902777</v>
      </c>
      <c r="AC15" s="24"/>
      <c r="AD15" s="24"/>
      <c r="AE15" s="24"/>
      <c r="AF15" s="24"/>
      <c r="AG15" s="24">
        <v>46160.377809062498</v>
      </c>
    </row>
    <row r="16" spans="1:33" x14ac:dyDescent="0.3">
      <c r="A16" t="s">
        <v>1610</v>
      </c>
      <c r="C16" t="s">
        <v>251</v>
      </c>
      <c r="D16" s="24">
        <v>45275.689398148148</v>
      </c>
      <c r="E16" t="s">
        <v>90</v>
      </c>
      <c r="F16" t="s">
        <v>155</v>
      </c>
      <c r="K16" t="s">
        <v>1001</v>
      </c>
      <c r="L16" s="24"/>
      <c r="M16" s="24"/>
      <c r="N16" s="24"/>
      <c r="O16" s="24"/>
      <c r="P16" s="24"/>
      <c r="Q16" s="24">
        <v>45362.609012037035</v>
      </c>
      <c r="R16" s="24"/>
      <c r="S16" s="24"/>
      <c r="T16" s="24"/>
      <c r="U16" s="24"/>
      <c r="V16" s="24"/>
      <c r="W16" s="24"/>
      <c r="X16" s="24"/>
      <c r="Y16" s="24">
        <v>45376.493819930554</v>
      </c>
      <c r="Z16" s="24"/>
      <c r="AA16" s="24"/>
      <c r="AB16" s="24"/>
      <c r="AC16" s="24"/>
      <c r="AD16" s="24"/>
      <c r="AE16" s="24"/>
      <c r="AF16" s="24"/>
      <c r="AG16" s="24">
        <v>46160.377809062498</v>
      </c>
    </row>
    <row r="17" spans="1:33" x14ac:dyDescent="0.3">
      <c r="A17" t="s">
        <v>1611</v>
      </c>
      <c r="C17" t="s">
        <v>251</v>
      </c>
      <c r="D17" s="24">
        <v>45275.689398148148</v>
      </c>
      <c r="E17" t="s">
        <v>150</v>
      </c>
      <c r="F17" t="s">
        <v>155</v>
      </c>
      <c r="K17" t="s">
        <v>1001</v>
      </c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>
        <v>45376.497063761577</v>
      </c>
      <c r="X17" s="24"/>
      <c r="Y17" s="24"/>
      <c r="Z17" s="24"/>
      <c r="AA17" s="24"/>
      <c r="AB17" s="24"/>
      <c r="AC17" s="24"/>
      <c r="AD17" s="24"/>
      <c r="AE17" s="24"/>
      <c r="AF17" s="24"/>
      <c r="AG17" s="24">
        <v>46160.377809062498</v>
      </c>
    </row>
    <row r="18" spans="1:33" x14ac:dyDescent="0.3">
      <c r="A18" t="s">
        <v>1612</v>
      </c>
      <c r="C18" t="s">
        <v>251</v>
      </c>
      <c r="D18" s="24">
        <v>45275.689386574071</v>
      </c>
      <c r="E18" t="s">
        <v>153</v>
      </c>
      <c r="F18" t="s">
        <v>155</v>
      </c>
      <c r="K18" t="s">
        <v>1001</v>
      </c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>
        <v>45376.497932245373</v>
      </c>
      <c r="AC18" s="24"/>
      <c r="AD18" s="24"/>
      <c r="AE18" s="24"/>
      <c r="AF18" s="24"/>
      <c r="AG18" s="24">
        <v>46160.377809062498</v>
      </c>
    </row>
    <row r="19" spans="1:33" x14ac:dyDescent="0.3">
      <c r="A19" t="s">
        <v>1613</v>
      </c>
      <c r="C19" t="s">
        <v>251</v>
      </c>
      <c r="D19" s="24">
        <v>45275.689398148148</v>
      </c>
      <c r="E19" t="s">
        <v>90</v>
      </c>
      <c r="F19" t="s">
        <v>155</v>
      </c>
      <c r="K19" t="s">
        <v>1001</v>
      </c>
      <c r="L19" s="24"/>
      <c r="M19" s="24"/>
      <c r="N19" s="24"/>
      <c r="O19" s="24"/>
      <c r="P19" s="24"/>
      <c r="Q19" s="24">
        <v>45330.447750300926</v>
      </c>
      <c r="R19" s="24"/>
      <c r="S19" s="24"/>
      <c r="T19" s="24"/>
      <c r="U19" s="24"/>
      <c r="V19" s="24"/>
      <c r="W19" s="24"/>
      <c r="X19" s="24"/>
      <c r="Y19" s="24">
        <v>45397.610332847224</v>
      </c>
      <c r="Z19" s="24"/>
      <c r="AA19" s="24"/>
      <c r="AB19" s="24"/>
      <c r="AC19" s="24"/>
      <c r="AD19" s="24"/>
      <c r="AE19" s="24"/>
      <c r="AF19" s="24"/>
      <c r="AG19" s="24">
        <v>46160.377809062498</v>
      </c>
    </row>
    <row r="20" spans="1:33" x14ac:dyDescent="0.3">
      <c r="A20" t="s">
        <v>1614</v>
      </c>
      <c r="C20" t="s">
        <v>251</v>
      </c>
      <c r="D20" s="24">
        <v>45275.68953703704</v>
      </c>
      <c r="E20" t="s">
        <v>90</v>
      </c>
      <c r="F20" t="s">
        <v>155</v>
      </c>
      <c r="K20" t="s">
        <v>1001</v>
      </c>
      <c r="L20" s="24"/>
      <c r="M20" s="24"/>
      <c r="N20" s="24"/>
      <c r="O20" s="24"/>
      <c r="P20" s="24"/>
      <c r="Q20" s="24">
        <v>45345.439583634259</v>
      </c>
      <c r="R20" s="24"/>
      <c r="S20" s="24"/>
      <c r="T20" s="24"/>
      <c r="U20" s="24"/>
      <c r="V20" s="24"/>
      <c r="W20" s="24"/>
      <c r="X20" s="24"/>
      <c r="Y20" s="24">
        <v>45397.610775104164</v>
      </c>
      <c r="Z20" s="24"/>
      <c r="AA20" s="24"/>
      <c r="AB20" s="24"/>
      <c r="AC20" s="24"/>
      <c r="AD20" s="24"/>
      <c r="AE20" s="24"/>
      <c r="AF20" s="24"/>
      <c r="AG20" s="24">
        <v>46160.377809062498</v>
      </c>
    </row>
    <row r="21" spans="1:33" x14ac:dyDescent="0.3">
      <c r="A21" t="s">
        <v>1615</v>
      </c>
      <c r="C21" t="s">
        <v>251</v>
      </c>
      <c r="D21" s="24">
        <v>45275.689375000002</v>
      </c>
      <c r="E21" t="s">
        <v>90</v>
      </c>
      <c r="F21" t="s">
        <v>155</v>
      </c>
      <c r="K21" t="s">
        <v>1001</v>
      </c>
      <c r="L21" s="24"/>
      <c r="M21" s="24"/>
      <c r="N21" s="24"/>
      <c r="O21" s="24"/>
      <c r="P21" s="24"/>
      <c r="Q21" s="24">
        <v>45397.609083402778</v>
      </c>
      <c r="R21" s="24"/>
      <c r="S21" s="24"/>
      <c r="T21" s="24"/>
      <c r="U21" s="24"/>
      <c r="V21" s="24"/>
      <c r="W21" s="24"/>
      <c r="X21" s="24"/>
      <c r="Y21" s="24">
        <v>45397.609555833333</v>
      </c>
      <c r="Z21" s="24"/>
      <c r="AA21" s="24"/>
      <c r="AB21" s="24"/>
      <c r="AC21" s="24"/>
      <c r="AD21" s="24"/>
      <c r="AE21" s="24"/>
      <c r="AF21" s="24"/>
      <c r="AG21" s="24">
        <v>46160.377809062498</v>
      </c>
    </row>
    <row r="22" spans="1:33" x14ac:dyDescent="0.3">
      <c r="A22" t="s">
        <v>1616</v>
      </c>
      <c r="C22" t="s">
        <v>251</v>
      </c>
      <c r="D22" s="24">
        <v>45275.689432870371</v>
      </c>
      <c r="E22" t="s">
        <v>90</v>
      </c>
      <c r="F22" t="s">
        <v>155</v>
      </c>
      <c r="K22" t="s">
        <v>1001</v>
      </c>
      <c r="L22" s="24"/>
      <c r="M22" s="24"/>
      <c r="N22" s="24"/>
      <c r="O22" s="24"/>
      <c r="P22" s="24"/>
      <c r="Q22" s="24">
        <v>45345.492164363422</v>
      </c>
      <c r="R22" s="24">
        <v>45345.492101747688</v>
      </c>
      <c r="S22" s="24"/>
      <c r="T22" s="24"/>
      <c r="U22" s="24"/>
      <c r="V22" s="24"/>
      <c r="W22" s="24">
        <v>45343.580654062498</v>
      </c>
      <c r="X22" s="24"/>
      <c r="Y22" s="24">
        <v>45376.49029361111</v>
      </c>
      <c r="Z22" s="24"/>
      <c r="AA22" s="24"/>
      <c r="AB22" s="24"/>
      <c r="AC22" s="24"/>
      <c r="AD22" s="24"/>
      <c r="AE22" s="24"/>
      <c r="AF22" s="24"/>
      <c r="AG22" s="24">
        <v>46160.377809062498</v>
      </c>
    </row>
    <row r="23" spans="1:33" x14ac:dyDescent="0.3">
      <c r="A23" t="s">
        <v>1022</v>
      </c>
      <c r="C23" t="s">
        <v>252</v>
      </c>
      <c r="D23" s="24">
        <v>45373.731689814813</v>
      </c>
      <c r="E23" t="s">
        <v>90</v>
      </c>
      <c r="F23" t="s">
        <v>155</v>
      </c>
      <c r="K23" t="s">
        <v>1000</v>
      </c>
      <c r="L23" s="24"/>
      <c r="M23" s="24"/>
      <c r="N23" s="24"/>
      <c r="O23" s="24"/>
      <c r="P23" s="24"/>
      <c r="Q23" s="24">
        <v>45429.567336886576</v>
      </c>
      <c r="R23" s="24"/>
      <c r="S23" s="24"/>
      <c r="T23" s="24"/>
      <c r="U23" s="24"/>
      <c r="V23" s="24"/>
      <c r="W23" s="24"/>
      <c r="X23" s="24"/>
      <c r="Y23" s="24">
        <v>45476.624260914352</v>
      </c>
      <c r="Z23" s="24"/>
      <c r="AA23" s="24"/>
      <c r="AB23" s="24"/>
      <c r="AC23" s="24"/>
      <c r="AD23" s="24"/>
      <c r="AE23" s="24"/>
      <c r="AF23" s="24"/>
      <c r="AG23" s="24">
        <v>46160.377809062498</v>
      </c>
    </row>
    <row r="24" spans="1:33" x14ac:dyDescent="0.3">
      <c r="A24" t="s">
        <v>1023</v>
      </c>
      <c r="C24" t="s">
        <v>252</v>
      </c>
      <c r="D24" s="24">
        <v>45373.731446759259</v>
      </c>
      <c r="E24" t="s">
        <v>90</v>
      </c>
      <c r="F24" t="s">
        <v>155</v>
      </c>
      <c r="K24" t="s">
        <v>1000</v>
      </c>
      <c r="L24" s="24"/>
      <c r="M24" s="24"/>
      <c r="N24" s="24"/>
      <c r="O24" s="24"/>
      <c r="P24" s="24"/>
      <c r="Q24" s="24">
        <v>45377.406264363424</v>
      </c>
      <c r="R24" s="24"/>
      <c r="S24" s="24"/>
      <c r="T24" s="24"/>
      <c r="U24" s="24"/>
      <c r="V24" s="24"/>
      <c r="W24" s="24"/>
      <c r="X24" s="24"/>
      <c r="Y24" s="24">
        <v>45467.583528391202</v>
      </c>
      <c r="Z24" s="24"/>
      <c r="AA24" s="24"/>
      <c r="AB24" s="24"/>
      <c r="AC24" s="24"/>
      <c r="AD24" s="24"/>
      <c r="AE24" s="24"/>
      <c r="AF24" s="24"/>
      <c r="AG24" s="24">
        <v>46160.377809062498</v>
      </c>
    </row>
    <row r="25" spans="1:33" x14ac:dyDescent="0.3">
      <c r="A25" t="s">
        <v>1024</v>
      </c>
      <c r="C25" t="s">
        <v>252</v>
      </c>
      <c r="D25" s="24">
        <v>45373.73170138889</v>
      </c>
      <c r="E25" t="s">
        <v>90</v>
      </c>
      <c r="F25" t="s">
        <v>155</v>
      </c>
      <c r="K25" t="s">
        <v>1000</v>
      </c>
      <c r="L25" s="24"/>
      <c r="M25" s="24"/>
      <c r="N25" s="24"/>
      <c r="O25" s="24"/>
      <c r="P25" s="24"/>
      <c r="Q25" s="24">
        <v>45385.561178310185</v>
      </c>
      <c r="R25" s="24"/>
      <c r="S25" s="24"/>
      <c r="T25" s="24"/>
      <c r="U25" s="24"/>
      <c r="V25" s="24"/>
      <c r="W25" s="24"/>
      <c r="X25" s="24"/>
      <c r="Y25" s="24">
        <v>45467.587977499999</v>
      </c>
      <c r="Z25" s="24"/>
      <c r="AA25" s="24"/>
      <c r="AB25" s="24"/>
      <c r="AC25" s="24"/>
      <c r="AD25" s="24"/>
      <c r="AE25" s="24"/>
      <c r="AF25" s="24"/>
      <c r="AG25" s="24">
        <v>46160.377809062498</v>
      </c>
    </row>
    <row r="26" spans="1:33" x14ac:dyDescent="0.3">
      <c r="A26" t="s">
        <v>1025</v>
      </c>
      <c r="C26" t="s">
        <v>252</v>
      </c>
      <c r="D26" s="24">
        <v>45373.731840277775</v>
      </c>
      <c r="E26" t="s">
        <v>90</v>
      </c>
      <c r="F26" t="s">
        <v>155</v>
      </c>
      <c r="K26" t="s">
        <v>1000</v>
      </c>
      <c r="L26" s="24"/>
      <c r="M26" s="24"/>
      <c r="N26" s="24"/>
      <c r="O26" s="24"/>
      <c r="P26" s="24"/>
      <c r="Q26" s="24">
        <v>45455.592408738426</v>
      </c>
      <c r="R26" s="24"/>
      <c r="S26" s="24"/>
      <c r="T26" s="24"/>
      <c r="U26" s="24"/>
      <c r="V26" s="24"/>
      <c r="W26" s="24"/>
      <c r="X26" s="24"/>
      <c r="Y26" s="24">
        <v>45455.593552395832</v>
      </c>
      <c r="Z26" s="24"/>
      <c r="AA26" s="24"/>
      <c r="AB26" s="24"/>
      <c r="AC26" s="24"/>
      <c r="AD26" s="24"/>
      <c r="AE26" s="24"/>
      <c r="AF26" s="24"/>
      <c r="AG26" s="24">
        <v>46160.377809062498</v>
      </c>
    </row>
    <row r="27" spans="1:33" x14ac:dyDescent="0.3">
      <c r="A27" t="s">
        <v>1026</v>
      </c>
      <c r="C27" t="s">
        <v>252</v>
      </c>
      <c r="D27" s="24">
        <v>45373.731631944444</v>
      </c>
      <c r="E27" t="s">
        <v>90</v>
      </c>
      <c r="F27" t="s">
        <v>155</v>
      </c>
      <c r="K27" t="s">
        <v>1000</v>
      </c>
      <c r="L27" s="24"/>
      <c r="M27" s="24"/>
      <c r="N27" s="24"/>
      <c r="O27" s="24"/>
      <c r="P27" s="24"/>
      <c r="Q27" s="24">
        <v>45435.432760960648</v>
      </c>
      <c r="R27" s="24">
        <v>45435.432596284722</v>
      </c>
      <c r="S27" s="24"/>
      <c r="T27" s="24"/>
      <c r="U27" s="24"/>
      <c r="V27" s="24"/>
      <c r="W27" s="24"/>
      <c r="X27" s="24"/>
      <c r="Y27" s="24">
        <v>45455.590876122682</v>
      </c>
      <c r="Z27" s="24"/>
      <c r="AA27" s="24"/>
      <c r="AB27" s="24"/>
      <c r="AC27" s="24"/>
      <c r="AD27" s="24"/>
      <c r="AE27" s="24"/>
      <c r="AF27" s="24"/>
      <c r="AG27" s="24">
        <v>46160.377809062498</v>
      </c>
    </row>
    <row r="28" spans="1:33" x14ac:dyDescent="0.3">
      <c r="A28" t="s">
        <v>1027</v>
      </c>
      <c r="C28" t="s">
        <v>252</v>
      </c>
      <c r="D28" s="24">
        <v>45373.731493055559</v>
      </c>
      <c r="E28" t="s">
        <v>90</v>
      </c>
      <c r="F28" t="s">
        <v>155</v>
      </c>
      <c r="K28" t="s">
        <v>1000</v>
      </c>
      <c r="L28" s="24"/>
      <c r="M28" s="24"/>
      <c r="N28" s="24"/>
      <c r="O28" s="24"/>
      <c r="P28" s="24"/>
      <c r="Q28" s="24">
        <v>45411.404092870369</v>
      </c>
      <c r="R28" s="24"/>
      <c r="S28" s="24"/>
      <c r="T28" s="24"/>
      <c r="U28" s="24"/>
      <c r="V28" s="24"/>
      <c r="W28" s="24"/>
      <c r="X28" s="24"/>
      <c r="Y28" s="24">
        <v>45467.606415810187</v>
      </c>
      <c r="Z28" s="24"/>
      <c r="AA28" s="24"/>
      <c r="AB28" s="24"/>
      <c r="AC28" s="24"/>
      <c r="AD28" s="24"/>
      <c r="AE28" s="24"/>
      <c r="AF28" s="24"/>
      <c r="AG28" s="24">
        <v>46160.377809062498</v>
      </c>
    </row>
    <row r="29" spans="1:33" x14ac:dyDescent="0.3">
      <c r="A29" t="s">
        <v>1028</v>
      </c>
      <c r="C29" t="s">
        <v>252</v>
      </c>
      <c r="D29" s="24">
        <v>45373.731724537036</v>
      </c>
      <c r="E29" t="s">
        <v>90</v>
      </c>
      <c r="F29" t="s">
        <v>155</v>
      </c>
      <c r="K29" t="s">
        <v>1000</v>
      </c>
      <c r="L29" s="24"/>
      <c r="M29" s="24"/>
      <c r="N29" s="24"/>
      <c r="O29" s="24"/>
      <c r="P29" s="24"/>
      <c r="Q29" s="24">
        <v>45429.56774741898</v>
      </c>
      <c r="R29" s="24"/>
      <c r="S29" s="24"/>
      <c r="T29" s="24"/>
      <c r="U29" s="24"/>
      <c r="V29" s="24"/>
      <c r="W29" s="24"/>
      <c r="X29" s="24"/>
      <c r="Y29" s="24">
        <v>45462.418701736111</v>
      </c>
      <c r="Z29" s="24"/>
      <c r="AA29" s="24"/>
      <c r="AB29" s="24"/>
      <c r="AC29" s="24"/>
      <c r="AD29" s="24"/>
      <c r="AE29" s="24"/>
      <c r="AF29" s="24"/>
      <c r="AG29" s="24">
        <v>46160.377809062498</v>
      </c>
    </row>
    <row r="30" spans="1:33" x14ac:dyDescent="0.3">
      <c r="A30" t="s">
        <v>1029</v>
      </c>
      <c r="C30" t="s">
        <v>252</v>
      </c>
      <c r="D30" s="24">
        <v>45373.731458333335</v>
      </c>
      <c r="E30" t="s">
        <v>90</v>
      </c>
      <c r="F30" t="s">
        <v>155</v>
      </c>
      <c r="K30" t="s">
        <v>1000</v>
      </c>
      <c r="L30" s="24"/>
      <c r="M30" s="24"/>
      <c r="N30" s="24"/>
      <c r="O30" s="24"/>
      <c r="P30" s="24"/>
      <c r="Q30" s="24">
        <v>45386.393640150462</v>
      </c>
      <c r="R30" s="24"/>
      <c r="S30" s="24"/>
      <c r="T30" s="24"/>
      <c r="U30" s="24"/>
      <c r="V30" s="24"/>
      <c r="W30" s="24"/>
      <c r="X30" s="24"/>
      <c r="Y30" s="24">
        <v>45467.589244259259</v>
      </c>
      <c r="Z30" s="24"/>
      <c r="AA30" s="24"/>
      <c r="AB30" s="24"/>
      <c r="AC30" s="24"/>
      <c r="AD30" s="24"/>
      <c r="AE30" s="24"/>
      <c r="AF30" s="24"/>
      <c r="AG30" s="24">
        <v>46160.377809062498</v>
      </c>
    </row>
    <row r="31" spans="1:33" x14ac:dyDescent="0.3">
      <c r="A31" t="s">
        <v>1030</v>
      </c>
      <c r="C31" t="s">
        <v>252</v>
      </c>
      <c r="D31" s="24">
        <v>45373.731585648151</v>
      </c>
      <c r="E31" t="s">
        <v>90</v>
      </c>
      <c r="F31" t="s">
        <v>155</v>
      </c>
      <c r="K31" t="s">
        <v>1000</v>
      </c>
      <c r="L31" s="24"/>
      <c r="M31" s="24"/>
      <c r="N31" s="24"/>
      <c r="O31" s="24"/>
      <c r="P31" s="24"/>
      <c r="Q31" s="24">
        <v>45407.619434560183</v>
      </c>
      <c r="R31" s="24">
        <v>45407.619383541663</v>
      </c>
      <c r="S31" s="24"/>
      <c r="T31" s="24"/>
      <c r="U31" s="24"/>
      <c r="V31" s="24"/>
      <c r="W31" s="24"/>
      <c r="X31" s="24"/>
      <c r="Y31" s="24">
        <v>45435.433218171296</v>
      </c>
      <c r="Z31" s="24"/>
      <c r="AA31" s="24"/>
      <c r="AB31" s="24"/>
      <c r="AC31" s="24"/>
      <c r="AD31" s="24"/>
      <c r="AE31" s="24"/>
      <c r="AF31" s="24"/>
      <c r="AG31" s="24">
        <v>46160.377809062498</v>
      </c>
    </row>
    <row r="32" spans="1:33" x14ac:dyDescent="0.3">
      <c r="A32" t="s">
        <v>1617</v>
      </c>
      <c r="C32" t="s">
        <v>252</v>
      </c>
      <c r="D32" s="24">
        <v>45373.731828703705</v>
      </c>
      <c r="E32" t="s">
        <v>90</v>
      </c>
      <c r="F32" t="s">
        <v>155</v>
      </c>
      <c r="K32" t="s">
        <v>1001</v>
      </c>
      <c r="L32" s="24"/>
      <c r="M32" s="24"/>
      <c r="N32" s="24"/>
      <c r="O32" s="24"/>
      <c r="P32" s="24"/>
      <c r="Q32" s="24">
        <v>45429.441693483794</v>
      </c>
      <c r="R32" s="24"/>
      <c r="S32" s="24"/>
      <c r="T32" s="24"/>
      <c r="U32" s="24"/>
      <c r="V32" s="24"/>
      <c r="W32" s="24"/>
      <c r="X32" s="24"/>
      <c r="Y32" s="24">
        <v>45475.469992986109</v>
      </c>
      <c r="Z32" s="24"/>
      <c r="AA32" s="24"/>
      <c r="AB32" s="24"/>
      <c r="AC32" s="24"/>
      <c r="AD32" s="24"/>
      <c r="AE32" s="24"/>
      <c r="AF32" s="24"/>
      <c r="AG32" s="24">
        <v>46160.377809062498</v>
      </c>
    </row>
    <row r="33" spans="1:33" x14ac:dyDescent="0.3">
      <c r="A33" t="s">
        <v>1618</v>
      </c>
      <c r="C33" t="s">
        <v>252</v>
      </c>
      <c r="D33" s="24">
        <v>45373.731689814813</v>
      </c>
      <c r="E33" t="s">
        <v>90</v>
      </c>
      <c r="F33" t="s">
        <v>155</v>
      </c>
      <c r="K33" t="s">
        <v>1001</v>
      </c>
      <c r="L33" s="24"/>
      <c r="M33" s="24"/>
      <c r="N33" s="24"/>
      <c r="O33" s="24"/>
      <c r="P33" s="24"/>
      <c r="Q33" s="24">
        <v>45471.406803206017</v>
      </c>
      <c r="R33" s="24"/>
      <c r="S33" s="24"/>
      <c r="T33" s="24"/>
      <c r="U33" s="24"/>
      <c r="V33" s="24"/>
      <c r="W33" s="24"/>
      <c r="X33" s="24"/>
      <c r="Y33" s="24">
        <v>45471.406850856481</v>
      </c>
      <c r="Z33" s="24"/>
      <c r="AA33" s="24"/>
      <c r="AB33" s="24"/>
      <c r="AC33" s="24"/>
      <c r="AD33" s="24"/>
      <c r="AE33" s="24"/>
      <c r="AF33" s="24"/>
      <c r="AG33" s="24">
        <v>46160.377809062498</v>
      </c>
    </row>
    <row r="34" spans="1:33" x14ac:dyDescent="0.3">
      <c r="A34" t="s">
        <v>1619</v>
      </c>
      <c r="C34" t="s">
        <v>252</v>
      </c>
      <c r="D34" s="24">
        <v>45373.731736111113</v>
      </c>
      <c r="E34" t="s">
        <v>90</v>
      </c>
      <c r="F34" t="s">
        <v>155</v>
      </c>
      <c r="K34" t="s">
        <v>1001</v>
      </c>
      <c r="L34" s="24"/>
      <c r="M34" s="24"/>
      <c r="N34" s="24"/>
      <c r="O34" s="24"/>
      <c r="P34" s="24"/>
      <c r="Q34" s="24">
        <v>45377.405279340281</v>
      </c>
      <c r="R34" s="24"/>
      <c r="S34" s="24"/>
      <c r="T34" s="24"/>
      <c r="U34" s="24"/>
      <c r="V34" s="24"/>
      <c r="W34" s="24"/>
      <c r="X34" s="24"/>
      <c r="Y34" s="24">
        <v>45475.466795717592</v>
      </c>
      <c r="Z34" s="24"/>
      <c r="AA34" s="24"/>
      <c r="AB34" s="24"/>
      <c r="AC34" s="24"/>
      <c r="AD34" s="24"/>
      <c r="AE34" s="24"/>
      <c r="AF34" s="24"/>
      <c r="AG34" s="24">
        <v>46160.377809062498</v>
      </c>
    </row>
    <row r="35" spans="1:33" x14ac:dyDescent="0.3">
      <c r="A35" t="s">
        <v>1620</v>
      </c>
      <c r="C35" t="s">
        <v>252</v>
      </c>
      <c r="D35" s="24">
        <v>45373.731840277775</v>
      </c>
      <c r="E35" t="s">
        <v>90</v>
      </c>
      <c r="F35" t="s">
        <v>155</v>
      </c>
      <c r="K35" t="s">
        <v>1001</v>
      </c>
      <c r="L35" s="24"/>
      <c r="M35" s="24"/>
      <c r="N35" s="24"/>
      <c r="O35" s="24"/>
      <c r="P35" s="24"/>
      <c r="Q35" s="24">
        <v>45414.313208680556</v>
      </c>
      <c r="R35" s="24"/>
      <c r="S35" s="24"/>
      <c r="T35" s="24"/>
      <c r="U35" s="24"/>
      <c r="V35" s="24"/>
      <c r="W35" s="24"/>
      <c r="X35" s="24"/>
      <c r="Y35" s="24">
        <v>45450.460991018517</v>
      </c>
      <c r="Z35" s="24"/>
      <c r="AA35" s="24"/>
      <c r="AB35" s="24"/>
      <c r="AC35" s="24"/>
      <c r="AD35" s="24"/>
      <c r="AE35" s="24"/>
      <c r="AF35" s="24"/>
      <c r="AG35" s="24">
        <v>46160.377809062498</v>
      </c>
    </row>
    <row r="36" spans="1:33" x14ac:dyDescent="0.3">
      <c r="A36" t="s">
        <v>1621</v>
      </c>
      <c r="C36" t="s">
        <v>252</v>
      </c>
      <c r="D36" s="24">
        <v>45373.731631944444</v>
      </c>
      <c r="E36" t="s">
        <v>90</v>
      </c>
      <c r="F36" t="s">
        <v>155</v>
      </c>
      <c r="K36" t="s">
        <v>1001</v>
      </c>
      <c r="L36" s="24"/>
      <c r="M36" s="24"/>
      <c r="N36" s="24"/>
      <c r="O36" s="24"/>
      <c r="P36" s="24"/>
      <c r="Q36" s="24">
        <v>45449.635557118054</v>
      </c>
      <c r="R36" s="24"/>
      <c r="S36" s="24"/>
      <c r="T36" s="24"/>
      <c r="U36" s="24"/>
      <c r="V36" s="24"/>
      <c r="W36" s="24"/>
      <c r="X36" s="24"/>
      <c r="Y36" s="24">
        <v>45470.586363252318</v>
      </c>
      <c r="Z36" s="24"/>
      <c r="AA36" s="24"/>
      <c r="AB36" s="24"/>
      <c r="AC36" s="24"/>
      <c r="AD36" s="24"/>
      <c r="AE36" s="24"/>
      <c r="AF36" s="24"/>
      <c r="AG36" s="24">
        <v>46160.377809062498</v>
      </c>
    </row>
    <row r="37" spans="1:33" x14ac:dyDescent="0.3">
      <c r="A37" t="s">
        <v>1622</v>
      </c>
      <c r="C37" t="s">
        <v>252</v>
      </c>
      <c r="D37" s="24">
        <v>45373.73159722222</v>
      </c>
      <c r="E37" t="s">
        <v>90</v>
      </c>
      <c r="F37" t="s">
        <v>155</v>
      </c>
      <c r="K37" t="s">
        <v>1001</v>
      </c>
      <c r="L37" s="24"/>
      <c r="M37" s="24"/>
      <c r="N37" s="24"/>
      <c r="O37" s="24"/>
      <c r="P37" s="24"/>
      <c r="Q37" s="24">
        <v>45406.468546886572</v>
      </c>
      <c r="R37" s="24"/>
      <c r="S37" s="24"/>
      <c r="T37" s="24"/>
      <c r="U37" s="24"/>
      <c r="V37" s="24"/>
      <c r="W37" s="24"/>
      <c r="X37" s="24"/>
      <c r="Y37" s="24">
        <v>45475.46787990741</v>
      </c>
      <c r="Z37" s="24"/>
      <c r="AA37" s="24"/>
      <c r="AB37" s="24"/>
      <c r="AC37" s="24"/>
      <c r="AD37" s="24"/>
      <c r="AE37" s="24"/>
      <c r="AF37" s="24"/>
      <c r="AG37" s="24">
        <v>46160.377809062498</v>
      </c>
    </row>
    <row r="38" spans="1:33" x14ac:dyDescent="0.3">
      <c r="A38" t="s">
        <v>1623</v>
      </c>
      <c r="C38" t="s">
        <v>252</v>
      </c>
      <c r="D38" s="24">
        <v>45373.731817129628</v>
      </c>
      <c r="E38" t="s">
        <v>90</v>
      </c>
      <c r="F38" t="s">
        <v>155</v>
      </c>
      <c r="K38" t="s">
        <v>1001</v>
      </c>
      <c r="L38" s="24"/>
      <c r="M38" s="24"/>
      <c r="N38" s="24"/>
      <c r="O38" s="24"/>
      <c r="P38" s="24"/>
      <c r="Q38" s="24">
        <v>45450.555434965281</v>
      </c>
      <c r="R38" s="24"/>
      <c r="S38" s="24"/>
      <c r="T38" s="24"/>
      <c r="U38" s="24"/>
      <c r="V38" s="24"/>
      <c r="W38" s="24"/>
      <c r="X38" s="24"/>
      <c r="Y38" s="24">
        <v>45475.468964571759</v>
      </c>
      <c r="Z38" s="24"/>
      <c r="AA38" s="24"/>
      <c r="AB38" s="24"/>
      <c r="AC38" s="24"/>
      <c r="AD38" s="24"/>
      <c r="AE38" s="24"/>
      <c r="AF38" s="24"/>
      <c r="AG38" s="24">
        <v>46160.377809062498</v>
      </c>
    </row>
    <row r="39" spans="1:33" x14ac:dyDescent="0.3">
      <c r="A39" t="s">
        <v>1624</v>
      </c>
      <c r="C39" t="s">
        <v>252</v>
      </c>
      <c r="D39" s="24">
        <v>45373.731759259259</v>
      </c>
      <c r="E39" t="s">
        <v>90</v>
      </c>
      <c r="F39" t="s">
        <v>155</v>
      </c>
      <c r="K39" t="s">
        <v>1001</v>
      </c>
      <c r="L39" s="24"/>
      <c r="M39" s="24"/>
      <c r="N39" s="24"/>
      <c r="O39" s="24"/>
      <c r="P39" s="24"/>
      <c r="Q39" s="24">
        <v>45441.680575902777</v>
      </c>
      <c r="R39" s="24"/>
      <c r="S39" s="24"/>
      <c r="T39" s="24"/>
      <c r="U39" s="24"/>
      <c r="V39" s="24"/>
      <c r="W39" s="24"/>
      <c r="X39" s="24"/>
      <c r="Y39" s="24">
        <v>45475.468682314815</v>
      </c>
      <c r="Z39" s="24"/>
      <c r="AA39" s="24"/>
      <c r="AB39" s="24"/>
      <c r="AC39" s="24"/>
      <c r="AD39" s="24"/>
      <c r="AE39" s="24"/>
      <c r="AF39" s="24"/>
      <c r="AG39" s="24">
        <v>46160.377809062498</v>
      </c>
    </row>
    <row r="40" spans="1:33" x14ac:dyDescent="0.3">
      <c r="A40" t="s">
        <v>1625</v>
      </c>
      <c r="C40" t="s">
        <v>252</v>
      </c>
      <c r="D40" s="24">
        <v>45373.731805555559</v>
      </c>
      <c r="E40" t="s">
        <v>90</v>
      </c>
      <c r="F40" t="s">
        <v>155</v>
      </c>
      <c r="K40" t="s">
        <v>1001</v>
      </c>
      <c r="L40" s="24"/>
      <c r="M40" s="24"/>
      <c r="N40" s="24"/>
      <c r="O40" s="24"/>
      <c r="P40" s="24"/>
      <c r="Q40" s="24">
        <v>45433.467520983795</v>
      </c>
      <c r="R40" s="24"/>
      <c r="S40" s="24"/>
      <c r="T40" s="24"/>
      <c r="U40" s="24"/>
      <c r="V40" s="24"/>
      <c r="W40" s="24"/>
      <c r="X40" s="24"/>
      <c r="Y40" s="24">
        <v>45470.460529780095</v>
      </c>
      <c r="Z40" s="24"/>
      <c r="AA40" s="24"/>
      <c r="AB40" s="24"/>
      <c r="AC40" s="24"/>
      <c r="AD40" s="24"/>
      <c r="AE40" s="24"/>
      <c r="AF40" s="24"/>
      <c r="AG40" s="24">
        <v>46160.377809062498</v>
      </c>
    </row>
    <row r="41" spans="1:33" x14ac:dyDescent="0.3">
      <c r="A41" t="s">
        <v>1626</v>
      </c>
      <c r="C41" t="s">
        <v>252</v>
      </c>
      <c r="D41" s="24">
        <v>45373.731770833336</v>
      </c>
      <c r="E41" t="s">
        <v>150</v>
      </c>
      <c r="F41" t="s">
        <v>155</v>
      </c>
      <c r="K41" t="s">
        <v>1001</v>
      </c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>
        <v>45433.652963090281</v>
      </c>
      <c r="X41" s="24"/>
      <c r="Y41" s="24"/>
      <c r="Z41" s="24"/>
      <c r="AA41" s="24"/>
      <c r="AB41" s="24"/>
      <c r="AC41" s="24"/>
      <c r="AD41" s="24"/>
      <c r="AE41" s="24"/>
      <c r="AF41" s="24"/>
      <c r="AG41" s="24">
        <v>46160.377809062498</v>
      </c>
    </row>
    <row r="42" spans="1:33" x14ac:dyDescent="0.3">
      <c r="A42" t="s">
        <v>1627</v>
      </c>
      <c r="C42" t="s">
        <v>252</v>
      </c>
      <c r="D42" s="24">
        <v>45373.731446759259</v>
      </c>
      <c r="E42" t="s">
        <v>90</v>
      </c>
      <c r="F42" t="s">
        <v>155</v>
      </c>
      <c r="K42" t="s">
        <v>1001</v>
      </c>
      <c r="L42" s="24"/>
      <c r="M42" s="24"/>
      <c r="N42" s="24"/>
      <c r="O42" s="24"/>
      <c r="P42" s="24"/>
      <c r="Q42" s="24">
        <v>45429.485763923614</v>
      </c>
      <c r="R42" s="24"/>
      <c r="S42" s="24"/>
      <c r="T42" s="24"/>
      <c r="U42" s="24"/>
      <c r="V42" s="24"/>
      <c r="W42" s="24"/>
      <c r="X42" s="24"/>
      <c r="Y42" s="24">
        <v>45450.462046284723</v>
      </c>
      <c r="Z42" s="24"/>
      <c r="AA42" s="24"/>
      <c r="AB42" s="24"/>
      <c r="AC42" s="24"/>
      <c r="AD42" s="24"/>
      <c r="AE42" s="24"/>
      <c r="AF42" s="24"/>
      <c r="AG42" s="24">
        <v>46160.377809062498</v>
      </c>
    </row>
    <row r="43" spans="1:33" x14ac:dyDescent="0.3">
      <c r="A43" t="s">
        <v>1031</v>
      </c>
      <c r="C43" t="s">
        <v>253</v>
      </c>
      <c r="D43" s="24">
        <v>45464.700439814813</v>
      </c>
      <c r="E43" t="s">
        <v>90</v>
      </c>
      <c r="F43" t="s">
        <v>155</v>
      </c>
      <c r="G43" t="s">
        <v>248</v>
      </c>
      <c r="K43" t="s">
        <v>1000</v>
      </c>
      <c r="L43" s="24"/>
      <c r="M43" s="24"/>
      <c r="N43" s="24"/>
      <c r="O43" s="24"/>
      <c r="P43" s="24"/>
      <c r="Q43" s="24">
        <v>45467.582064872688</v>
      </c>
      <c r="R43" s="24"/>
      <c r="S43" s="24"/>
      <c r="T43" s="24"/>
      <c r="U43" s="24"/>
      <c r="V43" s="24"/>
      <c r="W43" s="24"/>
      <c r="X43" s="24"/>
      <c r="Y43" s="24">
        <v>45565.32192386574</v>
      </c>
      <c r="Z43" s="24"/>
      <c r="AA43" s="24"/>
      <c r="AB43" s="24"/>
      <c r="AC43" s="24"/>
      <c r="AD43" s="24"/>
      <c r="AE43" s="24"/>
      <c r="AF43" s="24"/>
      <c r="AG43" s="24">
        <v>46160.377809062498</v>
      </c>
    </row>
    <row r="44" spans="1:33" x14ac:dyDescent="0.3">
      <c r="A44" t="s">
        <v>1032</v>
      </c>
      <c r="C44" t="s">
        <v>253</v>
      </c>
      <c r="D44" s="24">
        <v>45464.700682870367</v>
      </c>
      <c r="E44" t="s">
        <v>90</v>
      </c>
      <c r="F44" t="s">
        <v>155</v>
      </c>
      <c r="G44" t="s">
        <v>248</v>
      </c>
      <c r="K44" t="s">
        <v>1000</v>
      </c>
      <c r="L44" s="24"/>
      <c r="M44" s="24"/>
      <c r="N44" s="24"/>
      <c r="O44" s="24"/>
      <c r="P44" s="24"/>
      <c r="Q44" s="24">
        <v>45467.621142824071</v>
      </c>
      <c r="R44" s="24"/>
      <c r="S44" s="24"/>
      <c r="T44" s="24"/>
      <c r="U44" s="24"/>
      <c r="V44" s="24"/>
      <c r="W44" s="24"/>
      <c r="X44" s="24"/>
      <c r="Y44" s="24">
        <v>45565.322753541666</v>
      </c>
      <c r="Z44" s="24"/>
      <c r="AA44" s="24"/>
      <c r="AB44" s="24"/>
      <c r="AC44" s="24"/>
      <c r="AD44" s="24"/>
      <c r="AE44" s="24"/>
      <c r="AF44" s="24"/>
      <c r="AG44" s="24">
        <v>46160.377809062498</v>
      </c>
    </row>
    <row r="45" spans="1:33" x14ac:dyDescent="0.3">
      <c r="A45" t="s">
        <v>1033</v>
      </c>
      <c r="C45" t="s">
        <v>253</v>
      </c>
      <c r="D45" s="24">
        <v>45464.700613425928</v>
      </c>
      <c r="E45" t="s">
        <v>90</v>
      </c>
      <c r="F45" t="s">
        <v>155</v>
      </c>
      <c r="G45" t="s">
        <v>248</v>
      </c>
      <c r="K45" t="s">
        <v>1000</v>
      </c>
      <c r="L45" s="24"/>
      <c r="M45" s="24"/>
      <c r="N45" s="24"/>
      <c r="O45" s="24"/>
      <c r="P45" s="24"/>
      <c r="Q45" s="24">
        <v>45467.621268981478</v>
      </c>
      <c r="R45" s="24"/>
      <c r="S45" s="24"/>
      <c r="T45" s="24"/>
      <c r="U45" s="24"/>
      <c r="V45" s="24"/>
      <c r="W45" s="24"/>
      <c r="X45" s="24"/>
      <c r="Y45" s="24">
        <v>45538.381629791664</v>
      </c>
      <c r="Z45" s="24"/>
      <c r="AA45" s="24"/>
      <c r="AB45" s="24"/>
      <c r="AC45" s="24"/>
      <c r="AD45" s="24"/>
      <c r="AE45" s="24"/>
      <c r="AF45" s="24"/>
      <c r="AG45" s="24">
        <v>46160.377809062498</v>
      </c>
    </row>
    <row r="46" spans="1:33" x14ac:dyDescent="0.3">
      <c r="A46" t="s">
        <v>1034</v>
      </c>
      <c r="C46" t="s">
        <v>253</v>
      </c>
      <c r="D46" s="24">
        <v>45464.700590277775</v>
      </c>
      <c r="E46" t="s">
        <v>90</v>
      </c>
      <c r="F46" t="s">
        <v>155</v>
      </c>
      <c r="G46" t="s">
        <v>248</v>
      </c>
      <c r="K46" t="s">
        <v>1000</v>
      </c>
      <c r="L46" s="24"/>
      <c r="M46" s="24"/>
      <c r="N46" s="24"/>
      <c r="O46" s="24"/>
      <c r="P46" s="24"/>
      <c r="Q46" s="24">
        <v>45533.459330219906</v>
      </c>
      <c r="R46" s="24"/>
      <c r="S46" s="24"/>
      <c r="T46" s="24"/>
      <c r="U46" s="24"/>
      <c r="V46" s="24"/>
      <c r="W46" s="24"/>
      <c r="X46" s="24"/>
      <c r="Y46" s="24">
        <v>45733.652666030095</v>
      </c>
      <c r="Z46" s="24"/>
      <c r="AA46" s="24"/>
      <c r="AB46" s="24"/>
      <c r="AC46" s="24"/>
      <c r="AD46" s="24"/>
      <c r="AE46" s="24"/>
      <c r="AF46" s="24"/>
      <c r="AG46" s="24">
        <v>46160.377809062498</v>
      </c>
    </row>
    <row r="47" spans="1:33" x14ac:dyDescent="0.3">
      <c r="A47" t="s">
        <v>1035</v>
      </c>
      <c r="C47" t="s">
        <v>253</v>
      </c>
      <c r="D47" s="24">
        <v>45464.700601851851</v>
      </c>
      <c r="E47" t="s">
        <v>90</v>
      </c>
      <c r="F47" t="s">
        <v>155</v>
      </c>
      <c r="G47" t="s">
        <v>248</v>
      </c>
      <c r="K47" t="s">
        <v>1000</v>
      </c>
      <c r="L47" s="24"/>
      <c r="M47" s="24"/>
      <c r="N47" s="24"/>
      <c r="O47" s="24"/>
      <c r="P47" s="24"/>
      <c r="Q47" s="24">
        <v>45476.661818761575</v>
      </c>
      <c r="R47" s="24"/>
      <c r="S47" s="24"/>
      <c r="T47" s="24"/>
      <c r="U47" s="24"/>
      <c r="V47" s="24"/>
      <c r="W47" s="24"/>
      <c r="X47" s="24"/>
      <c r="Y47" s="24">
        <v>45565.558395208333</v>
      </c>
      <c r="Z47" s="24"/>
      <c r="AA47" s="24"/>
      <c r="AB47" s="24"/>
      <c r="AC47" s="24"/>
      <c r="AD47" s="24"/>
      <c r="AE47" s="24"/>
      <c r="AF47" s="24"/>
      <c r="AG47" s="24">
        <v>46160.377809062498</v>
      </c>
    </row>
    <row r="48" spans="1:33" x14ac:dyDescent="0.3">
      <c r="A48" t="s">
        <v>1036</v>
      </c>
      <c r="C48" t="s">
        <v>253</v>
      </c>
      <c r="D48" s="24">
        <v>45464.700601851851</v>
      </c>
      <c r="E48" t="s">
        <v>90</v>
      </c>
      <c r="F48" t="s">
        <v>155</v>
      </c>
      <c r="G48" t="s">
        <v>248</v>
      </c>
      <c r="K48" t="s">
        <v>1000</v>
      </c>
      <c r="L48" s="24"/>
      <c r="M48" s="24"/>
      <c r="N48" s="24"/>
      <c r="O48" s="24"/>
      <c r="P48" s="24"/>
      <c r="Q48" s="24">
        <v>45524.614872592596</v>
      </c>
      <c r="R48" s="24"/>
      <c r="S48" s="24"/>
      <c r="T48" s="24"/>
      <c r="U48" s="24"/>
      <c r="V48" s="24"/>
      <c r="W48" s="24"/>
      <c r="X48" s="24"/>
      <c r="Y48" s="24">
        <v>45533.436152766204</v>
      </c>
      <c r="Z48" s="24"/>
      <c r="AA48" s="24"/>
      <c r="AB48" s="24"/>
      <c r="AC48" s="24"/>
      <c r="AD48" s="24"/>
      <c r="AE48" s="24"/>
      <c r="AF48" s="24"/>
      <c r="AG48" s="24">
        <v>46160.377809062498</v>
      </c>
    </row>
    <row r="49" spans="1:33" x14ac:dyDescent="0.3">
      <c r="A49" t="s">
        <v>1037</v>
      </c>
      <c r="C49" t="s">
        <v>253</v>
      </c>
      <c r="D49" s="24">
        <v>45464.700740740744</v>
      </c>
      <c r="E49" t="s">
        <v>150</v>
      </c>
      <c r="F49" t="s">
        <v>155</v>
      </c>
      <c r="G49" t="s">
        <v>248</v>
      </c>
      <c r="K49" t="s">
        <v>1000</v>
      </c>
      <c r="L49" s="24"/>
      <c r="M49" s="24"/>
      <c r="N49" s="24"/>
      <c r="O49" s="24"/>
      <c r="P49" s="24"/>
      <c r="Q49" s="24">
        <v>45497.408680509259</v>
      </c>
      <c r="R49" s="24"/>
      <c r="S49" s="24"/>
      <c r="T49" s="24"/>
      <c r="U49" s="24"/>
      <c r="V49" s="24"/>
      <c r="W49" s="24">
        <v>45547.329315381947</v>
      </c>
      <c r="X49" s="24"/>
      <c r="Y49" s="24"/>
      <c r="Z49" s="24"/>
      <c r="AA49" s="24"/>
      <c r="AB49" s="24"/>
      <c r="AC49" s="24"/>
      <c r="AD49" s="24"/>
      <c r="AE49" s="24"/>
      <c r="AF49" s="24"/>
      <c r="AG49" s="24">
        <v>46160.377809062498</v>
      </c>
    </row>
    <row r="50" spans="1:33" x14ac:dyDescent="0.3">
      <c r="A50" t="s">
        <v>1038</v>
      </c>
      <c r="C50" t="s">
        <v>253</v>
      </c>
      <c r="D50" s="24">
        <v>45464.700671296298</v>
      </c>
      <c r="E50" t="s">
        <v>90</v>
      </c>
      <c r="F50" t="s">
        <v>155</v>
      </c>
      <c r="G50" t="s">
        <v>248</v>
      </c>
      <c r="K50" t="s">
        <v>1000</v>
      </c>
      <c r="L50" s="24"/>
      <c r="M50" s="24"/>
      <c r="N50" s="24"/>
      <c r="O50" s="24"/>
      <c r="P50" s="24"/>
      <c r="Q50" s="24">
        <v>45546.645417534724</v>
      </c>
      <c r="R50" s="24"/>
      <c r="S50" s="24"/>
      <c r="T50" s="24"/>
      <c r="U50" s="24"/>
      <c r="V50" s="24"/>
      <c r="W50" s="24"/>
      <c r="X50" s="24"/>
      <c r="Y50" s="24">
        <v>45552.341973437498</v>
      </c>
      <c r="Z50" s="24"/>
      <c r="AA50" s="24"/>
      <c r="AB50" s="24"/>
      <c r="AC50" s="24"/>
      <c r="AD50" s="24"/>
      <c r="AE50" s="24"/>
      <c r="AF50" s="24"/>
      <c r="AG50" s="24">
        <v>46160.377809062498</v>
      </c>
    </row>
    <row r="51" spans="1:33" x14ac:dyDescent="0.3">
      <c r="A51" t="s">
        <v>1039</v>
      </c>
      <c r="C51" t="s">
        <v>253</v>
      </c>
      <c r="D51" s="24">
        <v>45464.700590277775</v>
      </c>
      <c r="E51" t="s">
        <v>90</v>
      </c>
      <c r="F51" t="s">
        <v>155</v>
      </c>
      <c r="G51" t="s">
        <v>248</v>
      </c>
      <c r="K51" t="s">
        <v>1000</v>
      </c>
      <c r="L51" s="24"/>
      <c r="M51" s="24"/>
      <c r="N51" s="24"/>
      <c r="O51" s="24"/>
      <c r="P51" s="24"/>
      <c r="Q51" s="24">
        <v>45476.662543460647</v>
      </c>
      <c r="R51" s="24"/>
      <c r="S51" s="24"/>
      <c r="T51" s="24"/>
      <c r="U51" s="24"/>
      <c r="V51" s="24"/>
      <c r="W51" s="24"/>
      <c r="X51" s="24"/>
      <c r="Y51" s="24">
        <v>45533.41328508102</v>
      </c>
      <c r="Z51" s="24"/>
      <c r="AA51" s="24"/>
      <c r="AB51" s="24"/>
      <c r="AC51" s="24"/>
      <c r="AD51" s="24"/>
      <c r="AE51" s="24"/>
      <c r="AF51" s="24"/>
      <c r="AG51" s="24">
        <v>46160.377809062498</v>
      </c>
    </row>
    <row r="52" spans="1:33" x14ac:dyDescent="0.3">
      <c r="A52" t="s">
        <v>1040</v>
      </c>
      <c r="C52" t="s">
        <v>253</v>
      </c>
      <c r="D52" s="24">
        <v>45464.700486111113</v>
      </c>
      <c r="E52" t="s">
        <v>90</v>
      </c>
      <c r="F52" t="s">
        <v>155</v>
      </c>
      <c r="G52" t="s">
        <v>248</v>
      </c>
      <c r="K52" t="s">
        <v>1000</v>
      </c>
      <c r="L52" s="24"/>
      <c r="M52" s="24"/>
      <c r="N52" s="24"/>
      <c r="O52" s="24"/>
      <c r="P52" s="24"/>
      <c r="Q52" s="24">
        <v>45476.662609791667</v>
      </c>
      <c r="R52" s="24"/>
      <c r="S52" s="24"/>
      <c r="T52" s="24"/>
      <c r="U52" s="24"/>
      <c r="V52" s="24"/>
      <c r="W52" s="24"/>
      <c r="X52" s="24"/>
      <c r="Y52" s="24">
        <v>45565.323693298611</v>
      </c>
      <c r="Z52" s="24"/>
      <c r="AA52" s="24"/>
      <c r="AB52" s="24"/>
      <c r="AC52" s="24"/>
      <c r="AD52" s="24"/>
      <c r="AE52" s="24"/>
      <c r="AF52" s="24"/>
      <c r="AG52" s="24">
        <v>46160.377809062498</v>
      </c>
    </row>
    <row r="53" spans="1:33" x14ac:dyDescent="0.3">
      <c r="A53" t="s">
        <v>1041</v>
      </c>
      <c r="C53" t="s">
        <v>253</v>
      </c>
      <c r="D53" s="24">
        <v>45464.700416666667</v>
      </c>
      <c r="E53" t="s">
        <v>90</v>
      </c>
      <c r="F53" t="s">
        <v>155</v>
      </c>
      <c r="G53" t="s">
        <v>249</v>
      </c>
      <c r="K53" t="s">
        <v>1000</v>
      </c>
      <c r="L53" s="24"/>
      <c r="M53" s="24"/>
      <c r="N53" s="24"/>
      <c r="O53" s="24"/>
      <c r="P53" s="24"/>
      <c r="Q53" s="24">
        <v>45531.374780416663</v>
      </c>
      <c r="R53" s="24"/>
      <c r="S53" s="24"/>
      <c r="T53" s="24"/>
      <c r="U53" s="24"/>
      <c r="V53" s="24"/>
      <c r="W53" s="24"/>
      <c r="X53" s="24"/>
      <c r="Y53" s="24">
        <v>45531.374840509263</v>
      </c>
      <c r="Z53" s="24"/>
      <c r="AA53" s="24"/>
      <c r="AB53" s="24"/>
      <c r="AC53" s="24"/>
      <c r="AD53" s="24"/>
      <c r="AE53" s="24"/>
      <c r="AF53" s="24"/>
      <c r="AG53" s="24">
        <v>46160.377809062498</v>
      </c>
    </row>
    <row r="54" spans="1:33" x14ac:dyDescent="0.3">
      <c r="A54" t="s">
        <v>1042</v>
      </c>
      <c r="C54" t="s">
        <v>253</v>
      </c>
      <c r="D54" s="24">
        <v>45464.700729166667</v>
      </c>
      <c r="E54" t="s">
        <v>90</v>
      </c>
      <c r="F54" t="s">
        <v>155</v>
      </c>
      <c r="G54" t="s">
        <v>248</v>
      </c>
      <c r="K54" t="s">
        <v>1000</v>
      </c>
      <c r="L54" s="24"/>
      <c r="M54" s="24"/>
      <c r="N54" s="24"/>
      <c r="O54" s="24"/>
      <c r="P54" s="24"/>
      <c r="Q54" s="24">
        <v>45497.368098969906</v>
      </c>
      <c r="R54" s="24"/>
      <c r="S54" s="24"/>
      <c r="T54" s="24"/>
      <c r="U54" s="24"/>
      <c r="V54" s="24"/>
      <c r="W54" s="24"/>
      <c r="X54" s="24"/>
      <c r="Y54" s="24">
        <v>45498.566108310188</v>
      </c>
      <c r="Z54" s="24"/>
      <c r="AA54" s="24"/>
      <c r="AB54" s="24"/>
      <c r="AC54" s="24"/>
      <c r="AD54" s="24"/>
      <c r="AE54" s="24"/>
      <c r="AF54" s="24"/>
      <c r="AG54" s="24">
        <v>46160.377809062498</v>
      </c>
    </row>
    <row r="55" spans="1:33" x14ac:dyDescent="0.3">
      <c r="A55" t="s">
        <v>1628</v>
      </c>
      <c r="C55" t="s">
        <v>253</v>
      </c>
      <c r="D55" s="24">
        <v>45464.700879629629</v>
      </c>
      <c r="E55" t="s">
        <v>90</v>
      </c>
      <c r="F55" t="s">
        <v>155</v>
      </c>
      <c r="G55" t="s">
        <v>248</v>
      </c>
      <c r="K55" t="s">
        <v>1001</v>
      </c>
      <c r="L55" s="24"/>
      <c r="M55" s="24"/>
      <c r="N55" s="24"/>
      <c r="O55" s="24"/>
      <c r="P55" s="24"/>
      <c r="Q55" s="24">
        <v>45565.483960451391</v>
      </c>
      <c r="R55" s="24"/>
      <c r="S55" s="24"/>
      <c r="T55" s="24"/>
      <c r="U55" s="24"/>
      <c r="V55" s="24"/>
      <c r="W55" s="24"/>
      <c r="X55" s="24"/>
      <c r="Y55" s="24">
        <v>45565.484014120368</v>
      </c>
      <c r="Z55" s="24"/>
      <c r="AA55" s="24"/>
      <c r="AB55" s="24"/>
      <c r="AC55" s="24"/>
      <c r="AD55" s="24"/>
      <c r="AE55" s="24"/>
      <c r="AF55" s="24"/>
      <c r="AG55" s="24">
        <v>46160.377809062498</v>
      </c>
    </row>
    <row r="56" spans="1:33" x14ac:dyDescent="0.3">
      <c r="A56" t="s">
        <v>1629</v>
      </c>
      <c r="C56" t="s">
        <v>253</v>
      </c>
      <c r="D56" s="24">
        <v>45464.700833333336</v>
      </c>
      <c r="E56" t="s">
        <v>90</v>
      </c>
      <c r="F56" t="s">
        <v>155</v>
      </c>
      <c r="G56" t="s">
        <v>248</v>
      </c>
      <c r="K56" t="s">
        <v>1001</v>
      </c>
      <c r="L56" s="24"/>
      <c r="M56" s="24"/>
      <c r="N56" s="24"/>
      <c r="O56" s="24"/>
      <c r="P56" s="24"/>
      <c r="Q56" s="24">
        <v>45475.470644236113</v>
      </c>
      <c r="R56" s="24"/>
      <c r="S56" s="24"/>
      <c r="T56" s="24"/>
      <c r="U56" s="24"/>
      <c r="V56" s="24"/>
      <c r="W56" s="24"/>
      <c r="X56" s="24"/>
      <c r="Y56" s="24">
        <v>45565.468544699077</v>
      </c>
      <c r="Z56" s="24"/>
      <c r="AA56" s="24"/>
      <c r="AB56" s="24"/>
      <c r="AC56" s="24"/>
      <c r="AD56" s="24"/>
      <c r="AE56" s="24"/>
      <c r="AF56" s="24"/>
      <c r="AG56" s="24">
        <v>46160.377809062498</v>
      </c>
    </row>
    <row r="57" spans="1:33" x14ac:dyDescent="0.3">
      <c r="A57" t="s">
        <v>1630</v>
      </c>
      <c r="C57" t="s">
        <v>253</v>
      </c>
      <c r="D57" s="24">
        <v>45464.700821759259</v>
      </c>
      <c r="E57" t="s">
        <v>90</v>
      </c>
      <c r="F57" t="s">
        <v>155</v>
      </c>
      <c r="G57" t="s">
        <v>248</v>
      </c>
      <c r="K57" t="s">
        <v>1001</v>
      </c>
      <c r="L57" s="24"/>
      <c r="M57" s="24"/>
      <c r="N57" s="24"/>
      <c r="O57" s="24"/>
      <c r="P57" s="24"/>
      <c r="Q57" s="24">
        <v>45554.663850358796</v>
      </c>
      <c r="R57" s="24"/>
      <c r="S57" s="24"/>
      <c r="T57" s="24"/>
      <c r="U57" s="24"/>
      <c r="V57" s="24"/>
      <c r="W57" s="24"/>
      <c r="X57" s="24"/>
      <c r="Y57" s="24">
        <v>45565.48097340278</v>
      </c>
      <c r="Z57" s="24"/>
      <c r="AA57" s="24"/>
      <c r="AB57" s="24"/>
      <c r="AC57" s="24"/>
      <c r="AD57" s="24"/>
      <c r="AE57" s="24"/>
      <c r="AF57" s="24"/>
      <c r="AG57" s="24">
        <v>46160.377809062498</v>
      </c>
    </row>
    <row r="58" spans="1:33" x14ac:dyDescent="0.3">
      <c r="A58" t="s">
        <v>1631</v>
      </c>
      <c r="C58" t="s">
        <v>253</v>
      </c>
      <c r="D58" s="24">
        <v>45464.700706018521</v>
      </c>
      <c r="E58" t="s">
        <v>90</v>
      </c>
      <c r="F58" t="s">
        <v>155</v>
      </c>
      <c r="G58" t="s">
        <v>250</v>
      </c>
      <c r="K58" t="s">
        <v>1001</v>
      </c>
      <c r="L58" s="24"/>
      <c r="M58" s="24"/>
      <c r="N58" s="24"/>
      <c r="O58" s="24"/>
      <c r="P58" s="24"/>
      <c r="Q58" s="24">
        <v>45519.496345659725</v>
      </c>
      <c r="R58" s="24"/>
      <c r="S58" s="24"/>
      <c r="T58" s="24"/>
      <c r="U58" s="24"/>
      <c r="V58" s="24"/>
      <c r="W58" s="24"/>
      <c r="X58" s="24"/>
      <c r="Y58" s="24">
        <v>45565.467646770834</v>
      </c>
      <c r="Z58" s="24"/>
      <c r="AA58" s="24"/>
      <c r="AB58" s="24"/>
      <c r="AC58" s="24"/>
      <c r="AD58" s="24"/>
      <c r="AE58" s="24"/>
      <c r="AF58" s="24"/>
      <c r="AG58" s="24">
        <v>46160.377809062498</v>
      </c>
    </row>
    <row r="59" spans="1:33" x14ac:dyDescent="0.3">
      <c r="A59" t="s">
        <v>1632</v>
      </c>
      <c r="C59" t="s">
        <v>253</v>
      </c>
      <c r="D59" s="24">
        <v>45464.700520833336</v>
      </c>
      <c r="E59" t="s">
        <v>90</v>
      </c>
      <c r="F59" t="s">
        <v>155</v>
      </c>
      <c r="G59" t="s">
        <v>248</v>
      </c>
      <c r="K59" t="s">
        <v>1001</v>
      </c>
      <c r="L59" s="24"/>
      <c r="M59" s="24"/>
      <c r="N59" s="24"/>
      <c r="O59" s="24"/>
      <c r="P59" s="24"/>
      <c r="Q59" s="24">
        <v>45533.603352615741</v>
      </c>
      <c r="R59" s="24"/>
      <c r="S59" s="24"/>
      <c r="T59" s="24"/>
      <c r="U59" s="24"/>
      <c r="V59" s="24"/>
      <c r="W59" s="24"/>
      <c r="X59" s="24"/>
      <c r="Y59" s="24">
        <v>45554.667233368054</v>
      </c>
      <c r="Z59" s="24"/>
      <c r="AA59" s="24"/>
      <c r="AB59" s="24"/>
      <c r="AC59" s="24"/>
      <c r="AD59" s="24"/>
      <c r="AE59" s="24"/>
      <c r="AF59" s="24"/>
      <c r="AG59" s="24">
        <v>46160.377809062498</v>
      </c>
    </row>
    <row r="60" spans="1:33" x14ac:dyDescent="0.3">
      <c r="A60" t="s">
        <v>1633</v>
      </c>
      <c r="C60" t="s">
        <v>253</v>
      </c>
      <c r="D60" s="24">
        <v>45464.700497685182</v>
      </c>
      <c r="E60" t="s">
        <v>150</v>
      </c>
      <c r="F60" t="s">
        <v>155</v>
      </c>
      <c r="G60" t="s">
        <v>249</v>
      </c>
      <c r="K60" t="s">
        <v>1001</v>
      </c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>
        <v>45554.6660466088</v>
      </c>
      <c r="X60" s="24"/>
      <c r="Y60" s="24"/>
      <c r="Z60" s="24"/>
      <c r="AA60" s="24"/>
      <c r="AB60" s="24"/>
      <c r="AC60" s="24"/>
      <c r="AD60" s="24"/>
      <c r="AE60" s="24"/>
      <c r="AF60" s="24"/>
      <c r="AG60" s="24">
        <v>46160.377809062498</v>
      </c>
    </row>
    <row r="61" spans="1:33" x14ac:dyDescent="0.3">
      <c r="A61" t="s">
        <v>1634</v>
      </c>
      <c r="C61" t="s">
        <v>253</v>
      </c>
      <c r="D61" s="24">
        <v>45464.700810185182</v>
      </c>
      <c r="E61" t="s">
        <v>150</v>
      </c>
      <c r="F61" t="s">
        <v>155</v>
      </c>
      <c r="G61" t="s">
        <v>248</v>
      </c>
      <c r="K61" t="s">
        <v>1001</v>
      </c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>
        <v>45524.438960219908</v>
      </c>
      <c r="X61" s="24"/>
      <c r="Y61" s="24"/>
      <c r="Z61" s="24"/>
      <c r="AA61" s="24"/>
      <c r="AB61" s="24"/>
      <c r="AC61" s="24"/>
      <c r="AD61" s="24"/>
      <c r="AE61" s="24"/>
      <c r="AF61" s="24"/>
      <c r="AG61" s="24">
        <v>46160.377809062498</v>
      </c>
    </row>
    <row r="62" spans="1:33" x14ac:dyDescent="0.3">
      <c r="A62" t="s">
        <v>1635</v>
      </c>
      <c r="C62" t="s">
        <v>253</v>
      </c>
      <c r="D62" s="24">
        <v>45464.700648148151</v>
      </c>
      <c r="E62" t="s">
        <v>150</v>
      </c>
      <c r="F62" t="s">
        <v>155</v>
      </c>
      <c r="G62" t="s">
        <v>249</v>
      </c>
      <c r="K62" t="s">
        <v>1001</v>
      </c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>
        <v>45565.476637754633</v>
      </c>
      <c r="X62" s="24"/>
      <c r="Y62" s="24"/>
      <c r="Z62" s="24"/>
      <c r="AA62" s="24"/>
      <c r="AB62" s="24"/>
      <c r="AC62" s="24"/>
      <c r="AD62" s="24"/>
      <c r="AE62" s="24"/>
      <c r="AF62" s="24"/>
      <c r="AG62" s="24">
        <v>46160.377809062498</v>
      </c>
    </row>
    <row r="63" spans="1:33" x14ac:dyDescent="0.3">
      <c r="A63" t="s">
        <v>1636</v>
      </c>
      <c r="C63" t="s">
        <v>253</v>
      </c>
      <c r="D63" s="24">
        <v>45464.700798611113</v>
      </c>
      <c r="E63" t="s">
        <v>90</v>
      </c>
      <c r="F63" t="s">
        <v>155</v>
      </c>
      <c r="G63" t="s">
        <v>248</v>
      </c>
      <c r="K63" t="s">
        <v>1001</v>
      </c>
      <c r="L63" s="24"/>
      <c r="M63" s="24"/>
      <c r="N63" s="24"/>
      <c r="O63" s="24"/>
      <c r="P63" s="24"/>
      <c r="Q63" s="24">
        <v>45475.470257349538</v>
      </c>
      <c r="R63" s="24"/>
      <c r="S63" s="24"/>
      <c r="T63" s="24"/>
      <c r="U63" s="24"/>
      <c r="V63" s="24"/>
      <c r="W63" s="24"/>
      <c r="X63" s="24"/>
      <c r="Y63" s="24">
        <v>45533.631372673612</v>
      </c>
      <c r="Z63" s="24"/>
      <c r="AA63" s="24"/>
      <c r="AB63" s="24"/>
      <c r="AC63" s="24"/>
      <c r="AD63" s="24"/>
      <c r="AE63" s="24"/>
      <c r="AF63" s="24"/>
      <c r="AG63" s="24">
        <v>46160.377809062498</v>
      </c>
    </row>
    <row r="64" spans="1:33" x14ac:dyDescent="0.3">
      <c r="A64" t="s">
        <v>1637</v>
      </c>
      <c r="C64" t="s">
        <v>253</v>
      </c>
      <c r="D64" s="24">
        <v>45464.700474537036</v>
      </c>
      <c r="E64" t="s">
        <v>150</v>
      </c>
      <c r="F64" t="s">
        <v>155</v>
      </c>
      <c r="G64" t="s">
        <v>249</v>
      </c>
      <c r="K64" t="s">
        <v>1001</v>
      </c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>
        <v>45565.473502314817</v>
      </c>
      <c r="X64" s="24"/>
      <c r="Y64" s="24"/>
      <c r="Z64" s="24"/>
      <c r="AA64" s="24"/>
      <c r="AB64" s="24"/>
      <c r="AC64" s="24"/>
      <c r="AD64" s="24"/>
      <c r="AE64" s="24"/>
      <c r="AF64" s="24"/>
      <c r="AG64" s="24">
        <v>46160.377809062498</v>
      </c>
    </row>
    <row r="65" spans="1:33" x14ac:dyDescent="0.3">
      <c r="A65" t="s">
        <v>1638</v>
      </c>
      <c r="C65" t="s">
        <v>253</v>
      </c>
      <c r="D65" s="24">
        <v>45464.70040509259</v>
      </c>
      <c r="E65" t="s">
        <v>90</v>
      </c>
      <c r="F65" t="s">
        <v>155</v>
      </c>
      <c r="G65" t="s">
        <v>248</v>
      </c>
      <c r="K65" t="s">
        <v>1001</v>
      </c>
      <c r="L65" s="24"/>
      <c r="M65" s="24"/>
      <c r="N65" s="24"/>
      <c r="O65" s="24"/>
      <c r="P65" s="24"/>
      <c r="Q65" s="24">
        <v>45475.470339942127</v>
      </c>
      <c r="R65" s="24"/>
      <c r="S65" s="24"/>
      <c r="T65" s="24"/>
      <c r="U65" s="24"/>
      <c r="V65" s="24"/>
      <c r="W65" s="24"/>
      <c r="X65" s="24"/>
      <c r="Y65" s="24">
        <v>45565.466763055556</v>
      </c>
      <c r="Z65" s="24"/>
      <c r="AA65" s="24"/>
      <c r="AB65" s="24"/>
      <c r="AC65" s="24"/>
      <c r="AD65" s="24"/>
      <c r="AE65" s="24"/>
      <c r="AF65" s="24"/>
      <c r="AG65" s="24">
        <v>46160.377809062498</v>
      </c>
    </row>
    <row r="66" spans="1:33" x14ac:dyDescent="0.3">
      <c r="A66" t="s">
        <v>1639</v>
      </c>
      <c r="C66" t="s">
        <v>253</v>
      </c>
      <c r="D66" s="24">
        <v>45464.700787037036</v>
      </c>
      <c r="E66" t="s">
        <v>90</v>
      </c>
      <c r="F66" t="s">
        <v>155</v>
      </c>
      <c r="G66" t="s">
        <v>248</v>
      </c>
      <c r="K66" t="s">
        <v>1001</v>
      </c>
      <c r="L66" s="24"/>
      <c r="M66" s="24"/>
      <c r="N66" s="24"/>
      <c r="O66" s="24"/>
      <c r="P66" s="24"/>
      <c r="Q66" s="24">
        <v>45819.437568009256</v>
      </c>
      <c r="R66" s="24"/>
      <c r="S66" s="24"/>
      <c r="T66" s="24"/>
      <c r="U66" s="24"/>
      <c r="V66" s="24"/>
      <c r="W66" s="24"/>
      <c r="X66" s="24"/>
      <c r="Y66" s="24">
        <v>45819.437614224538</v>
      </c>
      <c r="Z66" s="24"/>
      <c r="AA66" s="24"/>
      <c r="AB66" s="24"/>
      <c r="AC66" s="24"/>
      <c r="AD66" s="24"/>
      <c r="AE66" s="24"/>
      <c r="AF66" s="24"/>
      <c r="AG66" s="24">
        <v>46160.377809062498</v>
      </c>
    </row>
    <row r="67" spans="1:33" x14ac:dyDescent="0.3">
      <c r="A67" t="s">
        <v>1640</v>
      </c>
      <c r="C67" t="s">
        <v>253</v>
      </c>
      <c r="D67" s="24">
        <v>45464.700509259259</v>
      </c>
      <c r="E67" t="s">
        <v>150</v>
      </c>
      <c r="F67" t="s">
        <v>155</v>
      </c>
      <c r="G67" t="s">
        <v>249</v>
      </c>
      <c r="K67" t="s">
        <v>1001</v>
      </c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>
        <v>45565.473318564815</v>
      </c>
      <c r="X67" s="24"/>
      <c r="Y67" s="24"/>
      <c r="Z67" s="24"/>
      <c r="AA67" s="24"/>
      <c r="AB67" s="24"/>
      <c r="AC67" s="24"/>
      <c r="AD67" s="24"/>
      <c r="AE67" s="24"/>
      <c r="AF67" s="24"/>
      <c r="AG67" s="24">
        <v>46160.377809062498</v>
      </c>
    </row>
    <row r="68" spans="1:33" x14ac:dyDescent="0.3">
      <c r="A68" t="s">
        <v>1641</v>
      </c>
      <c r="C68" t="s">
        <v>253</v>
      </c>
      <c r="D68" s="24">
        <v>45464.70045138889</v>
      </c>
      <c r="E68" t="s">
        <v>90</v>
      </c>
      <c r="F68" t="s">
        <v>155</v>
      </c>
      <c r="G68" t="s">
        <v>248</v>
      </c>
      <c r="K68" t="s">
        <v>1001</v>
      </c>
      <c r="L68" s="24"/>
      <c r="M68" s="24"/>
      <c r="N68" s="24"/>
      <c r="O68" s="24"/>
      <c r="P68" s="24"/>
      <c r="Q68" s="24">
        <v>45531.483590509262</v>
      </c>
      <c r="R68" s="24"/>
      <c r="S68" s="24"/>
      <c r="T68" s="24"/>
      <c r="U68" s="24"/>
      <c r="V68" s="24"/>
      <c r="W68" s="24"/>
      <c r="X68" s="24"/>
      <c r="Y68" s="24">
        <v>45565.469630636573</v>
      </c>
      <c r="Z68" s="24"/>
      <c r="AA68" s="24"/>
      <c r="AB68" s="24"/>
      <c r="AC68" s="24"/>
      <c r="AD68" s="24"/>
      <c r="AE68" s="24"/>
      <c r="AF68" s="24"/>
      <c r="AG68" s="24">
        <v>46160.377809062498</v>
      </c>
    </row>
    <row r="69" spans="1:33" x14ac:dyDescent="0.3">
      <c r="A69" t="s">
        <v>1642</v>
      </c>
      <c r="C69" t="s">
        <v>253</v>
      </c>
      <c r="D69" s="24">
        <v>45464.700543981482</v>
      </c>
      <c r="E69" t="s">
        <v>90</v>
      </c>
      <c r="F69" t="s">
        <v>155</v>
      </c>
      <c r="G69" t="s">
        <v>248</v>
      </c>
      <c r="K69" t="s">
        <v>1001</v>
      </c>
      <c r="L69" s="24"/>
      <c r="M69" s="24"/>
      <c r="N69" s="24"/>
      <c r="O69" s="24"/>
      <c r="P69" s="24"/>
      <c r="Q69" s="24">
        <v>45490.471683055555</v>
      </c>
      <c r="R69" s="24"/>
      <c r="S69" s="24"/>
      <c r="T69" s="24"/>
      <c r="U69" s="24"/>
      <c r="V69" s="24"/>
      <c r="W69" s="24"/>
      <c r="X69" s="24"/>
      <c r="Y69" s="24">
        <v>45565.47252077546</v>
      </c>
      <c r="Z69" s="24"/>
      <c r="AA69" s="24"/>
      <c r="AB69" s="24"/>
      <c r="AC69" s="24"/>
      <c r="AD69" s="24"/>
      <c r="AE69" s="24"/>
      <c r="AF69" s="24"/>
      <c r="AG69" s="24">
        <v>46160.377809062498</v>
      </c>
    </row>
    <row r="70" spans="1:33" x14ac:dyDescent="0.3">
      <c r="A70" t="s">
        <v>1643</v>
      </c>
      <c r="C70" t="s">
        <v>253</v>
      </c>
      <c r="D70" s="24">
        <v>45464.700474537036</v>
      </c>
      <c r="E70" t="s">
        <v>90</v>
      </c>
      <c r="F70" t="s">
        <v>155</v>
      </c>
      <c r="G70" t="s">
        <v>248</v>
      </c>
      <c r="K70" t="s">
        <v>1001</v>
      </c>
      <c r="L70" s="24"/>
      <c r="M70" s="24"/>
      <c r="N70" s="24"/>
      <c r="O70" s="24"/>
      <c r="P70" s="24"/>
      <c r="Q70" s="24">
        <v>45481.5376253125</v>
      </c>
      <c r="R70" s="24"/>
      <c r="S70" s="24"/>
      <c r="T70" s="24"/>
      <c r="U70" s="24"/>
      <c r="V70" s="24"/>
      <c r="W70" s="24"/>
      <c r="X70" s="24"/>
      <c r="Y70" s="24">
        <v>45819.437207499999</v>
      </c>
      <c r="Z70" s="24"/>
      <c r="AA70" s="24"/>
      <c r="AB70" s="24"/>
      <c r="AC70" s="24"/>
      <c r="AD70" s="24"/>
      <c r="AE70" s="24"/>
      <c r="AF70" s="24"/>
      <c r="AG70" s="24">
        <v>46160.377809062498</v>
      </c>
    </row>
    <row r="71" spans="1:33" x14ac:dyDescent="0.3">
      <c r="A71" t="s">
        <v>1644</v>
      </c>
      <c r="C71" t="s">
        <v>253</v>
      </c>
      <c r="D71" s="24">
        <v>45464.700775462959</v>
      </c>
      <c r="E71" t="s">
        <v>150</v>
      </c>
      <c r="F71" t="s">
        <v>155</v>
      </c>
      <c r="G71" t="s">
        <v>250</v>
      </c>
      <c r="K71" t="s">
        <v>1001</v>
      </c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>
        <v>45565.478004155091</v>
      </c>
      <c r="X71" s="24"/>
      <c r="Y71" s="24"/>
      <c r="Z71" s="24"/>
      <c r="AA71" s="24"/>
      <c r="AB71" s="24"/>
      <c r="AC71" s="24"/>
      <c r="AD71" s="24"/>
      <c r="AE71" s="24"/>
      <c r="AF71" s="24"/>
      <c r="AG71" s="24">
        <v>46160.377809062498</v>
      </c>
    </row>
    <row r="72" spans="1:33" x14ac:dyDescent="0.3">
      <c r="A72" t="s">
        <v>1645</v>
      </c>
      <c r="C72" t="s">
        <v>253</v>
      </c>
      <c r="D72" s="24">
        <v>45464.700578703705</v>
      </c>
      <c r="E72" t="s">
        <v>90</v>
      </c>
      <c r="F72" t="s">
        <v>155</v>
      </c>
      <c r="G72" t="s">
        <v>248</v>
      </c>
      <c r="K72" t="s">
        <v>1001</v>
      </c>
      <c r="L72" s="24"/>
      <c r="M72" s="24"/>
      <c r="N72" s="24"/>
      <c r="O72" s="24"/>
      <c r="P72" s="24"/>
      <c r="Q72" s="24">
        <v>45533.564463831019</v>
      </c>
      <c r="R72" s="24"/>
      <c r="S72" s="24"/>
      <c r="T72" s="24"/>
      <c r="U72" s="24"/>
      <c r="V72" s="24"/>
      <c r="W72" s="24"/>
      <c r="X72" s="24"/>
      <c r="Y72" s="24">
        <v>45533.568481689814</v>
      </c>
      <c r="Z72" s="24"/>
      <c r="AA72" s="24"/>
      <c r="AB72" s="24"/>
      <c r="AC72" s="24"/>
      <c r="AD72" s="24"/>
      <c r="AE72" s="24"/>
      <c r="AF72" s="24"/>
      <c r="AG72" s="24">
        <v>46160.377809062498</v>
      </c>
    </row>
    <row r="73" spans="1:33" x14ac:dyDescent="0.3">
      <c r="A73" t="s">
        <v>1043</v>
      </c>
      <c r="C73" t="s">
        <v>254</v>
      </c>
      <c r="D73" s="24">
        <v>45555.488981481481</v>
      </c>
      <c r="E73" t="s">
        <v>90</v>
      </c>
      <c r="F73" t="s">
        <v>155</v>
      </c>
      <c r="G73" t="s">
        <v>248</v>
      </c>
      <c r="K73" t="s">
        <v>1000</v>
      </c>
      <c r="L73" s="24"/>
      <c r="M73" s="24"/>
      <c r="N73" s="24"/>
      <c r="O73" s="24"/>
      <c r="P73" s="24"/>
      <c r="Q73" s="24">
        <v>45616.592364768519</v>
      </c>
      <c r="R73" s="24"/>
      <c r="S73" s="24"/>
      <c r="T73" s="24"/>
      <c r="U73" s="24"/>
      <c r="V73" s="24"/>
      <c r="W73" s="24"/>
      <c r="X73" s="24"/>
      <c r="Y73" s="24">
        <v>45616.594962916664</v>
      </c>
      <c r="Z73" s="24"/>
      <c r="AA73" s="24"/>
      <c r="AB73" s="24"/>
      <c r="AC73" s="24"/>
      <c r="AD73" s="24"/>
      <c r="AE73" s="24"/>
      <c r="AF73" s="24"/>
      <c r="AG73" s="24">
        <v>46160.377809062498</v>
      </c>
    </row>
    <row r="74" spans="1:33" x14ac:dyDescent="0.3">
      <c r="A74" t="s">
        <v>1044</v>
      </c>
      <c r="C74" t="s">
        <v>254</v>
      </c>
      <c r="D74" s="24">
        <v>45555.488946759258</v>
      </c>
      <c r="E74" t="s">
        <v>90</v>
      </c>
      <c r="F74" t="s">
        <v>155</v>
      </c>
      <c r="G74" t="s">
        <v>248</v>
      </c>
      <c r="K74" t="s">
        <v>1000</v>
      </c>
      <c r="L74" s="24"/>
      <c r="M74" s="24"/>
      <c r="N74" s="24"/>
      <c r="O74" s="24"/>
      <c r="P74" s="24"/>
      <c r="Q74" s="24">
        <v>45602.407682835648</v>
      </c>
      <c r="R74" s="24"/>
      <c r="S74" s="24"/>
      <c r="T74" s="24"/>
      <c r="U74" s="24"/>
      <c r="V74" s="24"/>
      <c r="W74" s="24"/>
      <c r="X74" s="24"/>
      <c r="Y74" s="24">
        <v>45687.653166377313</v>
      </c>
      <c r="Z74" s="24"/>
      <c r="AA74" s="24"/>
      <c r="AB74" s="24"/>
      <c r="AC74" s="24"/>
      <c r="AD74" s="24"/>
      <c r="AE74" s="24"/>
      <c r="AF74" s="24"/>
      <c r="AG74" s="24">
        <v>46160.377809062498</v>
      </c>
    </row>
    <row r="75" spans="1:33" x14ac:dyDescent="0.3">
      <c r="A75" t="s">
        <v>1045</v>
      </c>
      <c r="C75" t="s">
        <v>254</v>
      </c>
      <c r="D75" s="24">
        <v>45555.488946759258</v>
      </c>
      <c r="E75" t="s">
        <v>90</v>
      </c>
      <c r="F75" t="s">
        <v>155</v>
      </c>
      <c r="G75" t="s">
        <v>248</v>
      </c>
      <c r="K75" t="s">
        <v>1000</v>
      </c>
      <c r="L75" s="24"/>
      <c r="M75" s="24"/>
      <c r="N75" s="24"/>
      <c r="O75" s="24"/>
      <c r="P75" s="24"/>
      <c r="Q75" s="24">
        <v>45565.58725060185</v>
      </c>
      <c r="R75" s="24"/>
      <c r="S75" s="24"/>
      <c r="T75" s="24"/>
      <c r="U75" s="24"/>
      <c r="V75" s="24"/>
      <c r="W75" s="24"/>
      <c r="X75" s="24"/>
      <c r="Y75" s="24">
        <v>45636.628524016203</v>
      </c>
      <c r="Z75" s="24"/>
      <c r="AA75" s="24"/>
      <c r="AB75" s="24"/>
      <c r="AC75" s="24"/>
      <c r="AD75" s="24"/>
      <c r="AE75" s="24"/>
      <c r="AF75" s="24"/>
      <c r="AG75" s="24">
        <v>46160.377809062498</v>
      </c>
    </row>
    <row r="76" spans="1:33" x14ac:dyDescent="0.3">
      <c r="A76" t="s">
        <v>1046</v>
      </c>
      <c r="C76" t="s">
        <v>254</v>
      </c>
      <c r="D76" s="24">
        <v>45555.488993055558</v>
      </c>
      <c r="E76" t="s">
        <v>150</v>
      </c>
      <c r="F76" t="s">
        <v>155</v>
      </c>
      <c r="G76" t="s">
        <v>248</v>
      </c>
      <c r="K76" t="s">
        <v>1000</v>
      </c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>
        <v>45616.596507372684</v>
      </c>
      <c r="X76" s="24"/>
      <c r="Y76" s="24"/>
      <c r="Z76" s="24"/>
      <c r="AA76" s="24"/>
      <c r="AB76" s="24"/>
      <c r="AC76" s="24"/>
      <c r="AD76" s="24"/>
      <c r="AE76" s="24"/>
      <c r="AF76" s="24"/>
      <c r="AG76" s="24">
        <v>46160.377809062498</v>
      </c>
    </row>
    <row r="77" spans="1:33" x14ac:dyDescent="0.3">
      <c r="A77" t="s">
        <v>1047</v>
      </c>
      <c r="C77" t="s">
        <v>254</v>
      </c>
      <c r="D77" s="24">
        <v>45555.488923611112</v>
      </c>
      <c r="E77" t="s">
        <v>90</v>
      </c>
      <c r="F77" t="s">
        <v>155</v>
      </c>
      <c r="G77" t="s">
        <v>248</v>
      </c>
      <c r="K77" t="s">
        <v>1000</v>
      </c>
      <c r="L77" s="24"/>
      <c r="M77" s="24"/>
      <c r="N77" s="24"/>
      <c r="O77" s="24"/>
      <c r="P77" s="24"/>
      <c r="Q77" s="24">
        <v>45565.586739965278</v>
      </c>
      <c r="R77" s="24"/>
      <c r="S77" s="24"/>
      <c r="T77" s="24"/>
      <c r="U77" s="24"/>
      <c r="V77" s="24"/>
      <c r="W77" s="24"/>
      <c r="X77" s="24"/>
      <c r="Y77" s="24">
        <v>45636.625377986114</v>
      </c>
      <c r="Z77" s="24"/>
      <c r="AA77" s="24"/>
      <c r="AB77" s="24"/>
      <c r="AC77" s="24"/>
      <c r="AD77" s="24"/>
      <c r="AE77" s="24"/>
      <c r="AF77" s="24"/>
      <c r="AG77" s="24">
        <v>46160.377809062498</v>
      </c>
    </row>
    <row r="78" spans="1:33" x14ac:dyDescent="0.3">
      <c r="A78" t="s">
        <v>1048</v>
      </c>
      <c r="C78" t="s">
        <v>254</v>
      </c>
      <c r="D78" s="24">
        <v>45555.488935185182</v>
      </c>
      <c r="E78" t="s">
        <v>90</v>
      </c>
      <c r="F78" t="s">
        <v>155</v>
      </c>
      <c r="G78" t="s">
        <v>249</v>
      </c>
      <c r="K78" t="s">
        <v>1000</v>
      </c>
      <c r="L78" s="24"/>
      <c r="M78" s="24"/>
      <c r="N78" s="24"/>
      <c r="O78" s="24"/>
      <c r="P78" s="24"/>
      <c r="Q78" s="24">
        <v>45636.651812557873</v>
      </c>
      <c r="R78" s="24"/>
      <c r="S78" s="24"/>
      <c r="T78" s="24"/>
      <c r="U78" s="24"/>
      <c r="V78" s="24"/>
      <c r="W78" s="24"/>
      <c r="X78" s="24"/>
      <c r="Y78" s="24">
        <v>45721.66188871528</v>
      </c>
      <c r="Z78" s="24"/>
      <c r="AA78" s="24"/>
      <c r="AB78" s="24"/>
      <c r="AC78" s="24"/>
      <c r="AD78" s="24"/>
      <c r="AE78" s="24"/>
      <c r="AF78" s="24"/>
      <c r="AG78" s="24">
        <v>46160.377809062498</v>
      </c>
    </row>
    <row r="79" spans="1:33" x14ac:dyDescent="0.3">
      <c r="A79" t="s">
        <v>1049</v>
      </c>
      <c r="C79" t="s">
        <v>254</v>
      </c>
      <c r="D79" s="24">
        <v>45555.488958333335</v>
      </c>
      <c r="E79" t="s">
        <v>90</v>
      </c>
      <c r="F79" t="s">
        <v>155</v>
      </c>
      <c r="G79" t="s">
        <v>248</v>
      </c>
      <c r="K79" t="s">
        <v>1000</v>
      </c>
      <c r="L79" s="24"/>
      <c r="M79" s="24"/>
      <c r="N79" s="24"/>
      <c r="O79" s="24"/>
      <c r="P79" s="24"/>
      <c r="Q79" s="24">
        <v>45565.586610902777</v>
      </c>
      <c r="R79" s="24"/>
      <c r="S79" s="24"/>
      <c r="T79" s="24"/>
      <c r="U79" s="24"/>
      <c r="V79" s="24"/>
      <c r="W79" s="24"/>
      <c r="X79" s="24"/>
      <c r="Y79" s="24">
        <v>45636.630532060182</v>
      </c>
      <c r="Z79" s="24"/>
      <c r="AA79" s="24"/>
      <c r="AB79" s="24"/>
      <c r="AC79" s="24"/>
      <c r="AD79" s="24"/>
      <c r="AE79" s="24"/>
      <c r="AF79" s="24"/>
      <c r="AG79" s="24">
        <v>46160.377809062498</v>
      </c>
    </row>
    <row r="80" spans="1:33" x14ac:dyDescent="0.3">
      <c r="A80" t="s">
        <v>1050</v>
      </c>
      <c r="C80" t="s">
        <v>254</v>
      </c>
      <c r="D80" s="24">
        <v>45636.629618055558</v>
      </c>
      <c r="E80" t="s">
        <v>90</v>
      </c>
      <c r="F80" t="s">
        <v>155</v>
      </c>
      <c r="G80" t="s">
        <v>248</v>
      </c>
      <c r="K80" t="s">
        <v>1000</v>
      </c>
      <c r="L80" s="24"/>
      <c r="M80" s="24"/>
      <c r="N80" s="24"/>
      <c r="O80" s="24"/>
      <c r="P80" s="24"/>
      <c r="Q80" s="24">
        <v>45636.629769259256</v>
      </c>
      <c r="R80" s="24"/>
      <c r="S80" s="24"/>
      <c r="T80" s="24"/>
      <c r="U80" s="24"/>
      <c r="V80" s="24"/>
      <c r="W80" s="24"/>
      <c r="X80" s="24"/>
      <c r="Y80" s="24">
        <v>45643.306558159726</v>
      </c>
      <c r="Z80" s="24"/>
      <c r="AA80" s="24"/>
      <c r="AB80" s="24"/>
      <c r="AC80" s="24"/>
      <c r="AD80" s="24"/>
      <c r="AE80" s="24"/>
      <c r="AF80" s="24"/>
      <c r="AG80" s="24">
        <v>46160.377809062498</v>
      </c>
    </row>
    <row r="81" spans="1:33" x14ac:dyDescent="0.3">
      <c r="A81" t="s">
        <v>1646</v>
      </c>
      <c r="C81" t="s">
        <v>254</v>
      </c>
      <c r="D81" s="24">
        <v>45555.488981481481</v>
      </c>
      <c r="E81" t="s">
        <v>90</v>
      </c>
      <c r="F81" t="s">
        <v>155</v>
      </c>
      <c r="G81" t="s">
        <v>248</v>
      </c>
      <c r="K81" t="s">
        <v>1001</v>
      </c>
      <c r="L81" s="24"/>
      <c r="M81" s="24"/>
      <c r="N81" s="24"/>
      <c r="O81" s="24"/>
      <c r="P81" s="24"/>
      <c r="Q81" s="24">
        <v>45581.452727523145</v>
      </c>
      <c r="R81" s="24"/>
      <c r="S81" s="24"/>
      <c r="T81" s="24"/>
      <c r="U81" s="24"/>
      <c r="V81" s="24"/>
      <c r="W81" s="24"/>
      <c r="X81" s="24"/>
      <c r="Y81" s="24">
        <v>45631.298271782405</v>
      </c>
      <c r="Z81" s="24"/>
      <c r="AA81" s="24"/>
      <c r="AB81" s="24"/>
      <c r="AC81" s="24"/>
      <c r="AD81" s="24"/>
      <c r="AE81" s="24"/>
      <c r="AF81" s="24"/>
      <c r="AG81" s="24">
        <v>46160.377809062498</v>
      </c>
    </row>
    <row r="82" spans="1:33" x14ac:dyDescent="0.3">
      <c r="A82" t="s">
        <v>1647</v>
      </c>
      <c r="C82" t="s">
        <v>254</v>
      </c>
      <c r="D82" s="24">
        <v>45555.488923611112</v>
      </c>
      <c r="E82" t="s">
        <v>90</v>
      </c>
      <c r="F82" t="s">
        <v>155</v>
      </c>
      <c r="G82" t="s">
        <v>248</v>
      </c>
      <c r="K82" t="s">
        <v>1001</v>
      </c>
      <c r="L82" s="24"/>
      <c r="M82" s="24"/>
      <c r="N82" s="24"/>
      <c r="O82" s="24"/>
      <c r="P82" s="24"/>
      <c r="Q82" s="24">
        <v>45566.250255462961</v>
      </c>
      <c r="R82" s="24"/>
      <c r="S82" s="24"/>
      <c r="T82" s="24"/>
      <c r="U82" s="24"/>
      <c r="V82" s="24"/>
      <c r="W82" s="24"/>
      <c r="X82" s="24"/>
      <c r="Y82" s="24">
        <v>45656.432930995368</v>
      </c>
      <c r="Z82" s="24"/>
      <c r="AA82" s="24"/>
      <c r="AB82" s="24"/>
      <c r="AC82" s="24"/>
      <c r="AD82" s="24"/>
      <c r="AE82" s="24"/>
      <c r="AF82" s="24"/>
      <c r="AG82" s="24">
        <v>46160.377809062498</v>
      </c>
    </row>
    <row r="83" spans="1:33" x14ac:dyDescent="0.3">
      <c r="A83" t="s">
        <v>1648</v>
      </c>
      <c r="C83" t="s">
        <v>254</v>
      </c>
      <c r="D83" s="24">
        <v>45555.489004629628</v>
      </c>
      <c r="E83" t="s">
        <v>90</v>
      </c>
      <c r="F83" t="s">
        <v>155</v>
      </c>
      <c r="G83" t="s">
        <v>248</v>
      </c>
      <c r="K83" t="s">
        <v>1001</v>
      </c>
      <c r="L83" s="24"/>
      <c r="M83" s="24"/>
      <c r="N83" s="24"/>
      <c r="O83" s="24"/>
      <c r="P83" s="24"/>
      <c r="Q83" s="24">
        <v>45602.48515951389</v>
      </c>
      <c r="R83" s="24"/>
      <c r="S83" s="24"/>
      <c r="T83" s="24"/>
      <c r="U83" s="24"/>
      <c r="V83" s="24"/>
      <c r="W83" s="24"/>
      <c r="X83" s="24"/>
      <c r="Y83" s="24">
        <v>45639.444408935182</v>
      </c>
      <c r="Z83" s="24"/>
      <c r="AA83" s="24"/>
      <c r="AB83" s="24"/>
      <c r="AC83" s="24"/>
      <c r="AD83" s="24"/>
      <c r="AE83" s="24"/>
      <c r="AF83" s="24"/>
      <c r="AG83" s="24">
        <v>46160.377809062498</v>
      </c>
    </row>
    <row r="84" spans="1:33" x14ac:dyDescent="0.3">
      <c r="A84" t="s">
        <v>1649</v>
      </c>
      <c r="C84" t="s">
        <v>254</v>
      </c>
      <c r="D84" s="24">
        <v>45555.488935185182</v>
      </c>
      <c r="E84" t="s">
        <v>90</v>
      </c>
      <c r="F84" t="s">
        <v>155</v>
      </c>
      <c r="G84" t="s">
        <v>250</v>
      </c>
      <c r="K84" t="s">
        <v>1001</v>
      </c>
      <c r="L84" s="24"/>
      <c r="M84" s="24"/>
      <c r="N84" s="24"/>
      <c r="O84" s="24"/>
      <c r="P84" s="24"/>
      <c r="Q84" s="24">
        <v>45639.438486157407</v>
      </c>
      <c r="R84" s="24"/>
      <c r="S84" s="24"/>
      <c r="T84" s="24"/>
      <c r="U84" s="24"/>
      <c r="V84" s="24"/>
      <c r="W84" s="24"/>
      <c r="X84" s="24"/>
      <c r="Y84" s="24">
        <v>45639.439777372689</v>
      </c>
      <c r="Z84" s="24"/>
      <c r="AA84" s="24"/>
      <c r="AB84" s="24"/>
      <c r="AC84" s="24"/>
      <c r="AD84" s="24"/>
      <c r="AE84" s="24"/>
      <c r="AF84" s="24"/>
      <c r="AG84" s="24">
        <v>46160.377809062498</v>
      </c>
    </row>
    <row r="85" spans="1:33" x14ac:dyDescent="0.3">
      <c r="A85" t="s">
        <v>1650</v>
      </c>
      <c r="C85" t="s">
        <v>254</v>
      </c>
      <c r="D85" s="24">
        <v>45555.488993055558</v>
      </c>
      <c r="E85" t="s">
        <v>90</v>
      </c>
      <c r="F85" t="s">
        <v>155</v>
      </c>
      <c r="G85" t="s">
        <v>249</v>
      </c>
      <c r="K85" t="s">
        <v>1001</v>
      </c>
      <c r="L85" s="24"/>
      <c r="M85" s="24"/>
      <c r="N85" s="24"/>
      <c r="O85" s="24"/>
      <c r="P85" s="24"/>
      <c r="Q85" s="24">
        <v>45602.485001562498</v>
      </c>
      <c r="R85" s="24"/>
      <c r="S85" s="24"/>
      <c r="T85" s="24"/>
      <c r="U85" s="24"/>
      <c r="V85" s="24"/>
      <c r="W85" s="24"/>
      <c r="X85" s="24"/>
      <c r="Y85" s="24">
        <v>45630.447754328707</v>
      </c>
      <c r="Z85" s="24"/>
      <c r="AA85" s="24"/>
      <c r="AB85" s="24"/>
      <c r="AC85" s="24"/>
      <c r="AD85" s="24"/>
      <c r="AE85" s="24"/>
      <c r="AF85" s="24"/>
      <c r="AG85" s="24">
        <v>46160.377809062498</v>
      </c>
    </row>
    <row r="86" spans="1:33" x14ac:dyDescent="0.3">
      <c r="A86" t="s">
        <v>1051</v>
      </c>
      <c r="C86" t="s">
        <v>126</v>
      </c>
      <c r="D86" s="24">
        <v>45642.633425925924</v>
      </c>
      <c r="E86" t="s">
        <v>90</v>
      </c>
      <c r="F86" t="s">
        <v>155</v>
      </c>
      <c r="G86" t="s">
        <v>248</v>
      </c>
      <c r="K86" t="s">
        <v>1000</v>
      </c>
      <c r="L86" s="24"/>
      <c r="M86" s="24"/>
      <c r="N86" s="24"/>
      <c r="O86" s="24"/>
      <c r="P86" s="24"/>
      <c r="Q86" s="24">
        <v>45643.30710849537</v>
      </c>
      <c r="R86" s="24"/>
      <c r="S86" s="24"/>
      <c r="T86" s="24"/>
      <c r="U86" s="24"/>
      <c r="V86" s="24"/>
      <c r="W86" s="24"/>
      <c r="X86" s="24"/>
      <c r="Y86" s="24">
        <v>45747.619819004627</v>
      </c>
      <c r="Z86" s="24"/>
      <c r="AA86" s="24"/>
      <c r="AB86" s="24"/>
      <c r="AC86" s="24"/>
      <c r="AD86" s="24"/>
      <c r="AE86" s="24"/>
      <c r="AF86" s="24"/>
      <c r="AG86" s="24">
        <v>46160.377809062498</v>
      </c>
    </row>
    <row r="87" spans="1:33" x14ac:dyDescent="0.3">
      <c r="A87" t="s">
        <v>1052</v>
      </c>
      <c r="C87" t="s">
        <v>126</v>
      </c>
      <c r="D87" s="24">
        <v>45642.633437500001</v>
      </c>
      <c r="E87" t="s">
        <v>90</v>
      </c>
      <c r="F87" t="s">
        <v>155</v>
      </c>
      <c r="G87" t="s">
        <v>248</v>
      </c>
      <c r="K87" t="s">
        <v>1000</v>
      </c>
      <c r="L87" s="24"/>
      <c r="M87" s="24"/>
      <c r="N87" s="24"/>
      <c r="O87" s="24"/>
      <c r="P87" s="24"/>
      <c r="Q87" s="24">
        <v>45699.429712650461</v>
      </c>
      <c r="R87" s="24"/>
      <c r="S87" s="24"/>
      <c r="T87" s="24"/>
      <c r="U87" s="24"/>
      <c r="V87" s="24"/>
      <c r="W87" s="24"/>
      <c r="X87" s="24"/>
      <c r="Y87" s="24">
        <v>45729.409513796294</v>
      </c>
      <c r="Z87" s="24"/>
      <c r="AA87" s="24"/>
      <c r="AB87" s="24"/>
      <c r="AC87" s="24"/>
      <c r="AD87" s="24"/>
      <c r="AE87" s="24"/>
      <c r="AF87" s="24"/>
      <c r="AG87" s="24">
        <v>46160.377809062498</v>
      </c>
    </row>
    <row r="88" spans="1:33" x14ac:dyDescent="0.3">
      <c r="A88" t="s">
        <v>1053</v>
      </c>
      <c r="C88" t="s">
        <v>126</v>
      </c>
      <c r="D88" s="24">
        <v>45642.633437500001</v>
      </c>
      <c r="E88" t="s">
        <v>90</v>
      </c>
      <c r="F88" t="s">
        <v>155</v>
      </c>
      <c r="G88" t="s">
        <v>249</v>
      </c>
      <c r="K88" t="s">
        <v>1000</v>
      </c>
      <c r="L88" s="24"/>
      <c r="M88" s="24"/>
      <c r="N88" s="24"/>
      <c r="O88" s="24"/>
      <c r="P88" s="24"/>
      <c r="Q88" s="24">
        <v>45680.661521273149</v>
      </c>
      <c r="R88" s="24"/>
      <c r="S88" s="24"/>
      <c r="T88" s="24"/>
      <c r="U88" s="24"/>
      <c r="V88" s="24"/>
      <c r="W88" s="24"/>
      <c r="X88" s="24"/>
      <c r="Y88" s="24">
        <v>45728.334904270836</v>
      </c>
      <c r="Z88" s="24"/>
      <c r="AA88" s="24"/>
      <c r="AB88" s="24"/>
      <c r="AC88" s="24"/>
      <c r="AD88" s="24"/>
      <c r="AE88" s="24"/>
      <c r="AF88" s="24"/>
      <c r="AG88" s="24">
        <v>46160.377809062498</v>
      </c>
    </row>
    <row r="89" spans="1:33" x14ac:dyDescent="0.3">
      <c r="A89" t="s">
        <v>1054</v>
      </c>
      <c r="C89" t="s">
        <v>126</v>
      </c>
      <c r="D89" s="24">
        <v>45642.633449074077</v>
      </c>
      <c r="E89" t="s">
        <v>90</v>
      </c>
      <c r="F89" t="s">
        <v>155</v>
      </c>
      <c r="G89" t="s">
        <v>249</v>
      </c>
      <c r="K89" t="s">
        <v>1000</v>
      </c>
      <c r="L89" s="24"/>
      <c r="M89" s="24"/>
      <c r="N89" s="24"/>
      <c r="O89" s="24"/>
      <c r="P89" s="24"/>
      <c r="Q89" s="24">
        <v>45721.661465486111</v>
      </c>
      <c r="R89" s="24"/>
      <c r="S89" s="24"/>
      <c r="T89" s="24"/>
      <c r="U89" s="24"/>
      <c r="V89" s="24"/>
      <c r="W89" s="24"/>
      <c r="X89" s="24"/>
      <c r="Y89" s="24">
        <v>45721.661803391202</v>
      </c>
      <c r="Z89" s="24"/>
      <c r="AA89" s="24"/>
      <c r="AB89" s="24"/>
      <c r="AC89" s="24"/>
      <c r="AD89" s="24"/>
      <c r="AE89" s="24"/>
      <c r="AF89" s="24"/>
      <c r="AG89" s="24">
        <v>46160.377809062498</v>
      </c>
    </row>
    <row r="90" spans="1:33" x14ac:dyDescent="0.3">
      <c r="A90" t="s">
        <v>1055</v>
      </c>
      <c r="C90" t="s">
        <v>126</v>
      </c>
      <c r="D90" s="24">
        <v>45642.633460648147</v>
      </c>
      <c r="E90" t="s">
        <v>90</v>
      </c>
      <c r="F90" t="s">
        <v>155</v>
      </c>
      <c r="G90" t="s">
        <v>248</v>
      </c>
      <c r="K90" t="s">
        <v>1000</v>
      </c>
      <c r="L90" s="24"/>
      <c r="M90" s="24"/>
      <c r="N90" s="24"/>
      <c r="O90" s="24"/>
      <c r="P90" s="24"/>
      <c r="Q90" s="24">
        <v>45643.306916307869</v>
      </c>
      <c r="R90" s="24"/>
      <c r="S90" s="24"/>
      <c r="T90" s="24"/>
      <c r="U90" s="24"/>
      <c r="V90" s="24"/>
      <c r="W90" s="24"/>
      <c r="X90" s="24"/>
      <c r="Y90" s="24">
        <v>45721.6628512963</v>
      </c>
      <c r="Z90" s="24"/>
      <c r="AA90" s="24"/>
      <c r="AB90" s="24"/>
      <c r="AC90" s="24"/>
      <c r="AD90" s="24"/>
      <c r="AE90" s="24"/>
      <c r="AF90" s="24"/>
      <c r="AG90" s="24">
        <v>46160.377809062498</v>
      </c>
    </row>
    <row r="91" spans="1:33" x14ac:dyDescent="0.3">
      <c r="A91" t="s">
        <v>1056</v>
      </c>
      <c r="C91" t="s">
        <v>126</v>
      </c>
      <c r="D91" s="24">
        <v>45642.633472222224</v>
      </c>
      <c r="E91" t="s">
        <v>90</v>
      </c>
      <c r="F91" t="s">
        <v>155</v>
      </c>
      <c r="G91" t="s">
        <v>248</v>
      </c>
      <c r="K91" t="s">
        <v>1000</v>
      </c>
      <c r="L91" s="24"/>
      <c r="M91" s="24"/>
      <c r="N91" s="24"/>
      <c r="O91" s="24"/>
      <c r="P91" s="24"/>
      <c r="Q91" s="24">
        <v>45643.306985567127</v>
      </c>
      <c r="R91" s="24"/>
      <c r="S91" s="24"/>
      <c r="T91" s="24"/>
      <c r="U91" s="24"/>
      <c r="V91" s="24"/>
      <c r="W91" s="24"/>
      <c r="X91" s="24"/>
      <c r="Y91" s="24">
        <v>45747.620912256942</v>
      </c>
      <c r="Z91" s="24"/>
      <c r="AA91" s="24"/>
      <c r="AB91" s="24"/>
      <c r="AC91" s="24"/>
      <c r="AD91" s="24"/>
      <c r="AE91" s="24"/>
      <c r="AF91" s="24"/>
      <c r="AG91" s="24">
        <v>46160.377809062498</v>
      </c>
    </row>
    <row r="92" spans="1:33" x14ac:dyDescent="0.3">
      <c r="A92" t="s">
        <v>1057</v>
      </c>
      <c r="C92" t="s">
        <v>126</v>
      </c>
      <c r="D92" s="24">
        <v>45642.633472222224</v>
      </c>
      <c r="E92" t="s">
        <v>90</v>
      </c>
      <c r="F92" t="s">
        <v>155</v>
      </c>
      <c r="G92" t="s">
        <v>248</v>
      </c>
      <c r="K92" t="s">
        <v>1000</v>
      </c>
      <c r="L92" s="24"/>
      <c r="M92" s="24"/>
      <c r="N92" s="24"/>
      <c r="O92" s="24"/>
      <c r="P92" s="24"/>
      <c r="Q92" s="24">
        <v>45644.250560428241</v>
      </c>
      <c r="R92" s="24"/>
      <c r="S92" s="24"/>
      <c r="T92" s="24"/>
      <c r="U92" s="24"/>
      <c r="V92" s="24"/>
      <c r="W92" s="24"/>
      <c r="X92" s="24"/>
      <c r="Y92" s="24">
        <v>45747.621728252314</v>
      </c>
      <c r="Z92" s="24"/>
      <c r="AA92" s="24"/>
      <c r="AB92" s="24"/>
      <c r="AC92" s="24"/>
      <c r="AD92" s="24"/>
      <c r="AE92" s="24"/>
      <c r="AF92" s="24"/>
      <c r="AG92" s="24">
        <v>46160.377809062498</v>
      </c>
    </row>
    <row r="93" spans="1:33" x14ac:dyDescent="0.3">
      <c r="A93" t="s">
        <v>1651</v>
      </c>
      <c r="C93" t="s">
        <v>126</v>
      </c>
      <c r="D93" s="24">
        <v>45642.62771990741</v>
      </c>
      <c r="E93" t="s">
        <v>90</v>
      </c>
      <c r="F93" t="s">
        <v>155</v>
      </c>
      <c r="G93" t="s">
        <v>248</v>
      </c>
      <c r="K93" t="s">
        <v>1001</v>
      </c>
      <c r="L93" s="24"/>
      <c r="M93" s="24"/>
      <c r="N93" s="24"/>
      <c r="O93" s="24"/>
      <c r="P93" s="24"/>
      <c r="Q93" s="24">
        <v>45657.250665729167</v>
      </c>
      <c r="R93" s="24"/>
      <c r="S93" s="24"/>
      <c r="T93" s="24"/>
      <c r="U93" s="24"/>
      <c r="V93" s="24"/>
      <c r="W93" s="24"/>
      <c r="X93" s="24"/>
      <c r="Y93" s="24">
        <v>45747.298761157406</v>
      </c>
      <c r="Z93" s="24"/>
      <c r="AA93" s="24"/>
      <c r="AB93" s="24"/>
      <c r="AC93" s="24"/>
      <c r="AD93" s="24"/>
      <c r="AE93" s="24"/>
      <c r="AF93" s="24"/>
      <c r="AG93" s="24">
        <v>46160.377809062498</v>
      </c>
    </row>
    <row r="94" spans="1:33" x14ac:dyDescent="0.3">
      <c r="A94" t="s">
        <v>1652</v>
      </c>
      <c r="C94" t="s">
        <v>126</v>
      </c>
      <c r="D94" s="24">
        <v>45642.62771990741</v>
      </c>
      <c r="E94" t="s">
        <v>90</v>
      </c>
      <c r="F94" t="s">
        <v>155</v>
      </c>
      <c r="G94" t="s">
        <v>249</v>
      </c>
      <c r="K94" t="s">
        <v>1001</v>
      </c>
      <c r="L94" s="24"/>
      <c r="M94" s="24"/>
      <c r="N94" s="24"/>
      <c r="O94" s="24"/>
      <c r="P94" s="24"/>
      <c r="Q94" s="24">
        <v>45715.689953449073</v>
      </c>
      <c r="R94" s="24"/>
      <c r="S94" s="24"/>
      <c r="T94" s="24"/>
      <c r="U94" s="24"/>
      <c r="V94" s="24"/>
      <c r="W94" s="24"/>
      <c r="X94" s="24"/>
      <c r="Y94" s="24">
        <v>45721.602195833337</v>
      </c>
      <c r="Z94" s="24"/>
      <c r="AA94" s="24"/>
      <c r="AB94" s="24"/>
      <c r="AC94" s="24"/>
      <c r="AD94" s="24"/>
      <c r="AE94" s="24"/>
      <c r="AF94" s="24"/>
      <c r="AG94" s="24">
        <v>46160.377809062498</v>
      </c>
    </row>
    <row r="95" spans="1:33" x14ac:dyDescent="0.3">
      <c r="A95" t="s">
        <v>1653</v>
      </c>
      <c r="C95" t="s">
        <v>126</v>
      </c>
      <c r="D95" s="24">
        <v>45642.62773148148</v>
      </c>
      <c r="E95" t="s">
        <v>90</v>
      </c>
      <c r="F95" t="s">
        <v>155</v>
      </c>
      <c r="G95" t="s">
        <v>248</v>
      </c>
      <c r="K95" t="s">
        <v>1001</v>
      </c>
      <c r="L95" s="24"/>
      <c r="M95" s="24"/>
      <c r="N95" s="24"/>
      <c r="O95" s="24"/>
      <c r="P95" s="24"/>
      <c r="Q95" s="24">
        <v>45672.309232025465</v>
      </c>
      <c r="R95" s="24"/>
      <c r="S95" s="24"/>
      <c r="T95" s="24"/>
      <c r="U95" s="24"/>
      <c r="V95" s="24"/>
      <c r="W95" s="24"/>
      <c r="X95" s="24"/>
      <c r="Y95" s="24">
        <v>45743.353530347224</v>
      </c>
      <c r="Z95" s="24"/>
      <c r="AA95" s="24"/>
      <c r="AB95" s="24"/>
      <c r="AC95" s="24"/>
      <c r="AD95" s="24"/>
      <c r="AE95" s="24"/>
      <c r="AF95" s="24"/>
      <c r="AG95" s="24">
        <v>46160.377809062498</v>
      </c>
    </row>
    <row r="96" spans="1:33" x14ac:dyDescent="0.3">
      <c r="A96" t="s">
        <v>1654</v>
      </c>
      <c r="C96" t="s">
        <v>126</v>
      </c>
      <c r="D96" s="24">
        <v>45642.627743055556</v>
      </c>
      <c r="E96" t="s">
        <v>150</v>
      </c>
      <c r="F96" t="s">
        <v>155</v>
      </c>
      <c r="G96" t="s">
        <v>248</v>
      </c>
      <c r="K96" t="s">
        <v>1001</v>
      </c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>
        <v>45741.579793680554</v>
      </c>
      <c r="X96" s="24"/>
      <c r="Y96" s="24"/>
      <c r="Z96" s="24"/>
      <c r="AA96" s="24"/>
      <c r="AB96" s="24"/>
      <c r="AC96" s="24"/>
      <c r="AD96" s="24"/>
      <c r="AE96" s="24"/>
      <c r="AF96" s="24"/>
      <c r="AG96" s="24">
        <v>46160.377809062498</v>
      </c>
    </row>
    <row r="97" spans="1:33" x14ac:dyDescent="0.3">
      <c r="A97" t="s">
        <v>1655</v>
      </c>
      <c r="C97" t="s">
        <v>126</v>
      </c>
      <c r="D97" s="24">
        <v>45642.627754629626</v>
      </c>
      <c r="E97" t="s">
        <v>90</v>
      </c>
      <c r="F97" t="s">
        <v>155</v>
      </c>
      <c r="G97" t="s">
        <v>248</v>
      </c>
      <c r="K97" t="s">
        <v>1001</v>
      </c>
      <c r="L97" s="24"/>
      <c r="M97" s="24"/>
      <c r="N97" s="24"/>
      <c r="O97" s="24"/>
      <c r="P97" s="24"/>
      <c r="Q97" s="24">
        <v>45714.340546608793</v>
      </c>
      <c r="R97" s="24"/>
      <c r="S97" s="24"/>
      <c r="T97" s="24"/>
      <c r="U97" s="24"/>
      <c r="V97" s="24"/>
      <c r="W97" s="24"/>
      <c r="X97" s="24"/>
      <c r="Y97" s="24">
        <v>45747.300815277777</v>
      </c>
      <c r="Z97" s="24"/>
      <c r="AA97" s="24"/>
      <c r="AB97" s="24"/>
      <c r="AC97" s="24"/>
      <c r="AD97" s="24"/>
      <c r="AE97" s="24"/>
      <c r="AF97" s="24"/>
      <c r="AG97" s="24">
        <v>46160.377809062498</v>
      </c>
    </row>
    <row r="98" spans="1:33" x14ac:dyDescent="0.3">
      <c r="A98" t="s">
        <v>1656</v>
      </c>
      <c r="C98" t="s">
        <v>126</v>
      </c>
      <c r="D98" s="24">
        <v>45642.627754629626</v>
      </c>
      <c r="E98" t="s">
        <v>90</v>
      </c>
      <c r="F98" t="s">
        <v>155</v>
      </c>
      <c r="G98" t="s">
        <v>248</v>
      </c>
      <c r="K98" t="s">
        <v>1001</v>
      </c>
      <c r="L98" s="24"/>
      <c r="M98" s="24"/>
      <c r="N98" s="24"/>
      <c r="O98" s="24"/>
      <c r="P98" s="24"/>
      <c r="Q98" s="24">
        <v>45727.629153865739</v>
      </c>
      <c r="R98" s="24"/>
      <c r="S98" s="24"/>
      <c r="T98" s="24"/>
      <c r="U98" s="24"/>
      <c r="V98" s="24"/>
      <c r="W98" s="24"/>
      <c r="X98" s="24"/>
      <c r="Y98" s="24">
        <v>45747.302422835652</v>
      </c>
      <c r="Z98" s="24"/>
      <c r="AA98" s="24"/>
      <c r="AB98" s="24"/>
      <c r="AC98" s="24"/>
      <c r="AD98" s="24"/>
      <c r="AE98" s="24"/>
      <c r="AF98" s="24"/>
      <c r="AG98" s="24">
        <v>46160.377809062498</v>
      </c>
    </row>
    <row r="99" spans="1:33" x14ac:dyDescent="0.3">
      <c r="A99" t="s">
        <v>1657</v>
      </c>
      <c r="C99" t="s">
        <v>126</v>
      </c>
      <c r="D99" s="24">
        <v>45642.627766203703</v>
      </c>
      <c r="E99" t="s">
        <v>90</v>
      </c>
      <c r="F99" t="s">
        <v>155</v>
      </c>
      <c r="G99" t="s">
        <v>248</v>
      </c>
      <c r="K99" t="s">
        <v>1001</v>
      </c>
      <c r="L99" s="24"/>
      <c r="M99" s="24"/>
      <c r="N99" s="24"/>
      <c r="O99" s="24"/>
      <c r="P99" s="24"/>
      <c r="Q99" s="24">
        <v>45665.337145752317</v>
      </c>
      <c r="R99" s="24"/>
      <c r="S99" s="24"/>
      <c r="T99" s="24"/>
      <c r="U99" s="24"/>
      <c r="V99" s="24"/>
      <c r="W99" s="24"/>
      <c r="X99" s="24"/>
      <c r="Y99" s="24">
        <v>45747.302706527778</v>
      </c>
      <c r="Z99" s="24"/>
      <c r="AA99" s="24"/>
      <c r="AB99" s="24"/>
      <c r="AC99" s="24"/>
      <c r="AD99" s="24"/>
      <c r="AE99" s="24"/>
      <c r="AF99" s="24"/>
      <c r="AG99" s="24">
        <v>46160.377809062498</v>
      </c>
    </row>
    <row r="100" spans="1:33" x14ac:dyDescent="0.3">
      <c r="A100" t="s">
        <v>1658</v>
      </c>
      <c r="C100" t="s">
        <v>126</v>
      </c>
      <c r="D100" s="24">
        <v>45642.62777777778</v>
      </c>
      <c r="E100" t="s">
        <v>90</v>
      </c>
      <c r="F100" t="s">
        <v>155</v>
      </c>
      <c r="G100" t="s">
        <v>248</v>
      </c>
      <c r="K100" t="s">
        <v>1001</v>
      </c>
      <c r="L100" s="24"/>
      <c r="M100" s="24"/>
      <c r="N100" s="24"/>
      <c r="O100" s="24"/>
      <c r="P100" s="24"/>
      <c r="Q100" s="24">
        <v>45681.442135648147</v>
      </c>
      <c r="R100" s="24"/>
      <c r="S100" s="24"/>
      <c r="T100" s="24"/>
      <c r="U100" s="24"/>
      <c r="V100" s="24"/>
      <c r="W100" s="24"/>
      <c r="X100" s="24"/>
      <c r="Y100" s="24">
        <v>45747.305217361114</v>
      </c>
      <c r="Z100" s="24"/>
      <c r="AA100" s="24"/>
      <c r="AB100" s="24"/>
      <c r="AC100" s="24"/>
      <c r="AD100" s="24"/>
      <c r="AE100" s="24"/>
      <c r="AF100" s="24"/>
      <c r="AG100" s="24">
        <v>46160.377809062498</v>
      </c>
    </row>
    <row r="101" spans="1:33" x14ac:dyDescent="0.3">
      <c r="A101" t="s">
        <v>1659</v>
      </c>
      <c r="C101" t="s">
        <v>126</v>
      </c>
      <c r="D101" s="24">
        <v>45642.627789351849</v>
      </c>
      <c r="E101" t="s">
        <v>90</v>
      </c>
      <c r="F101" t="s">
        <v>155</v>
      </c>
      <c r="G101" t="s">
        <v>248</v>
      </c>
      <c r="K101" t="s">
        <v>1001</v>
      </c>
      <c r="L101" s="24"/>
      <c r="M101" s="24"/>
      <c r="N101" s="24"/>
      <c r="O101" s="24"/>
      <c r="P101" s="24"/>
      <c r="Q101" s="24">
        <v>45691.405062928243</v>
      </c>
      <c r="R101" s="24"/>
      <c r="S101" s="24"/>
      <c r="T101" s="24"/>
      <c r="U101" s="24"/>
      <c r="V101" s="24"/>
      <c r="W101" s="24"/>
      <c r="X101" s="24"/>
      <c r="Y101" s="24">
        <v>45819.436848159719</v>
      </c>
      <c r="Z101" s="24"/>
      <c r="AA101" s="24"/>
      <c r="AB101" s="24"/>
      <c r="AC101" s="24"/>
      <c r="AD101" s="24"/>
      <c r="AE101" s="24"/>
      <c r="AF101" s="24"/>
      <c r="AG101" s="24">
        <v>46160.377809062498</v>
      </c>
    </row>
    <row r="102" spans="1:33" x14ac:dyDescent="0.3">
      <c r="A102" t="s">
        <v>1660</v>
      </c>
      <c r="C102" t="s">
        <v>126</v>
      </c>
      <c r="D102" s="24">
        <v>45642.627789351849</v>
      </c>
      <c r="E102" t="s">
        <v>150</v>
      </c>
      <c r="F102" t="s">
        <v>155</v>
      </c>
      <c r="G102" t="s">
        <v>248</v>
      </c>
      <c r="K102" t="s">
        <v>1001</v>
      </c>
      <c r="L102" s="24"/>
      <c r="M102" s="24"/>
      <c r="N102" s="24"/>
      <c r="O102" s="24"/>
      <c r="P102" s="24"/>
      <c r="Q102" s="24">
        <v>45728.636704409721</v>
      </c>
      <c r="R102" s="24"/>
      <c r="S102" s="24"/>
      <c r="T102" s="24"/>
      <c r="U102" s="24"/>
      <c r="V102" s="24"/>
      <c r="W102" s="24">
        <v>45748.342461307868</v>
      </c>
      <c r="X102" s="24"/>
      <c r="Y102" s="24"/>
      <c r="Z102" s="24"/>
      <c r="AA102" s="24"/>
      <c r="AB102" s="24"/>
      <c r="AC102" s="24"/>
      <c r="AD102" s="24"/>
      <c r="AE102" s="24"/>
      <c r="AF102" s="24"/>
      <c r="AG102" s="24">
        <v>46160.377809062498</v>
      </c>
    </row>
    <row r="103" spans="1:33" x14ac:dyDescent="0.3">
      <c r="A103" t="s">
        <v>1661</v>
      </c>
      <c r="C103" t="s">
        <v>126</v>
      </c>
      <c r="D103" s="24">
        <v>45642.627800925926</v>
      </c>
      <c r="E103" t="s">
        <v>150</v>
      </c>
      <c r="F103" t="s">
        <v>155</v>
      </c>
      <c r="G103" t="s">
        <v>248</v>
      </c>
      <c r="K103" t="s">
        <v>1001</v>
      </c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>
        <v>45741.583927488427</v>
      </c>
      <c r="X103" s="24"/>
      <c r="Y103" s="24"/>
      <c r="Z103" s="24"/>
      <c r="AA103" s="24"/>
      <c r="AB103" s="24"/>
      <c r="AC103" s="24"/>
      <c r="AD103" s="24"/>
      <c r="AE103" s="24"/>
      <c r="AF103" s="24"/>
      <c r="AG103" s="24">
        <v>46160.377809062498</v>
      </c>
    </row>
    <row r="104" spans="1:33" x14ac:dyDescent="0.3">
      <c r="A104" t="s">
        <v>1662</v>
      </c>
      <c r="C104" t="s">
        <v>126</v>
      </c>
      <c r="D104" s="24">
        <v>45642.627812500003</v>
      </c>
      <c r="E104" t="s">
        <v>90</v>
      </c>
      <c r="F104" t="s">
        <v>155</v>
      </c>
      <c r="G104" t="s">
        <v>249</v>
      </c>
      <c r="K104" t="s">
        <v>1001</v>
      </c>
      <c r="L104" s="24"/>
      <c r="M104" s="24"/>
      <c r="N104" s="24"/>
      <c r="O104" s="24"/>
      <c r="P104" s="24"/>
      <c r="Q104" s="24">
        <v>45665.366889733799</v>
      </c>
      <c r="R104" s="24"/>
      <c r="S104" s="24"/>
      <c r="T104" s="24"/>
      <c r="U104" s="24"/>
      <c r="V104" s="24"/>
      <c r="W104" s="24"/>
      <c r="X104" s="24"/>
      <c r="Y104" s="24">
        <v>45743.371136134258</v>
      </c>
      <c r="Z104" s="24"/>
      <c r="AA104" s="24"/>
      <c r="AB104" s="24"/>
      <c r="AC104" s="24"/>
      <c r="AD104" s="24"/>
      <c r="AE104" s="24"/>
      <c r="AF104" s="24"/>
      <c r="AG104" s="24">
        <v>46160.377809062498</v>
      </c>
    </row>
    <row r="105" spans="1:33" x14ac:dyDescent="0.3">
      <c r="A105" t="s">
        <v>1663</v>
      </c>
      <c r="C105" t="s">
        <v>126</v>
      </c>
      <c r="D105" s="24">
        <v>45642.627824074072</v>
      </c>
      <c r="E105" t="s">
        <v>90</v>
      </c>
      <c r="F105" t="s">
        <v>155</v>
      </c>
      <c r="G105" t="s">
        <v>249</v>
      </c>
      <c r="K105" t="s">
        <v>1001</v>
      </c>
      <c r="L105" s="24"/>
      <c r="M105" s="24"/>
      <c r="N105" s="24"/>
      <c r="O105" s="24"/>
      <c r="P105" s="24"/>
      <c r="Q105" s="24">
        <v>45707.399202777779</v>
      </c>
      <c r="R105" s="24"/>
      <c r="S105" s="24"/>
      <c r="T105" s="24"/>
      <c r="U105" s="24"/>
      <c r="V105" s="24"/>
      <c r="W105" s="24"/>
      <c r="X105" s="24"/>
      <c r="Y105" s="24">
        <v>45707.399731018515</v>
      </c>
      <c r="Z105" s="24"/>
      <c r="AA105" s="24"/>
      <c r="AB105" s="24"/>
      <c r="AC105" s="24"/>
      <c r="AD105" s="24"/>
      <c r="AE105" s="24"/>
      <c r="AF105" s="24"/>
      <c r="AG105" s="24">
        <v>46160.377809062498</v>
      </c>
    </row>
    <row r="106" spans="1:33" x14ac:dyDescent="0.3">
      <c r="A106" t="s">
        <v>1058</v>
      </c>
      <c r="C106" t="s">
        <v>125</v>
      </c>
      <c r="D106" s="24">
        <v>45740.586921296293</v>
      </c>
      <c r="E106" t="s">
        <v>90</v>
      </c>
      <c r="F106" t="s">
        <v>155</v>
      </c>
      <c r="K106" t="s">
        <v>1000</v>
      </c>
      <c r="L106" s="24"/>
      <c r="M106" s="24"/>
      <c r="N106" s="24"/>
      <c r="O106" s="24"/>
      <c r="P106" s="24"/>
      <c r="Q106" s="24">
        <v>45748.627131643516</v>
      </c>
      <c r="R106" s="24"/>
      <c r="S106" s="24"/>
      <c r="T106" s="24"/>
      <c r="U106" s="24"/>
      <c r="V106" s="24"/>
      <c r="W106" s="24"/>
      <c r="X106" s="24"/>
      <c r="Y106" s="24">
        <v>45839.340423414353</v>
      </c>
      <c r="Z106" s="24"/>
      <c r="AA106" s="24"/>
      <c r="AB106" s="24"/>
      <c r="AC106" s="24"/>
      <c r="AD106" s="24"/>
      <c r="AE106" s="24"/>
      <c r="AF106" s="24"/>
      <c r="AG106" s="24">
        <v>46160.377809062498</v>
      </c>
    </row>
    <row r="107" spans="1:33" x14ac:dyDescent="0.3">
      <c r="A107" t="s">
        <v>1059</v>
      </c>
      <c r="C107" t="s">
        <v>125</v>
      </c>
      <c r="D107" s="24">
        <v>45747.795648148145</v>
      </c>
      <c r="E107" t="s">
        <v>90</v>
      </c>
      <c r="F107" t="s">
        <v>155</v>
      </c>
      <c r="G107" t="s">
        <v>249</v>
      </c>
      <c r="K107" t="s">
        <v>1000</v>
      </c>
      <c r="L107" s="24"/>
      <c r="M107" s="24"/>
      <c r="N107" s="24"/>
      <c r="O107" s="24"/>
      <c r="P107" s="24"/>
      <c r="Q107" s="24">
        <v>45812.627923252316</v>
      </c>
      <c r="R107" s="24"/>
      <c r="S107" s="24"/>
      <c r="T107" s="24"/>
      <c r="U107" s="24"/>
      <c r="V107" s="24"/>
      <c r="W107" s="24"/>
      <c r="X107" s="24"/>
      <c r="Y107" s="24">
        <v>45813.435131157406</v>
      </c>
      <c r="Z107" s="24"/>
      <c r="AA107" s="24"/>
      <c r="AB107" s="24"/>
      <c r="AC107" s="24"/>
      <c r="AD107" s="24"/>
      <c r="AE107" s="24"/>
      <c r="AF107" s="24"/>
      <c r="AG107" s="24">
        <v>46160.377809062498</v>
      </c>
    </row>
    <row r="108" spans="1:33" x14ac:dyDescent="0.3">
      <c r="A108" t="s">
        <v>1060</v>
      </c>
      <c r="C108" t="s">
        <v>125</v>
      </c>
      <c r="D108" s="24">
        <v>45747.795659722222</v>
      </c>
      <c r="E108" t="s">
        <v>150</v>
      </c>
      <c r="F108" t="s">
        <v>155</v>
      </c>
      <c r="G108" t="s">
        <v>248</v>
      </c>
      <c r="K108" t="s">
        <v>1000</v>
      </c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>
        <v>45813.630589548608</v>
      </c>
      <c r="X108" s="24"/>
      <c r="Y108" s="24"/>
      <c r="Z108" s="24"/>
      <c r="AA108" s="24"/>
      <c r="AB108" s="24"/>
      <c r="AC108" s="24"/>
      <c r="AD108" s="24"/>
      <c r="AE108" s="24"/>
      <c r="AF108" s="24"/>
      <c r="AG108" s="24">
        <v>46160.377809062498</v>
      </c>
    </row>
    <row r="109" spans="1:33" x14ac:dyDescent="0.3">
      <c r="A109" t="s">
        <v>1061</v>
      </c>
      <c r="C109" t="s">
        <v>125</v>
      </c>
      <c r="D109" s="24">
        <v>45747.795671296299</v>
      </c>
      <c r="E109" t="s">
        <v>90</v>
      </c>
      <c r="F109" t="s">
        <v>155</v>
      </c>
      <c r="G109" t="s">
        <v>248</v>
      </c>
      <c r="K109" t="s">
        <v>1000</v>
      </c>
      <c r="L109" s="24"/>
      <c r="M109" s="24"/>
      <c r="N109" s="24"/>
      <c r="O109" s="24"/>
      <c r="P109" s="24"/>
      <c r="Q109" s="24">
        <v>45748.650885115741</v>
      </c>
      <c r="R109" s="24"/>
      <c r="S109" s="24"/>
      <c r="T109" s="24"/>
      <c r="U109" s="24"/>
      <c r="V109" s="24"/>
      <c r="W109" s="24"/>
      <c r="X109" s="24"/>
      <c r="Y109" s="24">
        <v>45838.524835416669</v>
      </c>
      <c r="Z109" s="24"/>
      <c r="AA109" s="24"/>
      <c r="AB109" s="24"/>
      <c r="AC109" s="24"/>
      <c r="AD109" s="24"/>
      <c r="AE109" s="24"/>
      <c r="AF109" s="24"/>
      <c r="AG109" s="24">
        <v>46160.377809062498</v>
      </c>
    </row>
    <row r="110" spans="1:33" x14ac:dyDescent="0.3">
      <c r="A110" t="s">
        <v>1062</v>
      </c>
      <c r="C110" t="s">
        <v>125</v>
      </c>
      <c r="D110" s="24">
        <v>45747.795682870368</v>
      </c>
      <c r="E110" t="s">
        <v>90</v>
      </c>
      <c r="F110" t="s">
        <v>155</v>
      </c>
      <c r="G110" t="s">
        <v>249</v>
      </c>
      <c r="K110" t="s">
        <v>1000</v>
      </c>
      <c r="L110" s="24"/>
      <c r="M110" s="24"/>
      <c r="N110" s="24"/>
      <c r="O110" s="24"/>
      <c r="P110" s="24"/>
      <c r="Q110" s="24">
        <v>45790.38230099537</v>
      </c>
      <c r="R110" s="24"/>
      <c r="S110" s="24"/>
      <c r="T110" s="24"/>
      <c r="U110" s="24"/>
      <c r="V110" s="24"/>
      <c r="W110" s="24"/>
      <c r="X110" s="24"/>
      <c r="Y110" s="24">
        <v>45800.356731689812</v>
      </c>
      <c r="Z110" s="24"/>
      <c r="AA110" s="24"/>
      <c r="AB110" s="24"/>
      <c r="AC110" s="24"/>
      <c r="AD110" s="24"/>
      <c r="AE110" s="24"/>
      <c r="AF110" s="24"/>
      <c r="AG110" s="24">
        <v>46160.377809062498</v>
      </c>
    </row>
    <row r="111" spans="1:33" x14ac:dyDescent="0.3">
      <c r="A111" t="s">
        <v>1063</v>
      </c>
      <c r="C111" t="s">
        <v>125</v>
      </c>
      <c r="D111" s="24">
        <v>45747.795694444445</v>
      </c>
      <c r="E111" t="s">
        <v>90</v>
      </c>
      <c r="F111" t="s">
        <v>155</v>
      </c>
      <c r="G111" t="s">
        <v>248</v>
      </c>
      <c r="K111" t="s">
        <v>1000</v>
      </c>
      <c r="L111" s="24"/>
      <c r="M111" s="24"/>
      <c r="N111" s="24"/>
      <c r="O111" s="24"/>
      <c r="P111" s="24"/>
      <c r="Q111" s="24">
        <v>45798.475003657404</v>
      </c>
      <c r="R111" s="24"/>
      <c r="S111" s="24"/>
      <c r="T111" s="24"/>
      <c r="U111" s="24"/>
      <c r="V111" s="24"/>
      <c r="W111" s="24"/>
      <c r="X111" s="24"/>
      <c r="Y111" s="24">
        <v>45838.4352846412</v>
      </c>
      <c r="Z111" s="24"/>
      <c r="AA111" s="24"/>
      <c r="AB111" s="24"/>
      <c r="AC111" s="24"/>
      <c r="AD111" s="24"/>
      <c r="AE111" s="24"/>
      <c r="AF111" s="24"/>
      <c r="AG111" s="24">
        <v>46160.377809062498</v>
      </c>
    </row>
    <row r="112" spans="1:33" x14ac:dyDescent="0.3">
      <c r="A112" t="s">
        <v>1064</v>
      </c>
      <c r="C112" t="s">
        <v>125</v>
      </c>
      <c r="D112" s="24">
        <v>45747.795706018522</v>
      </c>
      <c r="E112" t="s">
        <v>90</v>
      </c>
      <c r="F112" t="s">
        <v>155</v>
      </c>
      <c r="G112" t="s">
        <v>249</v>
      </c>
      <c r="K112" t="s">
        <v>1000</v>
      </c>
      <c r="L112" s="24"/>
      <c r="M112" s="24"/>
      <c r="N112" s="24"/>
      <c r="O112" s="24"/>
      <c r="P112" s="24"/>
      <c r="Q112" s="24">
        <v>45789.630191597222</v>
      </c>
      <c r="R112" s="24"/>
      <c r="S112" s="24"/>
      <c r="T112" s="24"/>
      <c r="U112" s="24"/>
      <c r="V112" s="24"/>
      <c r="W112" s="24"/>
      <c r="X112" s="24"/>
      <c r="Y112" s="24">
        <v>45838.434084236113</v>
      </c>
      <c r="Z112" s="24"/>
      <c r="AA112" s="24"/>
      <c r="AB112" s="24"/>
      <c r="AC112" s="24"/>
      <c r="AD112" s="24"/>
      <c r="AE112" s="24"/>
      <c r="AF112" s="24"/>
      <c r="AG112" s="24">
        <v>46160.377809062498</v>
      </c>
    </row>
    <row r="113" spans="1:33" x14ac:dyDescent="0.3">
      <c r="A113" t="s">
        <v>1065</v>
      </c>
      <c r="C113" t="s">
        <v>125</v>
      </c>
      <c r="D113" s="24">
        <v>45747.795706018522</v>
      </c>
      <c r="E113" t="s">
        <v>90</v>
      </c>
      <c r="F113" t="s">
        <v>155</v>
      </c>
      <c r="G113" t="s">
        <v>248</v>
      </c>
      <c r="K113" t="s">
        <v>1000</v>
      </c>
      <c r="L113" s="24"/>
      <c r="M113" s="24"/>
      <c r="N113" s="24"/>
      <c r="O113" s="24"/>
      <c r="P113" s="24"/>
      <c r="Q113" s="24">
        <v>45748.529105567133</v>
      </c>
      <c r="R113" s="24"/>
      <c r="S113" s="24"/>
      <c r="T113" s="24"/>
      <c r="U113" s="24"/>
      <c r="V113" s="24"/>
      <c r="W113" s="24"/>
      <c r="X113" s="24"/>
      <c r="Y113" s="24">
        <v>45838.529231006942</v>
      </c>
      <c r="Z113" s="24"/>
      <c r="AA113" s="24"/>
      <c r="AB113" s="24"/>
      <c r="AC113" s="24"/>
      <c r="AD113" s="24"/>
      <c r="AE113" s="24"/>
      <c r="AF113" s="24"/>
      <c r="AG113" s="24">
        <v>46160.377809062498</v>
      </c>
    </row>
    <row r="114" spans="1:33" x14ac:dyDescent="0.3">
      <c r="A114" t="s">
        <v>1066</v>
      </c>
      <c r="C114" t="s">
        <v>125</v>
      </c>
      <c r="D114" s="24">
        <v>45747.795717592591</v>
      </c>
      <c r="E114" t="s">
        <v>90</v>
      </c>
      <c r="F114" t="s">
        <v>155</v>
      </c>
      <c r="G114" t="s">
        <v>248</v>
      </c>
      <c r="K114" t="s">
        <v>1000</v>
      </c>
      <c r="L114" s="24"/>
      <c r="M114" s="24"/>
      <c r="N114" s="24"/>
      <c r="O114" s="24"/>
      <c r="P114" s="24"/>
      <c r="Q114" s="24">
        <v>45784.418917407405</v>
      </c>
      <c r="R114" s="24"/>
      <c r="S114" s="24"/>
      <c r="T114" s="24"/>
      <c r="U114" s="24"/>
      <c r="V114" s="24"/>
      <c r="W114" s="24"/>
      <c r="X114" s="24"/>
      <c r="Y114" s="24">
        <v>45838.527309143516</v>
      </c>
      <c r="Z114" s="24"/>
      <c r="AA114" s="24"/>
      <c r="AB114" s="24"/>
      <c r="AC114" s="24"/>
      <c r="AD114" s="24"/>
      <c r="AE114" s="24"/>
      <c r="AF114" s="24"/>
      <c r="AG114" s="24">
        <v>46160.377809062498</v>
      </c>
    </row>
    <row r="115" spans="1:33" x14ac:dyDescent="0.3">
      <c r="A115" t="s">
        <v>1067</v>
      </c>
      <c r="C115" t="s">
        <v>125</v>
      </c>
      <c r="D115" s="24">
        <v>45747.795729166668</v>
      </c>
      <c r="E115" t="s">
        <v>90</v>
      </c>
      <c r="F115" t="s">
        <v>155</v>
      </c>
      <c r="G115" t="s">
        <v>248</v>
      </c>
      <c r="K115" t="s">
        <v>1000</v>
      </c>
      <c r="L115" s="24"/>
      <c r="M115" s="24"/>
      <c r="N115" s="24"/>
      <c r="O115" s="24"/>
      <c r="P115" s="24"/>
      <c r="Q115" s="24">
        <v>45755.426928414352</v>
      </c>
      <c r="R115" s="24"/>
      <c r="S115" s="24"/>
      <c r="T115" s="24"/>
      <c r="U115" s="24"/>
      <c r="V115" s="24"/>
      <c r="W115" s="24"/>
      <c r="X115" s="24"/>
      <c r="Y115" s="24">
        <v>45799.646377326389</v>
      </c>
      <c r="Z115" s="24"/>
      <c r="AA115" s="24"/>
      <c r="AB115" s="24"/>
      <c r="AC115" s="24"/>
      <c r="AD115" s="24"/>
      <c r="AE115" s="24"/>
      <c r="AF115" s="24"/>
      <c r="AG115" s="24">
        <v>46160.377809062498</v>
      </c>
    </row>
    <row r="116" spans="1:33" x14ac:dyDescent="0.3">
      <c r="A116" t="s">
        <v>1068</v>
      </c>
      <c r="C116" t="s">
        <v>125</v>
      </c>
      <c r="D116" s="24">
        <v>45747.795740740738</v>
      </c>
      <c r="E116" t="s">
        <v>90</v>
      </c>
      <c r="F116" t="s">
        <v>155</v>
      </c>
      <c r="G116" t="s">
        <v>248</v>
      </c>
      <c r="K116" t="s">
        <v>1000</v>
      </c>
      <c r="L116" s="24"/>
      <c r="M116" s="24"/>
      <c r="N116" s="24"/>
      <c r="O116" s="24"/>
      <c r="P116" s="24"/>
      <c r="Q116" s="24">
        <v>45748.650745405095</v>
      </c>
      <c r="R116" s="24"/>
      <c r="S116" s="24"/>
      <c r="T116" s="24"/>
      <c r="U116" s="24"/>
      <c r="V116" s="24"/>
      <c r="W116" s="24"/>
      <c r="X116" s="24"/>
      <c r="Y116" s="24">
        <v>45838.52780916667</v>
      </c>
      <c r="Z116" s="24"/>
      <c r="AA116" s="24"/>
      <c r="AB116" s="24"/>
      <c r="AC116" s="24"/>
      <c r="AD116" s="24"/>
      <c r="AE116" s="24"/>
      <c r="AF116" s="24"/>
      <c r="AG116" s="24">
        <v>46160.377809062498</v>
      </c>
    </row>
    <row r="117" spans="1:33" x14ac:dyDescent="0.3">
      <c r="A117" t="s">
        <v>1069</v>
      </c>
      <c r="C117" t="s">
        <v>125</v>
      </c>
      <c r="D117" s="24">
        <v>45747.795752314814</v>
      </c>
      <c r="E117" t="s">
        <v>90</v>
      </c>
      <c r="F117" t="s">
        <v>155</v>
      </c>
      <c r="G117" t="s">
        <v>248</v>
      </c>
      <c r="K117" t="s">
        <v>1000</v>
      </c>
      <c r="L117" s="24"/>
      <c r="M117" s="24"/>
      <c r="N117" s="24"/>
      <c r="O117" s="24"/>
      <c r="P117" s="24"/>
      <c r="Q117" s="24">
        <v>45748.527069074073</v>
      </c>
      <c r="R117" s="24"/>
      <c r="S117" s="24"/>
      <c r="T117" s="24"/>
      <c r="U117" s="24"/>
      <c r="V117" s="24"/>
      <c r="W117" s="24"/>
      <c r="X117" s="24"/>
      <c r="Y117" s="24">
        <v>45838.524146041666</v>
      </c>
      <c r="Z117" s="24"/>
      <c r="AA117" s="24"/>
      <c r="AB117" s="24"/>
      <c r="AC117" s="24"/>
      <c r="AD117" s="24"/>
      <c r="AE117" s="24"/>
      <c r="AF117" s="24"/>
      <c r="AG117" s="24">
        <v>46160.377809062498</v>
      </c>
    </row>
    <row r="118" spans="1:33" x14ac:dyDescent="0.3">
      <c r="A118" t="s">
        <v>1070</v>
      </c>
      <c r="C118" t="s">
        <v>125</v>
      </c>
      <c r="D118" s="24">
        <v>45747.795763888891</v>
      </c>
      <c r="E118" t="s">
        <v>153</v>
      </c>
      <c r="F118" t="s">
        <v>155</v>
      </c>
      <c r="G118" t="s">
        <v>248</v>
      </c>
      <c r="K118" t="s">
        <v>1000</v>
      </c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>
        <v>45838.438757766206</v>
      </c>
      <c r="AC118" s="24"/>
      <c r="AD118" s="24"/>
      <c r="AE118" s="24"/>
      <c r="AF118" s="24"/>
      <c r="AG118" s="24">
        <v>46160.377809062498</v>
      </c>
    </row>
    <row r="119" spans="1:33" x14ac:dyDescent="0.3">
      <c r="A119" t="s">
        <v>1664</v>
      </c>
      <c r="C119" t="s">
        <v>125</v>
      </c>
      <c r="D119" s="24">
        <v>45747.796423611115</v>
      </c>
      <c r="E119" t="s">
        <v>90</v>
      </c>
      <c r="F119" t="s">
        <v>155</v>
      </c>
      <c r="G119" t="s">
        <v>250</v>
      </c>
      <c r="K119" t="s">
        <v>1001</v>
      </c>
      <c r="L119" s="24"/>
      <c r="M119" s="24"/>
      <c r="N119" s="24"/>
      <c r="O119" s="24"/>
      <c r="P119" s="24"/>
      <c r="Q119" s="24">
        <v>45819.438019560184</v>
      </c>
      <c r="R119" s="24"/>
      <c r="S119" s="24"/>
      <c r="T119" s="24"/>
      <c r="U119" s="24"/>
      <c r="V119" s="24"/>
      <c r="W119" s="24"/>
      <c r="X119" s="24"/>
      <c r="Y119" s="24">
        <v>45833.403985289355</v>
      </c>
      <c r="Z119" s="24"/>
      <c r="AA119" s="24"/>
      <c r="AB119" s="24"/>
      <c r="AC119" s="24"/>
      <c r="AD119" s="24"/>
      <c r="AE119" s="24"/>
      <c r="AF119" s="24"/>
      <c r="AG119" s="24">
        <v>46160.377809062498</v>
      </c>
    </row>
    <row r="120" spans="1:33" x14ac:dyDescent="0.3">
      <c r="A120" t="s">
        <v>1665</v>
      </c>
      <c r="C120" t="s">
        <v>125</v>
      </c>
      <c r="D120" s="24">
        <v>45747.796435185184</v>
      </c>
      <c r="E120" t="s">
        <v>90</v>
      </c>
      <c r="F120" t="s">
        <v>155</v>
      </c>
      <c r="G120" t="s">
        <v>248</v>
      </c>
      <c r="K120" t="s">
        <v>1001</v>
      </c>
      <c r="L120" s="24"/>
      <c r="M120" s="24"/>
      <c r="N120" s="24"/>
      <c r="O120" s="24"/>
      <c r="P120" s="24"/>
      <c r="Q120" s="24">
        <v>45748.346527199072</v>
      </c>
      <c r="R120" s="24"/>
      <c r="S120" s="24"/>
      <c r="T120" s="24"/>
      <c r="U120" s="24"/>
      <c r="V120" s="24"/>
      <c r="W120" s="24"/>
      <c r="X120" s="24"/>
      <c r="Y120" s="24">
        <v>45838.50998116898</v>
      </c>
      <c r="Z120" s="24"/>
      <c r="AA120" s="24"/>
      <c r="AB120" s="24"/>
      <c r="AC120" s="24"/>
      <c r="AD120" s="24"/>
      <c r="AE120" s="24"/>
      <c r="AF120" s="24"/>
      <c r="AG120" s="24">
        <v>46160.377809062498</v>
      </c>
    </row>
    <row r="121" spans="1:33" x14ac:dyDescent="0.3">
      <c r="A121" t="s">
        <v>1666</v>
      </c>
      <c r="C121" t="s">
        <v>125</v>
      </c>
      <c r="D121" s="24">
        <v>45747.796446759261</v>
      </c>
      <c r="E121" t="s">
        <v>90</v>
      </c>
      <c r="F121" t="s">
        <v>155</v>
      </c>
      <c r="G121" t="s">
        <v>249</v>
      </c>
      <c r="K121" t="s">
        <v>1001</v>
      </c>
      <c r="L121" s="24"/>
      <c r="M121" s="24"/>
      <c r="N121" s="24"/>
      <c r="O121" s="24"/>
      <c r="P121" s="24"/>
      <c r="Q121" s="24">
        <v>45819.440344756942</v>
      </c>
      <c r="R121" s="24"/>
      <c r="S121" s="24"/>
      <c r="T121" s="24"/>
      <c r="U121" s="24"/>
      <c r="V121" s="24"/>
      <c r="W121" s="24"/>
      <c r="X121" s="24"/>
      <c r="Y121" s="24">
        <v>45819.440698888888</v>
      </c>
      <c r="Z121" s="24"/>
      <c r="AA121" s="24"/>
      <c r="AB121" s="24"/>
      <c r="AC121" s="24"/>
      <c r="AD121" s="24"/>
      <c r="AE121" s="24"/>
      <c r="AF121" s="24"/>
      <c r="AG121" s="24">
        <v>46160.377809062498</v>
      </c>
    </row>
    <row r="122" spans="1:33" x14ac:dyDescent="0.3">
      <c r="A122" t="s">
        <v>1667</v>
      </c>
      <c r="C122" t="s">
        <v>125</v>
      </c>
      <c r="D122" s="24">
        <v>45747.796446759261</v>
      </c>
      <c r="E122" t="s">
        <v>90</v>
      </c>
      <c r="F122" t="s">
        <v>155</v>
      </c>
      <c r="G122" t="s">
        <v>249</v>
      </c>
      <c r="K122" t="s">
        <v>1001</v>
      </c>
      <c r="L122" s="24"/>
      <c r="M122" s="24"/>
      <c r="N122" s="24"/>
      <c r="O122" s="24"/>
      <c r="P122" s="24"/>
      <c r="Q122" s="24">
        <v>45819.445117037038</v>
      </c>
      <c r="R122" s="24"/>
      <c r="S122" s="24"/>
      <c r="T122" s="24"/>
      <c r="U122" s="24"/>
      <c r="V122" s="24"/>
      <c r="W122" s="24"/>
      <c r="X122" s="24"/>
      <c r="Y122" s="24">
        <v>45819.445642199076</v>
      </c>
      <c r="Z122" s="24"/>
      <c r="AA122" s="24"/>
      <c r="AB122" s="24"/>
      <c r="AC122" s="24"/>
      <c r="AD122" s="24"/>
      <c r="AE122" s="24"/>
      <c r="AF122" s="24"/>
      <c r="AG122" s="24">
        <v>46160.377809062498</v>
      </c>
    </row>
    <row r="123" spans="1:33" x14ac:dyDescent="0.3">
      <c r="A123" t="s">
        <v>1668</v>
      </c>
      <c r="C123" t="s">
        <v>125</v>
      </c>
      <c r="D123" s="24">
        <v>45747.796458333331</v>
      </c>
      <c r="E123" t="s">
        <v>150</v>
      </c>
      <c r="F123" t="s">
        <v>155</v>
      </c>
      <c r="G123" t="s">
        <v>249</v>
      </c>
      <c r="K123" t="s">
        <v>1001</v>
      </c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>
        <v>45819.469501307867</v>
      </c>
      <c r="X123" s="24"/>
      <c r="Y123" s="24"/>
      <c r="Z123" s="24"/>
      <c r="AA123" s="24"/>
      <c r="AB123" s="24"/>
      <c r="AC123" s="24"/>
      <c r="AD123" s="24"/>
      <c r="AE123" s="24"/>
      <c r="AF123" s="24"/>
      <c r="AG123" s="24">
        <v>46160.377809062498</v>
      </c>
    </row>
    <row r="124" spans="1:33" x14ac:dyDescent="0.3">
      <c r="A124" t="s">
        <v>1669</v>
      </c>
      <c r="C124" t="s">
        <v>125</v>
      </c>
      <c r="D124" s="24">
        <v>45747.796469907407</v>
      </c>
      <c r="E124" t="s">
        <v>90</v>
      </c>
      <c r="F124" t="s">
        <v>155</v>
      </c>
      <c r="G124" t="s">
        <v>249</v>
      </c>
      <c r="K124" t="s">
        <v>1001</v>
      </c>
      <c r="L124" s="24"/>
      <c r="M124" s="24"/>
      <c r="N124" s="24"/>
      <c r="O124" s="24"/>
      <c r="P124" s="24"/>
      <c r="Q124" s="24">
        <v>45819.448600162039</v>
      </c>
      <c r="R124" s="24"/>
      <c r="S124" s="24"/>
      <c r="T124" s="24"/>
      <c r="U124" s="24"/>
      <c r="V124" s="24"/>
      <c r="W124" s="24"/>
      <c r="X124" s="24"/>
      <c r="Y124" s="24">
        <v>45819.448777303238</v>
      </c>
      <c r="Z124" s="24"/>
      <c r="AA124" s="24"/>
      <c r="AB124" s="24"/>
      <c r="AC124" s="24"/>
      <c r="AD124" s="24"/>
      <c r="AE124" s="24"/>
      <c r="AF124" s="24"/>
      <c r="AG124" s="24">
        <v>46160.377809062498</v>
      </c>
    </row>
    <row r="125" spans="1:33" x14ac:dyDescent="0.3">
      <c r="A125" t="s">
        <v>1670</v>
      </c>
      <c r="C125" t="s">
        <v>125</v>
      </c>
      <c r="D125" s="24">
        <v>45747.796481481484</v>
      </c>
      <c r="E125" t="s">
        <v>150</v>
      </c>
      <c r="F125" t="s">
        <v>155</v>
      </c>
      <c r="G125" t="s">
        <v>249</v>
      </c>
      <c r="K125" t="s">
        <v>1001</v>
      </c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>
        <v>45825.426381446756</v>
      </c>
      <c r="X125" s="24"/>
      <c r="Y125" s="24"/>
      <c r="Z125" s="24"/>
      <c r="AA125" s="24"/>
      <c r="AB125" s="24"/>
      <c r="AC125" s="24"/>
      <c r="AD125" s="24"/>
      <c r="AE125" s="24"/>
      <c r="AF125" s="24"/>
      <c r="AG125" s="24">
        <v>46160.377809062498</v>
      </c>
    </row>
    <row r="126" spans="1:33" x14ac:dyDescent="0.3">
      <c r="A126" t="s">
        <v>1671</v>
      </c>
      <c r="C126" t="s">
        <v>125</v>
      </c>
      <c r="D126" s="24">
        <v>45747.796493055554</v>
      </c>
      <c r="E126" t="s">
        <v>150</v>
      </c>
      <c r="F126" t="s">
        <v>155</v>
      </c>
      <c r="G126" t="s">
        <v>248</v>
      </c>
      <c r="K126" t="s">
        <v>1001</v>
      </c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>
        <v>45833.654289618054</v>
      </c>
      <c r="X126" s="24"/>
      <c r="Y126" s="24"/>
      <c r="Z126" s="24"/>
      <c r="AA126" s="24"/>
      <c r="AB126" s="24"/>
      <c r="AC126" s="24"/>
      <c r="AD126" s="24"/>
      <c r="AE126" s="24"/>
      <c r="AF126" s="24"/>
      <c r="AG126" s="24">
        <v>46160.377809062498</v>
      </c>
    </row>
    <row r="127" spans="1:33" x14ac:dyDescent="0.3">
      <c r="A127" t="s">
        <v>1672</v>
      </c>
      <c r="C127" t="s">
        <v>125</v>
      </c>
      <c r="D127" s="24">
        <v>45747.796493055554</v>
      </c>
      <c r="E127" t="s">
        <v>90</v>
      </c>
      <c r="F127" t="s">
        <v>155</v>
      </c>
      <c r="G127" t="s">
        <v>248</v>
      </c>
      <c r="K127" t="s">
        <v>1001</v>
      </c>
      <c r="L127" s="24"/>
      <c r="M127" s="24"/>
      <c r="N127" s="24"/>
      <c r="O127" s="24"/>
      <c r="P127" s="24"/>
      <c r="Q127" s="24">
        <v>45819.453872847225</v>
      </c>
      <c r="R127" s="24"/>
      <c r="S127" s="24"/>
      <c r="T127" s="24"/>
      <c r="U127" s="24"/>
      <c r="V127" s="24"/>
      <c r="W127" s="24"/>
      <c r="X127" s="24"/>
      <c r="Y127" s="24">
        <v>45819.454243877313</v>
      </c>
      <c r="Z127" s="24"/>
      <c r="AA127" s="24"/>
      <c r="AB127" s="24"/>
      <c r="AC127" s="24"/>
      <c r="AD127" s="24"/>
      <c r="AE127" s="24"/>
      <c r="AF127" s="24"/>
      <c r="AG127" s="24">
        <v>46160.377809062498</v>
      </c>
    </row>
    <row r="128" spans="1:33" x14ac:dyDescent="0.3">
      <c r="A128" t="s">
        <v>1673</v>
      </c>
      <c r="C128" t="s">
        <v>125</v>
      </c>
      <c r="D128" s="24">
        <v>45747.79650462963</v>
      </c>
      <c r="E128" t="s">
        <v>90</v>
      </c>
      <c r="F128" t="s">
        <v>155</v>
      </c>
      <c r="G128" t="s">
        <v>248</v>
      </c>
      <c r="K128" t="s">
        <v>1001</v>
      </c>
      <c r="L128" s="24"/>
      <c r="M128" s="24"/>
      <c r="N128" s="24"/>
      <c r="O128" s="24"/>
      <c r="P128" s="24"/>
      <c r="Q128" s="24">
        <v>45772.443270497686</v>
      </c>
      <c r="R128" s="24"/>
      <c r="S128" s="24"/>
      <c r="T128" s="24"/>
      <c r="U128" s="24"/>
      <c r="V128" s="24"/>
      <c r="W128" s="24"/>
      <c r="X128" s="24"/>
      <c r="Y128" s="24">
        <v>45819.455143923609</v>
      </c>
      <c r="Z128" s="24"/>
      <c r="AA128" s="24"/>
      <c r="AB128" s="24"/>
      <c r="AC128" s="24"/>
      <c r="AD128" s="24"/>
      <c r="AE128" s="24"/>
      <c r="AF128" s="24"/>
      <c r="AG128" s="24">
        <v>46160.377809062498</v>
      </c>
    </row>
    <row r="129" spans="1:33" x14ac:dyDescent="0.3">
      <c r="A129" t="s">
        <v>1674</v>
      </c>
      <c r="C129" t="s">
        <v>125</v>
      </c>
      <c r="D129" s="24">
        <v>45747.796516203707</v>
      </c>
      <c r="E129" t="s">
        <v>90</v>
      </c>
      <c r="F129" t="s">
        <v>155</v>
      </c>
      <c r="G129" t="s">
        <v>248</v>
      </c>
      <c r="K129" t="s">
        <v>1001</v>
      </c>
      <c r="L129" s="24"/>
      <c r="M129" s="24"/>
      <c r="N129" s="24"/>
      <c r="O129" s="24"/>
      <c r="P129" s="24"/>
      <c r="Q129" s="24">
        <v>45819.455270844905</v>
      </c>
      <c r="R129" s="24"/>
      <c r="S129" s="24"/>
      <c r="T129" s="24"/>
      <c r="U129" s="24"/>
      <c r="V129" s="24"/>
      <c r="W129" s="24"/>
      <c r="X129" s="24"/>
      <c r="Y129" s="24">
        <v>45838.51464523148</v>
      </c>
      <c r="Z129" s="24"/>
      <c r="AA129" s="24"/>
      <c r="AB129" s="24"/>
      <c r="AC129" s="24"/>
      <c r="AD129" s="24"/>
      <c r="AE129" s="24"/>
      <c r="AF129" s="24"/>
      <c r="AG129" s="24">
        <v>46160.377809062498</v>
      </c>
    </row>
    <row r="130" spans="1:33" x14ac:dyDescent="0.3">
      <c r="A130" t="s">
        <v>1675</v>
      </c>
      <c r="C130" t="s">
        <v>125</v>
      </c>
      <c r="D130" s="24">
        <v>45747.796527777777</v>
      </c>
      <c r="E130" t="s">
        <v>90</v>
      </c>
      <c r="F130" t="s">
        <v>155</v>
      </c>
      <c r="G130" t="s">
        <v>248</v>
      </c>
      <c r="K130" t="s">
        <v>1001</v>
      </c>
      <c r="L130" s="24"/>
      <c r="M130" s="24"/>
      <c r="N130" s="24"/>
      <c r="O130" s="24"/>
      <c r="P130" s="24"/>
      <c r="Q130" s="24">
        <v>45819.44739645833</v>
      </c>
      <c r="R130" s="24"/>
      <c r="S130" s="24"/>
      <c r="T130" s="24"/>
      <c r="U130" s="24"/>
      <c r="V130" s="24"/>
      <c r="W130" s="24"/>
      <c r="X130" s="24"/>
      <c r="Y130" s="24">
        <v>45838.510854201391</v>
      </c>
      <c r="Z130" s="24"/>
      <c r="AA130" s="24"/>
      <c r="AB130" s="24"/>
      <c r="AC130" s="24"/>
      <c r="AD130" s="24"/>
      <c r="AE130" s="24"/>
      <c r="AF130" s="24"/>
      <c r="AG130" s="24">
        <v>46160.377809062498</v>
      </c>
    </row>
    <row r="131" spans="1:33" x14ac:dyDescent="0.3">
      <c r="A131" t="s">
        <v>1676</v>
      </c>
      <c r="C131" t="s">
        <v>125</v>
      </c>
      <c r="D131" s="24">
        <v>45747.796539351853</v>
      </c>
      <c r="E131" t="s">
        <v>90</v>
      </c>
      <c r="F131" t="s">
        <v>155</v>
      </c>
      <c r="G131" t="s">
        <v>248</v>
      </c>
      <c r="K131" t="s">
        <v>1001</v>
      </c>
      <c r="L131" s="24"/>
      <c r="M131" s="24"/>
      <c r="N131" s="24"/>
      <c r="O131" s="24"/>
      <c r="P131" s="24"/>
      <c r="Q131" s="24">
        <v>45819.459401319444</v>
      </c>
      <c r="R131" s="24"/>
      <c r="S131" s="24"/>
      <c r="T131" s="24"/>
      <c r="U131" s="24"/>
      <c r="V131" s="24"/>
      <c r="W131" s="24"/>
      <c r="X131" s="24"/>
      <c r="Y131" s="24">
        <v>45838.510738738427</v>
      </c>
      <c r="Z131" s="24"/>
      <c r="AA131" s="24"/>
      <c r="AB131" s="24"/>
      <c r="AC131" s="24"/>
      <c r="AD131" s="24"/>
      <c r="AE131" s="24"/>
      <c r="AF131" s="24"/>
      <c r="AG131" s="24">
        <v>46160.377809062498</v>
      </c>
    </row>
    <row r="132" spans="1:33" x14ac:dyDescent="0.3">
      <c r="A132" t="s">
        <v>1677</v>
      </c>
      <c r="C132" t="s">
        <v>125</v>
      </c>
      <c r="D132" s="24">
        <v>45747.796539351853</v>
      </c>
      <c r="E132" t="s">
        <v>90</v>
      </c>
      <c r="F132" t="s">
        <v>155</v>
      </c>
      <c r="G132" t="s">
        <v>249</v>
      </c>
      <c r="K132" t="s">
        <v>1001</v>
      </c>
      <c r="L132" s="24"/>
      <c r="M132" s="24"/>
      <c r="N132" s="24"/>
      <c r="O132" s="24"/>
      <c r="P132" s="24"/>
      <c r="Q132" s="24">
        <v>45819.405066863423</v>
      </c>
      <c r="R132" s="24"/>
      <c r="S132" s="24"/>
      <c r="T132" s="24"/>
      <c r="U132" s="24"/>
      <c r="V132" s="24"/>
      <c r="W132" s="24"/>
      <c r="X132" s="24"/>
      <c r="Y132" s="24">
        <v>45833.400831319443</v>
      </c>
      <c r="Z132" s="24"/>
      <c r="AA132" s="24"/>
      <c r="AB132" s="24"/>
      <c r="AC132" s="24"/>
      <c r="AD132" s="24"/>
      <c r="AE132" s="24"/>
      <c r="AF132" s="24"/>
      <c r="AG132" s="24">
        <v>46160.377809062498</v>
      </c>
    </row>
    <row r="133" spans="1:33" x14ac:dyDescent="0.3">
      <c r="A133" t="s">
        <v>1678</v>
      </c>
      <c r="C133" t="s">
        <v>125</v>
      </c>
      <c r="D133" s="24">
        <v>45747.796550925923</v>
      </c>
      <c r="E133" t="s">
        <v>90</v>
      </c>
      <c r="F133" t="s">
        <v>155</v>
      </c>
      <c r="G133" t="s">
        <v>248</v>
      </c>
      <c r="K133" t="s">
        <v>1001</v>
      </c>
      <c r="L133" s="24"/>
      <c r="M133" s="24"/>
      <c r="N133" s="24"/>
      <c r="O133" s="24"/>
      <c r="P133" s="24"/>
      <c r="Q133" s="24">
        <v>45782.370888784724</v>
      </c>
      <c r="R133" s="24"/>
      <c r="S133" s="24"/>
      <c r="T133" s="24"/>
      <c r="U133" s="24"/>
      <c r="V133" s="24"/>
      <c r="W133" s="24"/>
      <c r="X133" s="24"/>
      <c r="Y133" s="24">
        <v>45819.457193506947</v>
      </c>
      <c r="Z133" s="24"/>
      <c r="AA133" s="24"/>
      <c r="AB133" s="24"/>
      <c r="AC133" s="24"/>
      <c r="AD133" s="24"/>
      <c r="AE133" s="24"/>
      <c r="AF133" s="24"/>
      <c r="AG133" s="24">
        <v>46160.377809062498</v>
      </c>
    </row>
    <row r="134" spans="1:33" x14ac:dyDescent="0.3">
      <c r="A134" t="s">
        <v>1679</v>
      </c>
      <c r="C134" t="s">
        <v>125</v>
      </c>
      <c r="D134" s="24">
        <v>45747.7965625</v>
      </c>
      <c r="E134" t="s">
        <v>150</v>
      </c>
      <c r="F134" t="s">
        <v>155</v>
      </c>
      <c r="G134" t="s">
        <v>250</v>
      </c>
      <c r="K134" t="s">
        <v>1001</v>
      </c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>
        <v>45833.409101342593</v>
      </c>
      <c r="X134" s="24"/>
      <c r="Y134" s="24"/>
      <c r="Z134" s="24"/>
      <c r="AA134" s="24"/>
      <c r="AB134" s="24"/>
      <c r="AC134" s="24"/>
      <c r="AD134" s="24"/>
      <c r="AE134" s="24"/>
      <c r="AF134" s="24"/>
      <c r="AG134" s="24">
        <v>46160.377809062498</v>
      </c>
    </row>
    <row r="135" spans="1:33" x14ac:dyDescent="0.3">
      <c r="A135" t="s">
        <v>1071</v>
      </c>
      <c r="C135" t="s">
        <v>124</v>
      </c>
      <c r="D135" s="24">
        <v>45824.574583333335</v>
      </c>
      <c r="E135" t="s">
        <v>90</v>
      </c>
      <c r="F135" t="s">
        <v>155</v>
      </c>
      <c r="K135" t="s">
        <v>1000</v>
      </c>
      <c r="L135" s="24"/>
      <c r="M135" s="24"/>
      <c r="N135" s="24"/>
      <c r="O135" s="24"/>
      <c r="P135" s="24"/>
      <c r="Q135" s="24">
        <v>45832.641596157409</v>
      </c>
      <c r="R135" s="24"/>
      <c r="S135" s="24"/>
      <c r="T135" s="24"/>
      <c r="U135" s="24"/>
      <c r="V135" s="24"/>
      <c r="W135" s="24"/>
      <c r="X135" s="24"/>
      <c r="Y135" s="24">
        <v>45929.559233020831</v>
      </c>
      <c r="Z135" s="24"/>
      <c r="AA135" s="24"/>
      <c r="AB135" s="24"/>
      <c r="AC135" s="24"/>
      <c r="AD135" s="24"/>
      <c r="AE135" s="24"/>
      <c r="AF135" s="24"/>
      <c r="AG135" s="24">
        <v>46160.377809062498</v>
      </c>
    </row>
    <row r="136" spans="1:33" x14ac:dyDescent="0.3">
      <c r="A136" t="s">
        <v>1072</v>
      </c>
      <c r="C136" t="s">
        <v>124</v>
      </c>
      <c r="D136" s="24">
        <v>45838.506238425929</v>
      </c>
      <c r="E136" t="s">
        <v>90</v>
      </c>
      <c r="F136" t="s">
        <v>155</v>
      </c>
      <c r="G136" t="s">
        <v>248</v>
      </c>
      <c r="K136" t="s">
        <v>1000</v>
      </c>
      <c r="L136" s="24"/>
      <c r="M136" s="24"/>
      <c r="N136" s="24"/>
      <c r="O136" s="24"/>
      <c r="P136" s="24"/>
      <c r="Q136" s="24">
        <v>45897.362103495369</v>
      </c>
      <c r="R136" s="24"/>
      <c r="S136" s="24"/>
      <c r="T136" s="24"/>
      <c r="U136" s="24"/>
      <c r="V136" s="24"/>
      <c r="W136" s="24"/>
      <c r="X136" s="24"/>
      <c r="Y136" s="24">
        <v>45922.536781504627</v>
      </c>
      <c r="Z136" s="24"/>
      <c r="AA136" s="24"/>
      <c r="AB136" s="24"/>
      <c r="AC136" s="24"/>
      <c r="AD136" s="24"/>
      <c r="AE136" s="24"/>
      <c r="AF136" s="24"/>
      <c r="AG136" s="24">
        <v>46160.377809062498</v>
      </c>
    </row>
    <row r="137" spans="1:33" x14ac:dyDescent="0.3">
      <c r="A137" t="s">
        <v>1073</v>
      </c>
      <c r="C137" t="s">
        <v>124</v>
      </c>
      <c r="D137" s="24">
        <v>45838.506249999999</v>
      </c>
      <c r="E137" t="s">
        <v>90</v>
      </c>
      <c r="F137" t="s">
        <v>155</v>
      </c>
      <c r="G137" t="s">
        <v>248</v>
      </c>
      <c r="K137" t="s">
        <v>1000</v>
      </c>
      <c r="L137" s="24"/>
      <c r="M137" s="24"/>
      <c r="N137" s="24"/>
      <c r="O137" s="24"/>
      <c r="P137" s="24"/>
      <c r="Q137" s="24">
        <v>45838.526022592596</v>
      </c>
      <c r="R137" s="24"/>
      <c r="S137" s="24"/>
      <c r="T137" s="24"/>
      <c r="U137" s="24"/>
      <c r="V137" s="24"/>
      <c r="W137" s="24"/>
      <c r="X137" s="24"/>
      <c r="Y137" s="24">
        <v>45930.295508599535</v>
      </c>
      <c r="Z137" s="24"/>
      <c r="AA137" s="24"/>
      <c r="AB137" s="24"/>
      <c r="AC137" s="24"/>
      <c r="AD137" s="24"/>
      <c r="AE137" s="24"/>
      <c r="AF137" s="24"/>
      <c r="AG137" s="24">
        <v>46160.377809062498</v>
      </c>
    </row>
    <row r="138" spans="1:33" x14ac:dyDescent="0.3">
      <c r="A138" t="s">
        <v>1074</v>
      </c>
      <c r="C138" t="s">
        <v>124</v>
      </c>
      <c r="D138" s="24">
        <v>45838.506261574075</v>
      </c>
      <c r="E138" t="s">
        <v>90</v>
      </c>
      <c r="F138" t="s">
        <v>155</v>
      </c>
      <c r="G138" t="s">
        <v>248</v>
      </c>
      <c r="K138" t="s">
        <v>1000</v>
      </c>
      <c r="L138" s="24"/>
      <c r="M138" s="24"/>
      <c r="N138" s="24"/>
      <c r="O138" s="24"/>
      <c r="P138" s="24"/>
      <c r="Q138" s="24">
        <v>45838.523534907406</v>
      </c>
      <c r="R138" s="24"/>
      <c r="S138" s="24"/>
      <c r="T138" s="24"/>
      <c r="U138" s="24"/>
      <c r="V138" s="24"/>
      <c r="W138" s="24"/>
      <c r="X138" s="24"/>
      <c r="Y138" s="24">
        <v>45930.292488356485</v>
      </c>
      <c r="Z138" s="24"/>
      <c r="AA138" s="24"/>
      <c r="AB138" s="24"/>
      <c r="AC138" s="24"/>
      <c r="AD138" s="24"/>
      <c r="AE138" s="24"/>
      <c r="AF138" s="24"/>
      <c r="AG138" s="24">
        <v>46160.377809062498</v>
      </c>
    </row>
    <row r="139" spans="1:33" x14ac:dyDescent="0.3">
      <c r="A139" t="s">
        <v>1075</v>
      </c>
      <c r="C139" t="s">
        <v>124</v>
      </c>
      <c r="D139" s="24">
        <v>45838.506273148145</v>
      </c>
      <c r="E139" t="s">
        <v>90</v>
      </c>
      <c r="F139" t="s">
        <v>155</v>
      </c>
      <c r="G139" t="s">
        <v>248</v>
      </c>
      <c r="K139" t="s">
        <v>1000</v>
      </c>
      <c r="L139" s="24"/>
      <c r="M139" s="24"/>
      <c r="N139" s="24"/>
      <c r="O139" s="24"/>
      <c r="P139" s="24"/>
      <c r="Q139" s="24">
        <v>45838.530052037037</v>
      </c>
      <c r="R139" s="24"/>
      <c r="S139" s="24"/>
      <c r="T139" s="24"/>
      <c r="U139" s="24"/>
      <c r="V139" s="24"/>
      <c r="W139" s="24"/>
      <c r="X139" s="24"/>
      <c r="Y139" s="24">
        <v>45930.471734224535</v>
      </c>
      <c r="Z139" s="24"/>
      <c r="AA139" s="24"/>
      <c r="AB139" s="24"/>
      <c r="AC139" s="24"/>
      <c r="AD139" s="24"/>
      <c r="AE139" s="24"/>
      <c r="AF139" s="24"/>
      <c r="AG139" s="24">
        <v>46160.377809062498</v>
      </c>
    </row>
    <row r="140" spans="1:33" x14ac:dyDescent="0.3">
      <c r="A140" t="s">
        <v>1076</v>
      </c>
      <c r="C140" t="s">
        <v>124</v>
      </c>
      <c r="D140" s="24">
        <v>45838.506284722222</v>
      </c>
      <c r="E140" t="s">
        <v>90</v>
      </c>
      <c r="F140" t="s">
        <v>155</v>
      </c>
      <c r="G140" t="s">
        <v>249</v>
      </c>
      <c r="K140" t="s">
        <v>1000</v>
      </c>
      <c r="L140" s="24"/>
      <c r="M140" s="24"/>
      <c r="N140" s="24"/>
      <c r="O140" s="24"/>
      <c r="P140" s="24"/>
      <c r="Q140" s="24">
        <v>45924.419113738426</v>
      </c>
      <c r="R140" s="24">
        <v>45924.419058159721</v>
      </c>
      <c r="S140" s="24"/>
      <c r="T140" s="24"/>
      <c r="U140" s="24"/>
      <c r="V140" s="24"/>
      <c r="W140" s="24">
        <v>45922.538973981478</v>
      </c>
      <c r="X140" s="24"/>
      <c r="Y140" s="24">
        <v>45924.422383414349</v>
      </c>
      <c r="Z140" s="24"/>
      <c r="AA140" s="24"/>
      <c r="AB140" s="24"/>
      <c r="AC140" s="24"/>
      <c r="AD140" s="24"/>
      <c r="AE140" s="24"/>
      <c r="AF140" s="24"/>
      <c r="AG140" s="24">
        <v>46160.377809062498</v>
      </c>
    </row>
    <row r="141" spans="1:33" x14ac:dyDescent="0.3">
      <c r="A141" t="s">
        <v>1077</v>
      </c>
      <c r="C141" t="s">
        <v>124</v>
      </c>
      <c r="D141" s="24">
        <v>45838.506296296298</v>
      </c>
      <c r="E141" t="s">
        <v>90</v>
      </c>
      <c r="F141" t="s">
        <v>155</v>
      </c>
      <c r="G141" t="s">
        <v>248</v>
      </c>
      <c r="K141" t="s">
        <v>1000</v>
      </c>
      <c r="L141" s="24"/>
      <c r="M141" s="24"/>
      <c r="N141" s="24"/>
      <c r="O141" s="24"/>
      <c r="P141" s="24"/>
      <c r="Q141" s="24">
        <v>45912.447080532409</v>
      </c>
      <c r="R141" s="24"/>
      <c r="S141" s="24"/>
      <c r="T141" s="24"/>
      <c r="U141" s="24"/>
      <c r="V141" s="24"/>
      <c r="W141" s="24"/>
      <c r="X141" s="24"/>
      <c r="Y141" s="24">
        <v>45960.47858354167</v>
      </c>
      <c r="Z141" s="24"/>
      <c r="AA141" s="24"/>
      <c r="AB141" s="24"/>
      <c r="AC141" s="24"/>
      <c r="AD141" s="24"/>
      <c r="AE141" s="24"/>
      <c r="AF141" s="24"/>
      <c r="AG141" s="24">
        <v>46160.377809062498</v>
      </c>
    </row>
    <row r="142" spans="1:33" x14ac:dyDescent="0.3">
      <c r="A142" t="s">
        <v>1078</v>
      </c>
      <c r="C142" t="s">
        <v>124</v>
      </c>
      <c r="D142" s="24">
        <v>45838.506307870368</v>
      </c>
      <c r="E142" t="s">
        <v>90</v>
      </c>
      <c r="F142" t="s">
        <v>155</v>
      </c>
      <c r="G142" t="s">
        <v>248</v>
      </c>
      <c r="K142" t="s">
        <v>1000</v>
      </c>
      <c r="L142" s="24"/>
      <c r="M142" s="24"/>
      <c r="N142" s="24"/>
      <c r="O142" s="24"/>
      <c r="P142" s="24"/>
      <c r="Q142" s="24">
        <v>45838.526957754628</v>
      </c>
      <c r="R142" s="24"/>
      <c r="S142" s="24"/>
      <c r="T142" s="24"/>
      <c r="U142" s="24"/>
      <c r="V142" s="24"/>
      <c r="W142" s="24"/>
      <c r="X142" s="24"/>
      <c r="Y142" s="24">
        <v>45925.437122210649</v>
      </c>
      <c r="Z142" s="24"/>
      <c r="AA142" s="24"/>
      <c r="AB142" s="24"/>
      <c r="AC142" s="24"/>
      <c r="AD142" s="24"/>
      <c r="AE142" s="24"/>
      <c r="AF142" s="24"/>
      <c r="AG142" s="24">
        <v>46160.377809062498</v>
      </c>
    </row>
    <row r="143" spans="1:33" x14ac:dyDescent="0.3">
      <c r="A143" t="s">
        <v>1079</v>
      </c>
      <c r="C143" t="s">
        <v>124</v>
      </c>
      <c r="D143" s="24">
        <v>45838.506319444445</v>
      </c>
      <c r="E143" t="s">
        <v>90</v>
      </c>
      <c r="F143" t="s">
        <v>155</v>
      </c>
      <c r="G143" t="s">
        <v>249</v>
      </c>
      <c r="K143" t="s">
        <v>1000</v>
      </c>
      <c r="L143" s="24"/>
      <c r="M143" s="24"/>
      <c r="N143" s="24"/>
      <c r="O143" s="24"/>
      <c r="P143" s="24"/>
      <c r="Q143" s="24">
        <v>45904.47349689815</v>
      </c>
      <c r="R143" s="24"/>
      <c r="S143" s="24"/>
      <c r="T143" s="24"/>
      <c r="U143" s="24"/>
      <c r="V143" s="24"/>
      <c r="W143" s="24"/>
      <c r="X143" s="24"/>
      <c r="Y143" s="24">
        <v>45909.370361979163</v>
      </c>
      <c r="Z143" s="24"/>
      <c r="AA143" s="24"/>
      <c r="AB143" s="24"/>
      <c r="AC143" s="24"/>
      <c r="AD143" s="24"/>
      <c r="AE143" s="24"/>
      <c r="AF143" s="24"/>
      <c r="AG143" s="24">
        <v>46160.377809062498</v>
      </c>
    </row>
    <row r="144" spans="1:33" x14ac:dyDescent="0.3">
      <c r="A144" t="s">
        <v>1080</v>
      </c>
      <c r="C144" t="s">
        <v>124</v>
      </c>
      <c r="D144" s="24">
        <v>45838.506331018521</v>
      </c>
      <c r="E144" t="s">
        <v>90</v>
      </c>
      <c r="F144" t="s">
        <v>155</v>
      </c>
      <c r="G144" t="s">
        <v>248</v>
      </c>
      <c r="K144" t="s">
        <v>1000</v>
      </c>
      <c r="L144" s="24"/>
      <c r="M144" s="24"/>
      <c r="N144" s="24"/>
      <c r="O144" s="24"/>
      <c r="P144" s="24"/>
      <c r="Q144" s="24">
        <v>45838.527634282407</v>
      </c>
      <c r="R144" s="24"/>
      <c r="S144" s="24"/>
      <c r="T144" s="24"/>
      <c r="U144" s="24"/>
      <c r="V144" s="24"/>
      <c r="W144" s="24"/>
      <c r="X144" s="24"/>
      <c r="Y144" s="24">
        <v>45915.451573217593</v>
      </c>
      <c r="Z144" s="24"/>
      <c r="AA144" s="24"/>
      <c r="AB144" s="24"/>
      <c r="AC144" s="24"/>
      <c r="AD144" s="24"/>
      <c r="AE144" s="24"/>
      <c r="AF144" s="24"/>
      <c r="AG144" s="24">
        <v>46160.377809062498</v>
      </c>
    </row>
    <row r="145" spans="1:33" x14ac:dyDescent="0.3">
      <c r="A145" t="s">
        <v>1081</v>
      </c>
      <c r="C145" t="s">
        <v>124</v>
      </c>
      <c r="D145" s="24">
        <v>45838.506342592591</v>
      </c>
      <c r="E145" t="s">
        <v>90</v>
      </c>
      <c r="F145" t="s">
        <v>155</v>
      </c>
      <c r="G145" t="s">
        <v>248</v>
      </c>
      <c r="K145" t="s">
        <v>1000</v>
      </c>
      <c r="L145" s="24"/>
      <c r="M145" s="24"/>
      <c r="N145" s="24"/>
      <c r="O145" s="24"/>
      <c r="P145" s="24"/>
      <c r="Q145" s="24">
        <v>45838.524508275463</v>
      </c>
      <c r="R145" s="24"/>
      <c r="S145" s="24"/>
      <c r="T145" s="24"/>
      <c r="U145" s="24"/>
      <c r="V145" s="24"/>
      <c r="W145" s="24"/>
      <c r="X145" s="24"/>
      <c r="Y145" s="24">
        <v>45902.487027708332</v>
      </c>
      <c r="Z145" s="24"/>
      <c r="AA145" s="24"/>
      <c r="AB145" s="24"/>
      <c r="AC145" s="24"/>
      <c r="AD145" s="24"/>
      <c r="AE145" s="24"/>
      <c r="AF145" s="24"/>
      <c r="AG145" s="24">
        <v>46160.377809062498</v>
      </c>
    </row>
    <row r="146" spans="1:33" x14ac:dyDescent="0.3">
      <c r="A146" t="s">
        <v>1680</v>
      </c>
      <c r="C146" t="s">
        <v>124</v>
      </c>
      <c r="D146" s="24">
        <v>45111.406493055554</v>
      </c>
      <c r="E146" t="s">
        <v>90</v>
      </c>
      <c r="F146" t="s">
        <v>155</v>
      </c>
      <c r="K146" t="s">
        <v>1001</v>
      </c>
      <c r="L146" s="24"/>
      <c r="M146" s="24"/>
      <c r="N146" s="24"/>
      <c r="O146" s="24"/>
      <c r="P146" s="24"/>
      <c r="Q146" s="24">
        <v>45323.677102847221</v>
      </c>
      <c r="R146" s="24"/>
      <c r="S146" s="24"/>
      <c r="T146" s="24"/>
      <c r="U146" s="24"/>
      <c r="V146" s="24"/>
      <c r="W146" s="24"/>
      <c r="X146" s="24"/>
      <c r="Y146" s="24">
        <v>45992.596112638887</v>
      </c>
      <c r="Z146" s="24"/>
      <c r="AA146" s="24"/>
      <c r="AB146" s="24"/>
      <c r="AC146" s="24"/>
      <c r="AD146" s="24"/>
      <c r="AE146" s="24"/>
      <c r="AF146" s="24"/>
      <c r="AG146" s="24">
        <v>46160.377809062498</v>
      </c>
    </row>
    <row r="147" spans="1:33" x14ac:dyDescent="0.3">
      <c r="A147" t="s">
        <v>1681</v>
      </c>
      <c r="C147" t="s">
        <v>124</v>
      </c>
      <c r="D147" s="24">
        <v>44700.519375000003</v>
      </c>
      <c r="E147" t="s">
        <v>90</v>
      </c>
      <c r="F147" t="s">
        <v>155</v>
      </c>
      <c r="K147" t="s">
        <v>1001</v>
      </c>
      <c r="L147" s="24"/>
      <c r="M147" s="24"/>
      <c r="N147" s="24"/>
      <c r="O147" s="24"/>
      <c r="P147" s="24"/>
      <c r="Q147" s="24">
        <v>46001.412688530094</v>
      </c>
      <c r="R147" s="24"/>
      <c r="S147" s="24"/>
      <c r="T147" s="24"/>
      <c r="U147" s="24"/>
      <c r="V147" s="24"/>
      <c r="W147" s="24"/>
      <c r="X147" s="24"/>
      <c r="Y147" s="24">
        <v>46001.414481747684</v>
      </c>
      <c r="Z147" s="24"/>
      <c r="AA147" s="24"/>
      <c r="AB147" s="24"/>
      <c r="AC147" s="24"/>
      <c r="AD147" s="24"/>
      <c r="AE147" s="24"/>
      <c r="AF147" s="24"/>
      <c r="AG147" s="24">
        <v>46160.377809062498</v>
      </c>
    </row>
    <row r="148" spans="1:33" x14ac:dyDescent="0.3">
      <c r="A148" t="s">
        <v>1682</v>
      </c>
      <c r="C148" t="s">
        <v>124</v>
      </c>
      <c r="D148" s="24">
        <v>45189.471076388887</v>
      </c>
      <c r="E148" t="s">
        <v>90</v>
      </c>
      <c r="F148" t="s">
        <v>155</v>
      </c>
      <c r="K148" t="s">
        <v>1001</v>
      </c>
      <c r="L148" s="24"/>
      <c r="M148" s="24"/>
      <c r="N148" s="24"/>
      <c r="O148" s="24"/>
      <c r="P148" s="24"/>
      <c r="Q148" s="24">
        <v>45189.472355266204</v>
      </c>
      <c r="R148" s="24"/>
      <c r="S148" s="24"/>
      <c r="T148" s="24"/>
      <c r="U148" s="24"/>
      <c r="V148" s="24"/>
      <c r="W148" s="24"/>
      <c r="X148" s="24"/>
      <c r="Y148" s="24">
        <v>45945.599739548612</v>
      </c>
      <c r="Z148" s="24"/>
      <c r="AA148" s="24"/>
      <c r="AB148" s="24"/>
      <c r="AC148" s="24"/>
      <c r="AD148" s="24"/>
      <c r="AE148" s="24"/>
      <c r="AF148" s="24"/>
      <c r="AG148" s="24">
        <v>46160.377809062498</v>
      </c>
    </row>
    <row r="149" spans="1:33" x14ac:dyDescent="0.3">
      <c r="A149" t="s">
        <v>1683</v>
      </c>
      <c r="C149" t="s">
        <v>124</v>
      </c>
      <c r="D149" s="24">
        <v>45747.296516203707</v>
      </c>
      <c r="E149" t="s">
        <v>90</v>
      </c>
      <c r="F149" t="s">
        <v>155</v>
      </c>
      <c r="K149" t="s">
        <v>1001</v>
      </c>
      <c r="L149" s="24"/>
      <c r="M149" s="24"/>
      <c r="N149" s="24"/>
      <c r="O149" s="24"/>
      <c r="P149" s="24"/>
      <c r="Q149" s="24">
        <v>45775.575341215277</v>
      </c>
      <c r="R149" s="24"/>
      <c r="S149" s="24"/>
      <c r="T149" s="24"/>
      <c r="U149" s="24"/>
      <c r="V149" s="24"/>
      <c r="W149" s="24"/>
      <c r="X149" s="24"/>
      <c r="Y149" s="24">
        <v>45992.607515011572</v>
      </c>
      <c r="Z149" s="24"/>
      <c r="AA149" s="24"/>
      <c r="AB149" s="24"/>
      <c r="AC149" s="24"/>
      <c r="AD149" s="24"/>
      <c r="AE149" s="24"/>
      <c r="AF149" s="24"/>
      <c r="AG149" s="24">
        <v>46160.377809062498</v>
      </c>
    </row>
    <row r="150" spans="1:33" x14ac:dyDescent="0.3">
      <c r="A150" t="s">
        <v>1684</v>
      </c>
      <c r="C150" t="s">
        <v>124</v>
      </c>
      <c r="D150" s="24">
        <v>45747.298946759256</v>
      </c>
      <c r="E150" t="s">
        <v>90</v>
      </c>
      <c r="F150" t="s">
        <v>155</v>
      </c>
      <c r="K150" t="s">
        <v>1001</v>
      </c>
      <c r="L150" s="24"/>
      <c r="M150" s="24"/>
      <c r="N150" s="24"/>
      <c r="O150" s="24"/>
      <c r="P150" s="24"/>
      <c r="Q150" s="24">
        <v>45763.597255127315</v>
      </c>
      <c r="R150" s="24"/>
      <c r="S150" s="24"/>
      <c r="T150" s="24"/>
      <c r="U150" s="24"/>
      <c r="V150" s="24"/>
      <c r="W150" s="24"/>
      <c r="X150" s="24"/>
      <c r="Y150" s="24">
        <v>45992.597692314812</v>
      </c>
      <c r="Z150" s="24"/>
      <c r="AA150" s="24"/>
      <c r="AB150" s="24"/>
      <c r="AC150" s="24"/>
      <c r="AD150" s="24"/>
      <c r="AE150" s="24"/>
      <c r="AF150" s="24"/>
      <c r="AG150" s="24">
        <v>46160.377809062498</v>
      </c>
    </row>
    <row r="151" spans="1:33" x14ac:dyDescent="0.3">
      <c r="A151" t="s">
        <v>1685</v>
      </c>
      <c r="C151" t="s">
        <v>124</v>
      </c>
      <c r="D151" s="24">
        <v>45838.507569444446</v>
      </c>
      <c r="E151" t="s">
        <v>90</v>
      </c>
      <c r="F151" t="s">
        <v>155</v>
      </c>
      <c r="G151" t="s">
        <v>248</v>
      </c>
      <c r="K151" t="s">
        <v>1001</v>
      </c>
      <c r="L151" s="24"/>
      <c r="M151" s="24"/>
      <c r="N151" s="24"/>
      <c r="O151" s="24"/>
      <c r="P151" s="24"/>
      <c r="Q151" s="24">
        <v>45905.459482361111</v>
      </c>
      <c r="R151" s="24"/>
      <c r="S151" s="24"/>
      <c r="T151" s="24"/>
      <c r="U151" s="24"/>
      <c r="V151" s="24"/>
      <c r="W151" s="24"/>
      <c r="X151" s="24"/>
      <c r="Y151" s="24">
        <v>45930.617879571757</v>
      </c>
      <c r="Z151" s="24"/>
      <c r="AA151" s="24"/>
      <c r="AB151" s="24"/>
      <c r="AC151" s="24"/>
      <c r="AD151" s="24"/>
      <c r="AE151" s="24"/>
      <c r="AF151" s="24"/>
      <c r="AG151" s="24">
        <v>46160.377809062498</v>
      </c>
    </row>
    <row r="152" spans="1:33" x14ac:dyDescent="0.3">
      <c r="A152" t="s">
        <v>1686</v>
      </c>
      <c r="C152" t="s">
        <v>124</v>
      </c>
      <c r="D152" s="24">
        <v>45838.507581018515</v>
      </c>
      <c r="E152" t="s">
        <v>90</v>
      </c>
      <c r="F152" t="s">
        <v>155</v>
      </c>
      <c r="G152" t="s">
        <v>248</v>
      </c>
      <c r="K152" t="s">
        <v>1001</v>
      </c>
      <c r="L152" s="24"/>
      <c r="M152" s="24"/>
      <c r="N152" s="24"/>
      <c r="O152" s="24"/>
      <c r="P152" s="24"/>
      <c r="Q152" s="24">
        <v>45930.666848333334</v>
      </c>
      <c r="R152" s="24"/>
      <c r="S152" s="24"/>
      <c r="T152" s="24"/>
      <c r="U152" s="24"/>
      <c r="V152" s="24"/>
      <c r="W152" s="24"/>
      <c r="X152" s="24"/>
      <c r="Y152" s="24">
        <v>45930.667211817126</v>
      </c>
      <c r="Z152" s="24"/>
      <c r="AA152" s="24"/>
      <c r="AB152" s="24"/>
      <c r="AC152" s="24"/>
      <c r="AD152" s="24"/>
      <c r="AE152" s="24"/>
      <c r="AF152" s="24"/>
      <c r="AG152" s="24">
        <v>46160.377809062498</v>
      </c>
    </row>
    <row r="153" spans="1:33" x14ac:dyDescent="0.3">
      <c r="A153" t="s">
        <v>1687</v>
      </c>
      <c r="C153" t="s">
        <v>124</v>
      </c>
      <c r="D153" s="24">
        <v>45838.507592592592</v>
      </c>
      <c r="E153" t="s">
        <v>90</v>
      </c>
      <c r="F153" t="s">
        <v>155</v>
      </c>
      <c r="G153" t="s">
        <v>248</v>
      </c>
      <c r="K153" t="s">
        <v>1001</v>
      </c>
      <c r="L153" s="24"/>
      <c r="M153" s="24"/>
      <c r="N153" s="24"/>
      <c r="O153" s="24"/>
      <c r="P153" s="24"/>
      <c r="Q153" s="24">
        <v>45930.668614733797</v>
      </c>
      <c r="R153" s="24"/>
      <c r="S153" s="24"/>
      <c r="T153" s="24"/>
      <c r="U153" s="24"/>
      <c r="V153" s="24"/>
      <c r="W153" s="24"/>
      <c r="X153" s="24"/>
      <c r="Y153" s="24">
        <v>45930.668809571762</v>
      </c>
      <c r="Z153" s="24"/>
      <c r="AA153" s="24"/>
      <c r="AB153" s="24"/>
      <c r="AC153" s="24"/>
      <c r="AD153" s="24"/>
      <c r="AE153" s="24"/>
      <c r="AF153" s="24"/>
      <c r="AG153" s="24">
        <v>46160.377809062498</v>
      </c>
    </row>
    <row r="154" spans="1:33" x14ac:dyDescent="0.3">
      <c r="A154" t="s">
        <v>1688</v>
      </c>
      <c r="C154" t="s">
        <v>124</v>
      </c>
      <c r="D154" s="24">
        <v>45838.507604166669</v>
      </c>
      <c r="E154" t="s">
        <v>90</v>
      </c>
      <c r="F154" t="s">
        <v>155</v>
      </c>
      <c r="G154" t="s">
        <v>248</v>
      </c>
      <c r="K154" t="s">
        <v>1001</v>
      </c>
      <c r="L154" s="24"/>
      <c r="M154" s="24"/>
      <c r="N154" s="24"/>
      <c r="O154" s="24"/>
      <c r="P154" s="24"/>
      <c r="Q154" s="24">
        <v>45910.618160289348</v>
      </c>
      <c r="R154" s="24"/>
      <c r="S154" s="24"/>
      <c r="T154" s="24"/>
      <c r="U154" s="24"/>
      <c r="V154" s="24"/>
      <c r="W154" s="24"/>
      <c r="X154" s="24"/>
      <c r="Y154" s="24">
        <v>45930.611222534724</v>
      </c>
      <c r="Z154" s="24"/>
      <c r="AA154" s="24"/>
      <c r="AB154" s="24"/>
      <c r="AC154" s="24"/>
      <c r="AD154" s="24"/>
      <c r="AE154" s="24"/>
      <c r="AF154" s="24"/>
      <c r="AG154" s="24">
        <v>46160.377809062498</v>
      </c>
    </row>
    <row r="155" spans="1:33" x14ac:dyDescent="0.3">
      <c r="A155" t="s">
        <v>1689</v>
      </c>
      <c r="C155" t="s">
        <v>124</v>
      </c>
      <c r="D155" s="24">
        <v>45838.507615740738</v>
      </c>
      <c r="E155" t="s">
        <v>90</v>
      </c>
      <c r="F155" t="s">
        <v>155</v>
      </c>
      <c r="G155" t="s">
        <v>250</v>
      </c>
      <c r="K155" t="s">
        <v>1001</v>
      </c>
      <c r="L155" s="24"/>
      <c r="M155" s="24"/>
      <c r="N155" s="24"/>
      <c r="O155" s="24"/>
      <c r="P155" s="24"/>
      <c r="Q155" s="24">
        <v>45908.412955219908</v>
      </c>
      <c r="R155" s="24"/>
      <c r="S155" s="24"/>
      <c r="T155" s="24"/>
      <c r="U155" s="24"/>
      <c r="V155" s="24"/>
      <c r="W155" s="24"/>
      <c r="X155" s="24"/>
      <c r="Y155" s="24">
        <v>45908.413288449075</v>
      </c>
      <c r="Z155" s="24"/>
      <c r="AA155" s="24"/>
      <c r="AB155" s="24"/>
      <c r="AC155" s="24"/>
      <c r="AD155" s="24"/>
      <c r="AE155" s="24"/>
      <c r="AF155" s="24"/>
      <c r="AG155" s="24">
        <v>46160.377809062498</v>
      </c>
    </row>
    <row r="156" spans="1:33" x14ac:dyDescent="0.3">
      <c r="A156" t="s">
        <v>1690</v>
      </c>
      <c r="C156" t="s">
        <v>124</v>
      </c>
      <c r="D156" s="24">
        <v>45838.507627314815</v>
      </c>
      <c r="E156" t="s">
        <v>90</v>
      </c>
      <c r="F156" t="s">
        <v>155</v>
      </c>
      <c r="G156" t="s">
        <v>248</v>
      </c>
      <c r="K156" t="s">
        <v>1001</v>
      </c>
      <c r="L156" s="24"/>
      <c r="M156" s="24"/>
      <c r="N156" s="24"/>
      <c r="O156" s="24"/>
      <c r="P156" s="24"/>
      <c r="Q156" s="24">
        <v>45926.517924594904</v>
      </c>
      <c r="R156" s="24"/>
      <c r="S156" s="24"/>
      <c r="T156" s="24"/>
      <c r="U156" s="24"/>
      <c r="V156" s="24"/>
      <c r="W156" s="24"/>
      <c r="X156" s="24"/>
      <c r="Y156" s="24">
        <v>45930.611643090277</v>
      </c>
      <c r="Z156" s="24"/>
      <c r="AA156" s="24"/>
      <c r="AB156" s="24"/>
      <c r="AC156" s="24"/>
      <c r="AD156" s="24"/>
      <c r="AE156" s="24"/>
      <c r="AF156" s="24"/>
      <c r="AG156" s="24">
        <v>46160.377809062498</v>
      </c>
    </row>
    <row r="157" spans="1:33" x14ac:dyDescent="0.3">
      <c r="A157" t="s">
        <v>1691</v>
      </c>
      <c r="C157" t="s">
        <v>124</v>
      </c>
      <c r="D157" s="24">
        <v>45838.507638888892</v>
      </c>
      <c r="E157" t="s">
        <v>90</v>
      </c>
      <c r="F157" t="s">
        <v>155</v>
      </c>
      <c r="G157" t="s">
        <v>250</v>
      </c>
      <c r="K157" t="s">
        <v>1001</v>
      </c>
      <c r="L157" s="24"/>
      <c r="M157" s="24"/>
      <c r="N157" s="24"/>
      <c r="O157" s="24"/>
      <c r="P157" s="24"/>
      <c r="Q157" s="24">
        <v>45905.465248437496</v>
      </c>
      <c r="R157" s="24"/>
      <c r="S157" s="24"/>
      <c r="T157" s="24"/>
      <c r="U157" s="24"/>
      <c r="V157" s="24"/>
      <c r="W157" s="24"/>
      <c r="X157" s="24"/>
      <c r="Y157" s="24">
        <v>45930.872874953704</v>
      </c>
      <c r="Z157" s="24"/>
      <c r="AA157" s="24"/>
      <c r="AB157" s="24"/>
      <c r="AC157" s="24"/>
      <c r="AD157" s="24"/>
      <c r="AE157" s="24"/>
      <c r="AF157" s="24"/>
      <c r="AG157" s="24">
        <v>46160.377809062498</v>
      </c>
    </row>
    <row r="158" spans="1:33" x14ac:dyDescent="0.3">
      <c r="A158" t="s">
        <v>1692</v>
      </c>
      <c r="C158" t="s">
        <v>124</v>
      </c>
      <c r="D158" s="24">
        <v>45838.507650462961</v>
      </c>
      <c r="E158" t="s">
        <v>90</v>
      </c>
      <c r="F158" t="s">
        <v>155</v>
      </c>
      <c r="G158" t="s">
        <v>249</v>
      </c>
      <c r="K158" t="s">
        <v>1001</v>
      </c>
      <c r="L158" s="24"/>
      <c r="M158" s="24"/>
      <c r="N158" s="24"/>
      <c r="O158" s="24"/>
      <c r="P158" s="24"/>
      <c r="Q158" s="24">
        <v>45930.613571354166</v>
      </c>
      <c r="R158" s="24"/>
      <c r="S158" s="24"/>
      <c r="T158" s="24"/>
      <c r="U158" s="24"/>
      <c r="V158" s="24"/>
      <c r="W158" s="24"/>
      <c r="X158" s="24"/>
      <c r="Y158" s="24">
        <v>45930.613906018516</v>
      </c>
      <c r="Z158" s="24"/>
      <c r="AA158" s="24"/>
      <c r="AB158" s="24"/>
      <c r="AC158" s="24"/>
      <c r="AD158" s="24"/>
      <c r="AE158" s="24"/>
      <c r="AF158" s="24"/>
      <c r="AG158" s="24">
        <v>46160.377809062498</v>
      </c>
    </row>
    <row r="159" spans="1:33" x14ac:dyDescent="0.3">
      <c r="A159" t="s">
        <v>1693</v>
      </c>
      <c r="C159" t="s">
        <v>124</v>
      </c>
      <c r="D159" s="24">
        <v>45838.507662037038</v>
      </c>
      <c r="E159" t="s">
        <v>90</v>
      </c>
      <c r="F159" t="s">
        <v>155</v>
      </c>
      <c r="G159" t="s">
        <v>248</v>
      </c>
      <c r="K159" t="s">
        <v>1001</v>
      </c>
      <c r="L159" s="24"/>
      <c r="M159" s="24"/>
      <c r="N159" s="24"/>
      <c r="O159" s="24"/>
      <c r="P159" s="24"/>
      <c r="Q159" s="24">
        <v>45838.509557754631</v>
      </c>
      <c r="R159" s="24"/>
      <c r="S159" s="24"/>
      <c r="T159" s="24"/>
      <c r="U159" s="24"/>
      <c r="V159" s="24"/>
      <c r="W159" s="24"/>
      <c r="X159" s="24"/>
      <c r="Y159" s="24">
        <v>45930.875379502315</v>
      </c>
      <c r="Z159" s="24"/>
      <c r="AA159" s="24"/>
      <c r="AB159" s="24"/>
      <c r="AC159" s="24"/>
      <c r="AD159" s="24"/>
      <c r="AE159" s="24"/>
      <c r="AF159" s="24"/>
      <c r="AG159" s="24">
        <v>46160.377809062498</v>
      </c>
    </row>
    <row r="160" spans="1:33" x14ac:dyDescent="0.3">
      <c r="A160" t="s">
        <v>1694</v>
      </c>
      <c r="C160" t="s">
        <v>124</v>
      </c>
      <c r="D160" s="24">
        <v>45838.507673611108</v>
      </c>
      <c r="E160" t="s">
        <v>90</v>
      </c>
      <c r="F160" t="s">
        <v>155</v>
      </c>
      <c r="G160" t="s">
        <v>248</v>
      </c>
      <c r="K160" t="s">
        <v>1001</v>
      </c>
      <c r="L160" s="24"/>
      <c r="M160" s="24"/>
      <c r="N160" s="24"/>
      <c r="O160" s="24"/>
      <c r="P160" s="24"/>
      <c r="Q160" s="24">
        <v>45911.443726562502</v>
      </c>
      <c r="R160" s="24"/>
      <c r="S160" s="24"/>
      <c r="T160" s="24"/>
      <c r="U160" s="24"/>
      <c r="V160" s="24"/>
      <c r="W160" s="24"/>
      <c r="X160" s="24"/>
      <c r="Y160" s="24">
        <v>46029.61916761574</v>
      </c>
      <c r="Z160" s="24"/>
      <c r="AA160" s="24"/>
      <c r="AB160" s="24"/>
      <c r="AC160" s="24"/>
      <c r="AD160" s="24"/>
      <c r="AE160" s="24"/>
      <c r="AF160" s="24"/>
      <c r="AG160" s="24">
        <v>46160.377809062498</v>
      </c>
    </row>
    <row r="161" spans="1:33" x14ac:dyDescent="0.3">
      <c r="A161" t="s">
        <v>1695</v>
      </c>
      <c r="C161" t="s">
        <v>124</v>
      </c>
      <c r="D161" s="24">
        <v>45838.507685185185</v>
      </c>
      <c r="E161" t="s">
        <v>90</v>
      </c>
      <c r="F161" t="s">
        <v>155</v>
      </c>
      <c r="G161" t="s">
        <v>250</v>
      </c>
      <c r="K161" t="s">
        <v>1001</v>
      </c>
      <c r="L161" s="24"/>
      <c r="M161" s="24"/>
      <c r="N161" s="24"/>
      <c r="O161" s="24"/>
      <c r="P161" s="24"/>
      <c r="Q161" s="24">
        <v>45930.673973773148</v>
      </c>
      <c r="R161" s="24"/>
      <c r="S161" s="24"/>
      <c r="T161" s="24"/>
      <c r="U161" s="24"/>
      <c r="V161" s="24"/>
      <c r="W161" s="24"/>
      <c r="X161" s="24"/>
      <c r="Y161" s="24">
        <v>45930.674175555556</v>
      </c>
      <c r="Z161" s="24"/>
      <c r="AA161" s="24"/>
      <c r="AB161" s="24"/>
      <c r="AC161" s="24"/>
      <c r="AD161" s="24"/>
      <c r="AE161" s="24"/>
      <c r="AF161" s="24"/>
      <c r="AG161" s="24">
        <v>46160.377809062498</v>
      </c>
    </row>
    <row r="162" spans="1:33" x14ac:dyDescent="0.3">
      <c r="A162" t="s">
        <v>1696</v>
      </c>
      <c r="C162" t="s">
        <v>124</v>
      </c>
      <c r="D162" s="24">
        <v>45838.507696759261</v>
      </c>
      <c r="E162" t="s">
        <v>90</v>
      </c>
      <c r="F162" t="s">
        <v>155</v>
      </c>
      <c r="G162" t="s">
        <v>248</v>
      </c>
      <c r="K162" t="s">
        <v>1001</v>
      </c>
      <c r="L162" s="24"/>
      <c r="M162" s="24"/>
      <c r="N162" s="24"/>
      <c r="O162" s="24"/>
      <c r="P162" s="24"/>
      <c r="Q162" s="24">
        <v>45926.546624351853</v>
      </c>
      <c r="R162" s="24"/>
      <c r="S162" s="24"/>
      <c r="T162" s="24"/>
      <c r="U162" s="24"/>
      <c r="V162" s="24"/>
      <c r="W162" s="24"/>
      <c r="X162" s="24"/>
      <c r="Y162" s="24">
        <v>45926.546660972221</v>
      </c>
      <c r="Z162" s="24"/>
      <c r="AA162" s="24"/>
      <c r="AB162" s="24"/>
      <c r="AC162" s="24"/>
      <c r="AD162" s="24"/>
      <c r="AE162" s="24"/>
      <c r="AF162" s="24"/>
      <c r="AG162" s="24">
        <v>46160.377809062498</v>
      </c>
    </row>
    <row r="163" spans="1:33" x14ac:dyDescent="0.3">
      <c r="A163" t="s">
        <v>1697</v>
      </c>
      <c r="C163" t="s">
        <v>124</v>
      </c>
      <c r="D163" s="24">
        <v>45838.512962962966</v>
      </c>
      <c r="E163" t="s">
        <v>90</v>
      </c>
      <c r="F163" t="s">
        <v>155</v>
      </c>
      <c r="K163" t="s">
        <v>1001</v>
      </c>
      <c r="L163" s="24"/>
      <c r="M163" s="24"/>
      <c r="N163" s="24"/>
      <c r="O163" s="24"/>
      <c r="P163" s="24"/>
      <c r="Q163" s="24">
        <v>45838.513955486109</v>
      </c>
      <c r="R163" s="24"/>
      <c r="S163" s="24"/>
      <c r="T163" s="24"/>
      <c r="U163" s="24"/>
      <c r="V163" s="24"/>
      <c r="W163" s="24"/>
      <c r="X163" s="24"/>
      <c r="Y163" s="24">
        <v>45930.614264537035</v>
      </c>
      <c r="Z163" s="24"/>
      <c r="AA163" s="24"/>
      <c r="AB163" s="24"/>
      <c r="AC163" s="24"/>
      <c r="AD163" s="24"/>
      <c r="AE163" s="24"/>
      <c r="AF163" s="24"/>
      <c r="AG163" s="24">
        <v>46160.377809062498</v>
      </c>
    </row>
    <row r="164" spans="1:33" x14ac:dyDescent="0.3">
      <c r="A164" t="s">
        <v>1082</v>
      </c>
      <c r="C164" t="s">
        <v>123</v>
      </c>
      <c r="D164" s="24">
        <v>45912.556944444441</v>
      </c>
      <c r="E164" t="s">
        <v>90</v>
      </c>
      <c r="F164" t="s">
        <v>155</v>
      </c>
      <c r="K164" t="s">
        <v>1000</v>
      </c>
      <c r="L164" s="24"/>
      <c r="M164" s="24"/>
      <c r="N164" s="24"/>
      <c r="O164" s="24"/>
      <c r="P164" s="24"/>
      <c r="Q164" s="24">
        <v>45912.558613055553</v>
      </c>
      <c r="R164" s="24"/>
      <c r="S164" s="24"/>
      <c r="T164" s="24"/>
      <c r="U164" s="24"/>
      <c r="V164" s="24"/>
      <c r="W164" s="24"/>
      <c r="X164" s="24"/>
      <c r="Y164" s="24">
        <v>46028.411015810183</v>
      </c>
      <c r="Z164" s="24"/>
      <c r="AA164" s="24"/>
      <c r="AB164" s="24"/>
      <c r="AC164" s="24"/>
      <c r="AD164" s="24"/>
      <c r="AE164" s="24"/>
      <c r="AF164" s="24"/>
      <c r="AG164" s="24">
        <v>46160.377809062498</v>
      </c>
    </row>
    <row r="165" spans="1:33" x14ac:dyDescent="0.3">
      <c r="A165" t="s">
        <v>1083</v>
      </c>
      <c r="C165" t="s">
        <v>123</v>
      </c>
      <c r="D165" s="24">
        <v>45926.599097222221</v>
      </c>
      <c r="E165" t="s">
        <v>90</v>
      </c>
      <c r="F165" t="s">
        <v>155</v>
      </c>
      <c r="K165" t="s">
        <v>1000</v>
      </c>
      <c r="L165" s="24"/>
      <c r="M165" s="24"/>
      <c r="N165" s="24"/>
      <c r="O165" s="24"/>
      <c r="P165" s="24"/>
      <c r="Q165" s="24">
        <v>45930.471510405092</v>
      </c>
      <c r="R165" s="24"/>
      <c r="S165" s="24"/>
      <c r="T165" s="24"/>
      <c r="U165" s="24"/>
      <c r="V165" s="24"/>
      <c r="W165" s="24"/>
      <c r="X165" s="24"/>
      <c r="Y165" s="24">
        <v>46028.723656296293</v>
      </c>
      <c r="Z165" s="24"/>
      <c r="AA165" s="24"/>
      <c r="AB165" s="24"/>
      <c r="AC165" s="24"/>
      <c r="AD165" s="24"/>
      <c r="AE165" s="24"/>
      <c r="AF165" s="24"/>
      <c r="AG165" s="24">
        <v>46160.377809062498</v>
      </c>
    </row>
    <row r="166" spans="1:33" x14ac:dyDescent="0.3">
      <c r="A166" t="s">
        <v>1084</v>
      </c>
      <c r="C166" t="s">
        <v>123</v>
      </c>
      <c r="D166" s="24">
        <v>45929.756562499999</v>
      </c>
      <c r="E166" t="s">
        <v>90</v>
      </c>
      <c r="F166" t="s">
        <v>155</v>
      </c>
      <c r="G166" t="s">
        <v>248</v>
      </c>
      <c r="K166" t="s">
        <v>1000</v>
      </c>
      <c r="L166" s="24"/>
      <c r="M166" s="24"/>
      <c r="N166" s="24"/>
      <c r="O166" s="24"/>
      <c r="P166" s="24"/>
      <c r="Q166" s="24">
        <v>45930.480461944448</v>
      </c>
      <c r="R166" s="24"/>
      <c r="S166" s="24"/>
      <c r="T166" s="24"/>
      <c r="U166" s="24"/>
      <c r="V166" s="24"/>
      <c r="W166" s="24"/>
      <c r="X166" s="24"/>
      <c r="Y166" s="24">
        <v>46028.723103842596</v>
      </c>
      <c r="Z166" s="24"/>
      <c r="AA166" s="24"/>
      <c r="AB166" s="24"/>
      <c r="AC166" s="24"/>
      <c r="AD166" s="24"/>
      <c r="AE166" s="24"/>
      <c r="AF166" s="24"/>
      <c r="AG166" s="24">
        <v>46160.377809062498</v>
      </c>
    </row>
    <row r="167" spans="1:33" x14ac:dyDescent="0.3">
      <c r="A167" t="s">
        <v>1085</v>
      </c>
      <c r="C167" t="s">
        <v>123</v>
      </c>
      <c r="D167" s="24">
        <v>45929.756574074076</v>
      </c>
      <c r="E167" t="s">
        <v>90</v>
      </c>
      <c r="F167" t="s">
        <v>155</v>
      </c>
      <c r="G167" t="s">
        <v>248</v>
      </c>
      <c r="K167" t="s">
        <v>1000</v>
      </c>
      <c r="L167" s="24"/>
      <c r="M167" s="24"/>
      <c r="N167" s="24"/>
      <c r="O167" s="24"/>
      <c r="P167" s="24"/>
      <c r="Q167" s="24">
        <v>45995.565678078703</v>
      </c>
      <c r="R167" s="24"/>
      <c r="S167" s="24"/>
      <c r="T167" s="24"/>
      <c r="U167" s="24"/>
      <c r="V167" s="24"/>
      <c r="W167" s="24"/>
      <c r="X167" s="24"/>
      <c r="Y167" s="24">
        <v>45995.567487696761</v>
      </c>
      <c r="Z167" s="24"/>
      <c r="AA167" s="24"/>
      <c r="AB167" s="24"/>
      <c r="AC167" s="24"/>
      <c r="AD167" s="24"/>
      <c r="AE167" s="24"/>
      <c r="AF167" s="24"/>
      <c r="AG167" s="24">
        <v>46160.377809062498</v>
      </c>
    </row>
    <row r="168" spans="1:33" x14ac:dyDescent="0.3">
      <c r="A168" t="s">
        <v>1086</v>
      </c>
      <c r="C168" t="s">
        <v>123</v>
      </c>
      <c r="D168" s="24">
        <v>45929.756574074076</v>
      </c>
      <c r="E168" t="s">
        <v>90</v>
      </c>
      <c r="F168" t="s">
        <v>155</v>
      </c>
      <c r="G168" t="s">
        <v>249</v>
      </c>
      <c r="K168" t="s">
        <v>1000</v>
      </c>
      <c r="L168" s="24"/>
      <c r="M168" s="24"/>
      <c r="N168" s="24"/>
      <c r="O168" s="24"/>
      <c r="P168" s="24"/>
      <c r="Q168" s="24">
        <v>45986.585575324076</v>
      </c>
      <c r="R168" s="24"/>
      <c r="S168" s="24"/>
      <c r="T168" s="24"/>
      <c r="U168" s="24"/>
      <c r="V168" s="24"/>
      <c r="W168" s="24"/>
      <c r="X168" s="24"/>
      <c r="Y168" s="24">
        <v>46009.604761655093</v>
      </c>
      <c r="Z168" s="24"/>
      <c r="AA168" s="24"/>
      <c r="AB168" s="24"/>
      <c r="AC168" s="24"/>
      <c r="AD168" s="24"/>
      <c r="AE168" s="24"/>
      <c r="AF168" s="24"/>
      <c r="AG168" s="24">
        <v>46160.377809062498</v>
      </c>
    </row>
    <row r="169" spans="1:33" x14ac:dyDescent="0.3">
      <c r="A169" t="s">
        <v>1087</v>
      </c>
      <c r="C169" t="s">
        <v>123</v>
      </c>
      <c r="D169" s="24">
        <v>45929.756585648145</v>
      </c>
      <c r="E169" t="s">
        <v>153</v>
      </c>
      <c r="F169" t="s">
        <v>155</v>
      </c>
      <c r="G169" t="s">
        <v>249</v>
      </c>
      <c r="K169" t="s">
        <v>1000</v>
      </c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>
        <v>46000.413619861109</v>
      </c>
      <c r="AC169" s="24"/>
      <c r="AD169" s="24"/>
      <c r="AE169" s="24"/>
      <c r="AF169" s="24"/>
      <c r="AG169" s="24">
        <v>46160.377809062498</v>
      </c>
    </row>
    <row r="170" spans="1:33" x14ac:dyDescent="0.3">
      <c r="A170" t="s">
        <v>1088</v>
      </c>
      <c r="C170" t="s">
        <v>123</v>
      </c>
      <c r="D170" s="24">
        <v>45929.756597222222</v>
      </c>
      <c r="E170" t="s">
        <v>90</v>
      </c>
      <c r="F170" t="s">
        <v>155</v>
      </c>
      <c r="G170" t="s">
        <v>248</v>
      </c>
      <c r="K170" t="s">
        <v>1000</v>
      </c>
      <c r="L170" s="24"/>
      <c r="M170" s="24"/>
      <c r="N170" s="24"/>
      <c r="O170" s="24"/>
      <c r="P170" s="24"/>
      <c r="Q170" s="24">
        <v>45959.324083263891</v>
      </c>
      <c r="R170" s="24"/>
      <c r="S170" s="24"/>
      <c r="T170" s="24"/>
      <c r="U170" s="24"/>
      <c r="V170" s="24"/>
      <c r="W170" s="24"/>
      <c r="X170" s="24"/>
      <c r="Y170" s="24">
        <v>46009.604608819442</v>
      </c>
      <c r="Z170" s="24"/>
      <c r="AA170" s="24"/>
      <c r="AB170" s="24"/>
      <c r="AC170" s="24"/>
      <c r="AD170" s="24"/>
      <c r="AE170" s="24"/>
      <c r="AF170" s="24"/>
      <c r="AG170" s="24">
        <v>46160.377809062498</v>
      </c>
    </row>
    <row r="171" spans="1:33" x14ac:dyDescent="0.3">
      <c r="A171" t="s">
        <v>1089</v>
      </c>
      <c r="C171" t="s">
        <v>123</v>
      </c>
      <c r="D171" s="24">
        <v>45929.756608796299</v>
      </c>
      <c r="E171" t="s">
        <v>90</v>
      </c>
      <c r="F171" t="s">
        <v>155</v>
      </c>
      <c r="G171" t="s">
        <v>248</v>
      </c>
      <c r="K171" t="s">
        <v>1000</v>
      </c>
      <c r="L171" s="24"/>
      <c r="M171" s="24"/>
      <c r="N171" s="24"/>
      <c r="O171" s="24"/>
      <c r="P171" s="24"/>
      <c r="Q171" s="24">
        <v>45930.521691631948</v>
      </c>
      <c r="R171" s="24"/>
      <c r="S171" s="24"/>
      <c r="T171" s="24"/>
      <c r="U171" s="24"/>
      <c r="V171" s="24"/>
      <c r="W171" s="24"/>
      <c r="X171" s="24"/>
      <c r="Y171" s="24">
        <v>46009.603982303241</v>
      </c>
      <c r="Z171" s="24"/>
      <c r="AA171" s="24"/>
      <c r="AB171" s="24"/>
      <c r="AC171" s="24"/>
      <c r="AD171" s="24"/>
      <c r="AE171" s="24"/>
      <c r="AF171" s="24"/>
      <c r="AG171" s="24">
        <v>46160.377809062498</v>
      </c>
    </row>
    <row r="172" spans="1:33" x14ac:dyDescent="0.3">
      <c r="A172" t="s">
        <v>1698</v>
      </c>
      <c r="C172" t="s">
        <v>123</v>
      </c>
      <c r="D172" s="24">
        <v>45929.757592592592</v>
      </c>
      <c r="E172" t="s">
        <v>90</v>
      </c>
      <c r="F172" t="s">
        <v>155</v>
      </c>
      <c r="G172" t="s">
        <v>248</v>
      </c>
      <c r="K172" t="s">
        <v>1001</v>
      </c>
      <c r="L172" s="24"/>
      <c r="M172" s="24"/>
      <c r="N172" s="24"/>
      <c r="O172" s="24"/>
      <c r="P172" s="24"/>
      <c r="Q172" s="24">
        <v>45987.550191562499</v>
      </c>
      <c r="R172" s="24"/>
      <c r="S172" s="24"/>
      <c r="T172" s="24"/>
      <c r="U172" s="24"/>
      <c r="V172" s="24"/>
      <c r="W172" s="24"/>
      <c r="X172" s="24"/>
      <c r="Y172" s="24">
        <v>46009.371565358793</v>
      </c>
      <c r="Z172" s="24"/>
      <c r="AA172" s="24"/>
      <c r="AB172" s="24"/>
      <c r="AC172" s="24"/>
      <c r="AD172" s="24"/>
      <c r="AE172" s="24"/>
      <c r="AF172" s="24"/>
      <c r="AG172" s="24">
        <v>46160.377809062498</v>
      </c>
    </row>
    <row r="173" spans="1:33" x14ac:dyDescent="0.3">
      <c r="A173" t="s">
        <v>1699</v>
      </c>
      <c r="C173" t="s">
        <v>123</v>
      </c>
      <c r="D173" s="24">
        <v>45929.757604166669</v>
      </c>
      <c r="E173" t="s">
        <v>89</v>
      </c>
      <c r="F173" t="s">
        <v>89</v>
      </c>
      <c r="G173" t="s">
        <v>248</v>
      </c>
      <c r="K173" t="s">
        <v>1001</v>
      </c>
      <c r="L173" s="24"/>
      <c r="M173" s="24"/>
      <c r="N173" s="24"/>
      <c r="O173" s="24"/>
      <c r="P173" s="24"/>
      <c r="Q173" s="24">
        <v>46009.371790925929</v>
      </c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>
        <v>46160.377809062498</v>
      </c>
    </row>
    <row r="174" spans="1:33" x14ac:dyDescent="0.3">
      <c r="A174" t="s">
        <v>1700</v>
      </c>
      <c r="C174" t="s">
        <v>123</v>
      </c>
      <c r="D174" s="24">
        <v>45929.757604166669</v>
      </c>
      <c r="E174" t="s">
        <v>90</v>
      </c>
      <c r="F174" t="s">
        <v>155</v>
      </c>
      <c r="G174" t="s">
        <v>248</v>
      </c>
      <c r="K174" t="s">
        <v>1001</v>
      </c>
      <c r="L174" s="24"/>
      <c r="M174" s="24"/>
      <c r="N174" s="24"/>
      <c r="O174" s="24"/>
      <c r="P174" s="24"/>
      <c r="Q174" s="24">
        <v>45966.451632766206</v>
      </c>
      <c r="R174" s="24"/>
      <c r="S174" s="24"/>
      <c r="T174" s="24"/>
      <c r="U174" s="24"/>
      <c r="V174" s="24"/>
      <c r="W174" s="24"/>
      <c r="X174" s="24"/>
      <c r="Y174" s="24">
        <v>46029.619103819445</v>
      </c>
      <c r="Z174" s="24"/>
      <c r="AA174" s="24"/>
      <c r="AB174" s="24"/>
      <c r="AC174" s="24"/>
      <c r="AD174" s="24"/>
      <c r="AE174" s="24"/>
      <c r="AF174" s="24"/>
      <c r="AG174" s="24">
        <v>46160.377809062498</v>
      </c>
    </row>
    <row r="175" spans="1:33" x14ac:dyDescent="0.3">
      <c r="A175" t="s">
        <v>1701</v>
      </c>
      <c r="C175" t="s">
        <v>123</v>
      </c>
      <c r="D175" s="24">
        <v>45929.757615740738</v>
      </c>
      <c r="E175" t="s">
        <v>90</v>
      </c>
      <c r="F175" t="s">
        <v>155</v>
      </c>
      <c r="G175" t="s">
        <v>248</v>
      </c>
      <c r="K175" t="s">
        <v>1001</v>
      </c>
      <c r="L175" s="24"/>
      <c r="M175" s="24"/>
      <c r="N175" s="24"/>
      <c r="O175" s="24"/>
      <c r="P175" s="24"/>
      <c r="Q175" s="24">
        <v>45987.559852627317</v>
      </c>
      <c r="R175" s="24"/>
      <c r="S175" s="24"/>
      <c r="T175" s="24"/>
      <c r="U175" s="24"/>
      <c r="V175" s="24"/>
      <c r="W175" s="24"/>
      <c r="X175" s="24"/>
      <c r="Y175" s="24">
        <v>46009.589989560183</v>
      </c>
      <c r="Z175" s="24"/>
      <c r="AA175" s="24"/>
      <c r="AB175" s="24"/>
      <c r="AC175" s="24"/>
      <c r="AD175" s="24"/>
      <c r="AE175" s="24"/>
      <c r="AF175" s="24"/>
      <c r="AG175" s="24">
        <v>46160.377809062498</v>
      </c>
    </row>
    <row r="176" spans="1:33" x14ac:dyDescent="0.3">
      <c r="A176" t="s">
        <v>1702</v>
      </c>
      <c r="C176" t="s">
        <v>123</v>
      </c>
      <c r="D176" s="24">
        <v>45929.757627314815</v>
      </c>
      <c r="E176" t="s">
        <v>90</v>
      </c>
      <c r="F176" t="s">
        <v>155</v>
      </c>
      <c r="G176" t="s">
        <v>248</v>
      </c>
      <c r="K176" t="s">
        <v>1001</v>
      </c>
      <c r="L176" s="24"/>
      <c r="M176" s="24"/>
      <c r="N176" s="24"/>
      <c r="O176" s="24"/>
      <c r="P176" s="24"/>
      <c r="Q176" s="24">
        <v>45993.415107106484</v>
      </c>
      <c r="R176" s="24"/>
      <c r="S176" s="24"/>
      <c r="T176" s="24"/>
      <c r="U176" s="24"/>
      <c r="V176" s="24"/>
      <c r="W176" s="24"/>
      <c r="X176" s="24"/>
      <c r="Y176" s="24">
        <v>45993.415283113427</v>
      </c>
      <c r="Z176" s="24"/>
      <c r="AA176" s="24"/>
      <c r="AB176" s="24"/>
      <c r="AC176" s="24"/>
      <c r="AD176" s="24"/>
      <c r="AE176" s="24"/>
      <c r="AF176" s="24"/>
      <c r="AG176" s="24">
        <v>46160.377809062498</v>
      </c>
    </row>
    <row r="177" spans="1:33" x14ac:dyDescent="0.3">
      <c r="A177" t="s">
        <v>1703</v>
      </c>
      <c r="C177" t="s">
        <v>123</v>
      </c>
      <c r="D177" s="24">
        <v>45929.757638888892</v>
      </c>
      <c r="E177" t="s">
        <v>90</v>
      </c>
      <c r="F177" t="s">
        <v>155</v>
      </c>
      <c r="G177" t="s">
        <v>248</v>
      </c>
      <c r="K177" t="s">
        <v>1001</v>
      </c>
      <c r="L177" s="24"/>
      <c r="M177" s="24"/>
      <c r="N177" s="24"/>
      <c r="O177" s="24"/>
      <c r="P177" s="24"/>
      <c r="Q177" s="24">
        <v>45987.545074201385</v>
      </c>
      <c r="R177" s="24"/>
      <c r="S177" s="24"/>
      <c r="T177" s="24"/>
      <c r="U177" s="24"/>
      <c r="V177" s="24"/>
      <c r="W177" s="24"/>
      <c r="X177" s="24"/>
      <c r="Y177" s="24">
        <v>45993.410920891205</v>
      </c>
      <c r="Z177" s="24"/>
      <c r="AA177" s="24"/>
      <c r="AB177" s="24"/>
      <c r="AC177" s="24"/>
      <c r="AD177" s="24"/>
      <c r="AE177" s="24"/>
      <c r="AF177" s="24"/>
      <c r="AG177" s="24">
        <v>46160.377809062498</v>
      </c>
    </row>
    <row r="178" spans="1:33" x14ac:dyDescent="0.3">
      <c r="A178" t="s">
        <v>1704</v>
      </c>
      <c r="C178" t="s">
        <v>123</v>
      </c>
      <c r="D178" s="24">
        <v>45929.757650462961</v>
      </c>
      <c r="E178" t="s">
        <v>90</v>
      </c>
      <c r="F178" t="s">
        <v>155</v>
      </c>
      <c r="G178" t="s">
        <v>250</v>
      </c>
      <c r="K178" t="s">
        <v>1001</v>
      </c>
      <c r="L178" s="24"/>
      <c r="M178" s="24"/>
      <c r="N178" s="24"/>
      <c r="O178" s="24"/>
      <c r="P178" s="24"/>
      <c r="Q178" s="24">
        <v>45993.408997361112</v>
      </c>
      <c r="R178" s="24"/>
      <c r="S178" s="24"/>
      <c r="T178" s="24"/>
      <c r="U178" s="24"/>
      <c r="V178" s="24"/>
      <c r="W178" s="24"/>
      <c r="X178" s="24"/>
      <c r="Y178" s="24">
        <v>46029.622062847222</v>
      </c>
      <c r="Z178" s="24"/>
      <c r="AA178" s="24"/>
      <c r="AB178" s="24"/>
      <c r="AC178" s="24"/>
      <c r="AD178" s="24"/>
      <c r="AE178" s="24"/>
      <c r="AF178" s="24"/>
      <c r="AG178" s="24">
        <v>46160.377809062498</v>
      </c>
    </row>
    <row r="179" spans="1:33" x14ac:dyDescent="0.3">
      <c r="A179" t="s">
        <v>1705</v>
      </c>
      <c r="C179" t="s">
        <v>123</v>
      </c>
      <c r="D179" s="24">
        <v>45929.757650462961</v>
      </c>
      <c r="E179" t="s">
        <v>90</v>
      </c>
      <c r="F179" t="s">
        <v>155</v>
      </c>
      <c r="G179" t="s">
        <v>248</v>
      </c>
      <c r="K179" t="s">
        <v>1001</v>
      </c>
      <c r="L179" s="24"/>
      <c r="M179" s="24"/>
      <c r="N179" s="24"/>
      <c r="O179" s="24"/>
      <c r="P179" s="24"/>
      <c r="Q179" s="24">
        <v>45961.445196562498</v>
      </c>
      <c r="R179" s="24"/>
      <c r="S179" s="24"/>
      <c r="T179" s="24"/>
      <c r="U179" s="24"/>
      <c r="V179" s="24"/>
      <c r="W179" s="24"/>
      <c r="X179" s="24"/>
      <c r="Y179" s="24">
        <v>46009.368695763886</v>
      </c>
      <c r="Z179" s="24"/>
      <c r="AA179" s="24"/>
      <c r="AB179" s="24"/>
      <c r="AC179" s="24"/>
      <c r="AD179" s="24"/>
      <c r="AE179" s="24"/>
      <c r="AF179" s="24"/>
      <c r="AG179" s="24">
        <v>46160.377809062498</v>
      </c>
    </row>
    <row r="180" spans="1:33" x14ac:dyDescent="0.3">
      <c r="A180" t="s">
        <v>1706</v>
      </c>
      <c r="C180" t="s">
        <v>123</v>
      </c>
      <c r="D180" s="24">
        <v>45929.757662037038</v>
      </c>
      <c r="E180" t="s">
        <v>90</v>
      </c>
      <c r="F180" t="s">
        <v>155</v>
      </c>
      <c r="G180" t="s">
        <v>248</v>
      </c>
      <c r="K180" t="s">
        <v>1001</v>
      </c>
      <c r="L180" s="24"/>
      <c r="M180" s="24"/>
      <c r="N180" s="24"/>
      <c r="O180" s="24"/>
      <c r="P180" s="24"/>
      <c r="Q180" s="24">
        <v>45937.664848599539</v>
      </c>
      <c r="R180" s="24"/>
      <c r="S180" s="24"/>
      <c r="T180" s="24"/>
      <c r="U180" s="24"/>
      <c r="V180" s="24"/>
      <c r="W180" s="24"/>
      <c r="X180" s="24"/>
      <c r="Y180" s="24">
        <v>46029.619051782407</v>
      </c>
      <c r="Z180" s="24"/>
      <c r="AA180" s="24"/>
      <c r="AB180" s="24"/>
      <c r="AC180" s="24"/>
      <c r="AD180" s="24"/>
      <c r="AE180" s="24"/>
      <c r="AF180" s="24"/>
      <c r="AG180" s="24">
        <v>46160.377809062498</v>
      </c>
    </row>
    <row r="181" spans="1:33" x14ac:dyDescent="0.3">
      <c r="A181" t="s">
        <v>1707</v>
      </c>
      <c r="C181" t="s">
        <v>123</v>
      </c>
      <c r="D181" s="24">
        <v>45929.757673611108</v>
      </c>
      <c r="E181" t="s">
        <v>90</v>
      </c>
      <c r="F181" t="s">
        <v>155</v>
      </c>
      <c r="G181" t="s">
        <v>248</v>
      </c>
      <c r="K181" t="s">
        <v>1001</v>
      </c>
      <c r="L181" s="24"/>
      <c r="M181" s="24"/>
      <c r="N181" s="24"/>
      <c r="O181" s="24"/>
      <c r="P181" s="24"/>
      <c r="Q181" s="24">
        <v>45987.542400972219</v>
      </c>
      <c r="R181" s="24"/>
      <c r="S181" s="24"/>
      <c r="T181" s="24"/>
      <c r="U181" s="24"/>
      <c r="V181" s="24"/>
      <c r="W181" s="24"/>
      <c r="X181" s="24"/>
      <c r="Y181" s="24">
        <v>45993.302654814812</v>
      </c>
      <c r="Z181" s="24"/>
      <c r="AA181" s="24"/>
      <c r="AB181" s="24"/>
      <c r="AC181" s="24"/>
      <c r="AD181" s="24"/>
      <c r="AE181" s="24"/>
      <c r="AF181" s="24"/>
      <c r="AG181" s="24">
        <v>46160.377809062498</v>
      </c>
    </row>
    <row r="182" spans="1:33" x14ac:dyDescent="0.3">
      <c r="A182" t="s">
        <v>1708</v>
      </c>
      <c r="C182" t="s">
        <v>123</v>
      </c>
      <c r="D182" s="24">
        <v>45929.757685185185</v>
      </c>
      <c r="E182" t="s">
        <v>150</v>
      </c>
      <c r="F182" t="s">
        <v>155</v>
      </c>
      <c r="G182" t="s">
        <v>248</v>
      </c>
      <c r="K182" t="s">
        <v>1001</v>
      </c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>
        <v>45993.610642500003</v>
      </c>
      <c r="X182" s="24"/>
      <c r="Y182" s="24"/>
      <c r="Z182" s="24"/>
      <c r="AA182" s="24"/>
      <c r="AB182" s="24"/>
      <c r="AC182" s="24"/>
      <c r="AD182" s="24"/>
      <c r="AE182" s="24"/>
      <c r="AF182" s="24"/>
      <c r="AG182" s="24">
        <v>46160.377809062498</v>
      </c>
    </row>
    <row r="183" spans="1:33" x14ac:dyDescent="0.3">
      <c r="A183" t="s">
        <v>1709</v>
      </c>
      <c r="C183" t="s">
        <v>123</v>
      </c>
      <c r="D183" s="24">
        <v>45929.757696759261</v>
      </c>
      <c r="E183" t="s">
        <v>150</v>
      </c>
      <c r="F183" t="s">
        <v>155</v>
      </c>
      <c r="G183" t="s">
        <v>250</v>
      </c>
      <c r="K183" t="s">
        <v>1001</v>
      </c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>
        <v>45987.540509085651</v>
      </c>
      <c r="X183" s="24"/>
      <c r="Y183" s="24"/>
      <c r="Z183" s="24"/>
      <c r="AA183" s="24"/>
      <c r="AB183" s="24"/>
      <c r="AC183" s="24"/>
      <c r="AD183" s="24"/>
      <c r="AE183" s="24"/>
      <c r="AF183" s="24"/>
      <c r="AG183" s="24">
        <v>46160.377809062498</v>
      </c>
    </row>
    <row r="184" spans="1:33" x14ac:dyDescent="0.3">
      <c r="A184" t="s">
        <v>1710</v>
      </c>
      <c r="C184" t="s">
        <v>123</v>
      </c>
      <c r="D184" s="24">
        <v>45929.757696759261</v>
      </c>
      <c r="E184" t="s">
        <v>90</v>
      </c>
      <c r="F184" t="s">
        <v>155</v>
      </c>
      <c r="G184" t="s">
        <v>248</v>
      </c>
      <c r="K184" t="s">
        <v>1001</v>
      </c>
      <c r="L184" s="24"/>
      <c r="M184" s="24"/>
      <c r="N184" s="24"/>
      <c r="O184" s="24"/>
      <c r="P184" s="24"/>
      <c r="Q184" s="24">
        <v>45932.654288136575</v>
      </c>
      <c r="R184" s="24"/>
      <c r="S184" s="24"/>
      <c r="T184" s="24"/>
      <c r="U184" s="24"/>
      <c r="V184" s="24"/>
      <c r="W184" s="24"/>
      <c r="X184" s="24"/>
      <c r="Y184" s="24">
        <v>45987.532828958334</v>
      </c>
      <c r="Z184" s="24"/>
      <c r="AA184" s="24"/>
      <c r="AB184" s="24"/>
      <c r="AC184" s="24"/>
      <c r="AD184" s="24"/>
      <c r="AE184" s="24"/>
      <c r="AF184" s="24"/>
      <c r="AG184" s="24">
        <v>46160.377809062498</v>
      </c>
    </row>
    <row r="185" spans="1:33" x14ac:dyDescent="0.3">
      <c r="A185" t="s">
        <v>1711</v>
      </c>
      <c r="C185" t="s">
        <v>123</v>
      </c>
      <c r="D185" s="24">
        <v>45929.757708333331</v>
      </c>
      <c r="E185" t="s">
        <v>150</v>
      </c>
      <c r="F185" t="s">
        <v>155</v>
      </c>
      <c r="G185" t="s">
        <v>250</v>
      </c>
      <c r="K185" t="s">
        <v>1001</v>
      </c>
      <c r="L185" s="24"/>
      <c r="M185" s="24"/>
      <c r="N185" s="24"/>
      <c r="O185" s="24"/>
      <c r="P185" s="24"/>
      <c r="Q185" s="24">
        <v>45987.532290868054</v>
      </c>
      <c r="R185" s="24"/>
      <c r="S185" s="24"/>
      <c r="T185" s="24"/>
      <c r="U185" s="24"/>
      <c r="V185" s="24"/>
      <c r="W185" s="24">
        <v>46009.372788333334</v>
      </c>
      <c r="X185" s="24"/>
      <c r="Y185" s="24"/>
      <c r="Z185" s="24"/>
      <c r="AA185" s="24"/>
      <c r="AB185" s="24"/>
      <c r="AC185" s="24"/>
      <c r="AD185" s="24"/>
      <c r="AE185" s="24"/>
      <c r="AF185" s="24"/>
      <c r="AG185" s="24">
        <v>46160.377809062498</v>
      </c>
    </row>
    <row r="186" spans="1:33" x14ac:dyDescent="0.3">
      <c r="A186" t="s">
        <v>1712</v>
      </c>
      <c r="C186" t="s">
        <v>123</v>
      </c>
      <c r="D186" s="24">
        <v>45929.757719907408</v>
      </c>
      <c r="E186" t="s">
        <v>90</v>
      </c>
      <c r="F186" t="s">
        <v>155</v>
      </c>
      <c r="G186" t="s">
        <v>248</v>
      </c>
      <c r="K186" t="s">
        <v>1001</v>
      </c>
      <c r="L186" s="24"/>
      <c r="M186" s="24"/>
      <c r="N186" s="24"/>
      <c r="O186" s="24"/>
      <c r="P186" s="24"/>
      <c r="Q186" s="24">
        <v>45987.530705555553</v>
      </c>
      <c r="R186" s="24"/>
      <c r="S186" s="24"/>
      <c r="T186" s="24"/>
      <c r="U186" s="24"/>
      <c r="V186" s="24"/>
      <c r="W186" s="24"/>
      <c r="X186" s="24"/>
      <c r="Y186" s="24">
        <v>46009.374748680559</v>
      </c>
      <c r="Z186" s="24"/>
      <c r="AA186" s="24"/>
      <c r="AB186" s="24"/>
      <c r="AC186" s="24"/>
      <c r="AD186" s="24"/>
      <c r="AE186" s="24"/>
      <c r="AF186" s="24"/>
      <c r="AG186" s="24">
        <v>46160.377809062498</v>
      </c>
    </row>
    <row r="187" spans="1:33" x14ac:dyDescent="0.3">
      <c r="A187" t="s">
        <v>1713</v>
      </c>
      <c r="C187" t="s">
        <v>123</v>
      </c>
      <c r="D187" s="24">
        <v>45929.757731481484</v>
      </c>
      <c r="E187" t="s">
        <v>90</v>
      </c>
      <c r="F187" t="s">
        <v>155</v>
      </c>
      <c r="G187" t="s">
        <v>248</v>
      </c>
      <c r="K187" t="s">
        <v>1001</v>
      </c>
      <c r="L187" s="24"/>
      <c r="M187" s="24"/>
      <c r="N187" s="24"/>
      <c r="O187" s="24"/>
      <c r="P187" s="24"/>
      <c r="Q187" s="24">
        <v>45987.558971342594</v>
      </c>
      <c r="R187" s="24"/>
      <c r="S187" s="24"/>
      <c r="T187" s="24"/>
      <c r="U187" s="24"/>
      <c r="V187" s="24"/>
      <c r="W187" s="24"/>
      <c r="X187" s="24"/>
      <c r="Y187" s="24">
        <v>46009.373872164353</v>
      </c>
      <c r="Z187" s="24"/>
      <c r="AA187" s="24"/>
      <c r="AB187" s="24"/>
      <c r="AC187" s="24"/>
      <c r="AD187" s="24"/>
      <c r="AE187" s="24"/>
      <c r="AF187" s="24"/>
      <c r="AG187" s="24">
        <v>46160.377809062498</v>
      </c>
    </row>
    <row r="188" spans="1:33" x14ac:dyDescent="0.3">
      <c r="A188" t="s">
        <v>1714</v>
      </c>
      <c r="C188" t="s">
        <v>123</v>
      </c>
      <c r="D188" s="24">
        <v>45929.757743055554</v>
      </c>
      <c r="E188" t="s">
        <v>90</v>
      </c>
      <c r="F188" t="s">
        <v>155</v>
      </c>
      <c r="G188" t="s">
        <v>248</v>
      </c>
      <c r="K188" t="s">
        <v>1001</v>
      </c>
      <c r="L188" s="24"/>
      <c r="M188" s="24"/>
      <c r="N188" s="24"/>
      <c r="O188" s="24"/>
      <c r="P188" s="24"/>
      <c r="Q188" s="24">
        <v>45993.408879849536</v>
      </c>
      <c r="R188" s="24"/>
      <c r="S188" s="24"/>
      <c r="T188" s="24"/>
      <c r="U188" s="24"/>
      <c r="V188" s="24"/>
      <c r="W188" s="24"/>
      <c r="X188" s="24"/>
      <c r="Y188" s="24">
        <v>46009.369504097223</v>
      </c>
      <c r="Z188" s="24"/>
      <c r="AA188" s="24"/>
      <c r="AB188" s="24"/>
      <c r="AC188" s="24"/>
      <c r="AD188" s="24"/>
      <c r="AE188" s="24"/>
      <c r="AF188" s="24"/>
      <c r="AG188" s="24">
        <v>46160.377809062498</v>
      </c>
    </row>
    <row r="189" spans="1:33" x14ac:dyDescent="0.3">
      <c r="A189" t="s">
        <v>1715</v>
      </c>
      <c r="C189" t="s">
        <v>123</v>
      </c>
      <c r="D189" s="24">
        <v>45929.757743055554</v>
      </c>
      <c r="E189" t="s">
        <v>90</v>
      </c>
      <c r="F189" t="s">
        <v>155</v>
      </c>
      <c r="G189" t="s">
        <v>248</v>
      </c>
      <c r="K189" t="s">
        <v>1001</v>
      </c>
      <c r="L189" s="24"/>
      <c r="M189" s="24"/>
      <c r="N189" s="24"/>
      <c r="O189" s="24"/>
      <c r="P189" s="24"/>
      <c r="Q189" s="24">
        <v>45930.875819687499</v>
      </c>
      <c r="R189" s="24"/>
      <c r="S189" s="24"/>
      <c r="T189" s="24"/>
      <c r="U189" s="24"/>
      <c r="V189" s="24"/>
      <c r="W189" s="24"/>
      <c r="X189" s="24"/>
      <c r="Y189" s="24">
        <v>46029.618015983797</v>
      </c>
      <c r="Z189" s="24"/>
      <c r="AA189" s="24"/>
      <c r="AB189" s="24"/>
      <c r="AC189" s="24"/>
      <c r="AD189" s="24"/>
      <c r="AE189" s="24"/>
      <c r="AF189" s="24"/>
      <c r="AG189" s="24">
        <v>46160.377809062498</v>
      </c>
    </row>
    <row r="190" spans="1:33" x14ac:dyDescent="0.3">
      <c r="A190" t="s">
        <v>1716</v>
      </c>
      <c r="C190" t="s">
        <v>123</v>
      </c>
      <c r="D190" s="24">
        <v>45929.757754629631</v>
      </c>
      <c r="E190" t="s">
        <v>90</v>
      </c>
      <c r="F190" t="s">
        <v>155</v>
      </c>
      <c r="G190" t="s">
        <v>248</v>
      </c>
      <c r="K190" t="s">
        <v>1001</v>
      </c>
      <c r="L190" s="24"/>
      <c r="M190" s="24"/>
      <c r="N190" s="24"/>
      <c r="O190" s="24"/>
      <c r="P190" s="24"/>
      <c r="Q190" s="24">
        <v>45993.407273067132</v>
      </c>
      <c r="R190" s="24"/>
      <c r="S190" s="24"/>
      <c r="T190" s="24"/>
      <c r="U190" s="24"/>
      <c r="V190" s="24"/>
      <c r="W190" s="24"/>
      <c r="X190" s="24"/>
      <c r="Y190" s="24">
        <v>45993.408255208335</v>
      </c>
      <c r="Z190" s="24"/>
      <c r="AA190" s="24"/>
      <c r="AB190" s="24"/>
      <c r="AC190" s="24"/>
      <c r="AD190" s="24"/>
      <c r="AE190" s="24"/>
      <c r="AF190" s="24"/>
      <c r="AG190" s="24">
        <v>46160.377809062498</v>
      </c>
    </row>
    <row r="191" spans="1:33" x14ac:dyDescent="0.3">
      <c r="A191" t="s">
        <v>1090</v>
      </c>
      <c r="C191" t="s">
        <v>122</v>
      </c>
      <c r="D191" s="24">
        <v>45995.568078703705</v>
      </c>
      <c r="E191" t="s">
        <v>90</v>
      </c>
      <c r="F191" t="s">
        <v>155</v>
      </c>
      <c r="K191" t="s">
        <v>1000</v>
      </c>
      <c r="L191" s="24"/>
      <c r="M191" s="24"/>
      <c r="N191" s="24"/>
      <c r="O191" s="24"/>
      <c r="P191" s="24"/>
      <c r="Q191" s="24">
        <v>46101.370273645836</v>
      </c>
      <c r="R191" s="24">
        <v>46101.370242800927</v>
      </c>
      <c r="S191" s="24"/>
      <c r="T191" s="24"/>
      <c r="U191" s="24"/>
      <c r="V191" s="24"/>
      <c r="W191" s="24"/>
      <c r="X191" s="24"/>
      <c r="Y191" s="24">
        <v>46111.416388506943</v>
      </c>
      <c r="Z191" s="24"/>
      <c r="AA191" s="24"/>
      <c r="AB191" s="24"/>
      <c r="AC191" s="24"/>
      <c r="AD191" s="24"/>
      <c r="AE191" s="24"/>
      <c r="AF191" s="24"/>
      <c r="AG191" s="24">
        <v>46160.377809062498</v>
      </c>
    </row>
    <row r="192" spans="1:33" x14ac:dyDescent="0.3">
      <c r="A192" t="s">
        <v>1091</v>
      </c>
      <c r="C192" t="s">
        <v>122</v>
      </c>
      <c r="D192" s="24">
        <v>45995.570613425924</v>
      </c>
      <c r="E192" t="s">
        <v>90</v>
      </c>
      <c r="F192" t="s">
        <v>155</v>
      </c>
      <c r="K192" t="s">
        <v>1000</v>
      </c>
      <c r="L192" s="24"/>
      <c r="M192" s="24"/>
      <c r="N192" s="24"/>
      <c r="O192" s="24"/>
      <c r="P192" s="24"/>
      <c r="Q192" s="24">
        <v>46001.362827106481</v>
      </c>
      <c r="R192" s="24"/>
      <c r="S192" s="24"/>
      <c r="T192" s="24"/>
      <c r="U192" s="24"/>
      <c r="V192" s="24"/>
      <c r="W192" s="24"/>
      <c r="X192" s="24"/>
      <c r="Y192" s="24">
        <v>46111.416200601852</v>
      </c>
      <c r="Z192" s="24"/>
      <c r="AA192" s="24"/>
      <c r="AB192" s="24"/>
      <c r="AC192" s="24"/>
      <c r="AD192" s="24"/>
      <c r="AE192" s="24"/>
      <c r="AF192" s="24"/>
      <c r="AG192" s="24">
        <v>46160.377809062498</v>
      </c>
    </row>
    <row r="193" spans="1:33" x14ac:dyDescent="0.3">
      <c r="A193" t="s">
        <v>1092</v>
      </c>
      <c r="C193" t="s">
        <v>122</v>
      </c>
      <c r="D193" s="24">
        <v>46028.668912037036</v>
      </c>
      <c r="E193" t="s">
        <v>90</v>
      </c>
      <c r="F193" t="s">
        <v>155</v>
      </c>
      <c r="G193" t="s">
        <v>248</v>
      </c>
      <c r="K193" t="s">
        <v>1000</v>
      </c>
      <c r="L193" s="24"/>
      <c r="M193" s="24"/>
      <c r="N193" s="24"/>
      <c r="O193" s="24"/>
      <c r="P193" s="24"/>
      <c r="Q193" s="24">
        <v>46029.332449201385</v>
      </c>
      <c r="R193" s="24"/>
      <c r="S193" s="24"/>
      <c r="T193" s="24"/>
      <c r="U193" s="24"/>
      <c r="V193" s="24"/>
      <c r="W193" s="24"/>
      <c r="X193" s="24"/>
      <c r="Y193" s="24">
        <v>46077.373707118059</v>
      </c>
      <c r="Z193" s="24"/>
      <c r="AA193" s="24"/>
      <c r="AB193" s="24"/>
      <c r="AC193" s="24"/>
      <c r="AD193" s="24"/>
      <c r="AE193" s="24"/>
      <c r="AF193" s="24"/>
      <c r="AG193" s="24">
        <v>46160.377809062498</v>
      </c>
    </row>
    <row r="194" spans="1:33" x14ac:dyDescent="0.3">
      <c r="A194" t="s">
        <v>1093</v>
      </c>
      <c r="C194" t="s">
        <v>122</v>
      </c>
      <c r="D194" s="24">
        <v>46028.668923611112</v>
      </c>
      <c r="E194" t="s">
        <v>90</v>
      </c>
      <c r="F194" t="s">
        <v>155</v>
      </c>
      <c r="G194" t="s">
        <v>250</v>
      </c>
      <c r="K194" t="s">
        <v>1000</v>
      </c>
      <c r="L194" s="24"/>
      <c r="M194" s="24"/>
      <c r="N194" s="24"/>
      <c r="O194" s="24"/>
      <c r="P194" s="24"/>
      <c r="Q194" s="24">
        <v>46058.473496759259</v>
      </c>
      <c r="R194" s="24"/>
      <c r="S194" s="24"/>
      <c r="T194" s="24"/>
      <c r="U194" s="24"/>
      <c r="V194" s="24"/>
      <c r="W194" s="24"/>
      <c r="X194" s="24"/>
      <c r="Y194" s="24">
        <v>46072.384417997688</v>
      </c>
      <c r="Z194" s="24"/>
      <c r="AA194" s="24"/>
      <c r="AB194" s="24"/>
      <c r="AC194" s="24"/>
      <c r="AD194" s="24"/>
      <c r="AE194" s="24"/>
      <c r="AF194" s="24"/>
      <c r="AG194" s="24">
        <v>46160.377809062498</v>
      </c>
    </row>
    <row r="195" spans="1:33" x14ac:dyDescent="0.3">
      <c r="A195" t="s">
        <v>1094</v>
      </c>
      <c r="C195" t="s">
        <v>122</v>
      </c>
      <c r="D195" s="24">
        <v>46028.668935185182</v>
      </c>
      <c r="E195" t="s">
        <v>90</v>
      </c>
      <c r="F195" t="s">
        <v>155</v>
      </c>
      <c r="G195" t="s">
        <v>248</v>
      </c>
      <c r="K195" t="s">
        <v>1000</v>
      </c>
      <c r="L195" s="24"/>
      <c r="M195" s="24"/>
      <c r="N195" s="24"/>
      <c r="O195" s="24"/>
      <c r="P195" s="24"/>
      <c r="Q195" s="24">
        <v>46029.379221493058</v>
      </c>
      <c r="R195" s="24"/>
      <c r="S195" s="24"/>
      <c r="T195" s="24"/>
      <c r="U195" s="24"/>
      <c r="V195" s="24"/>
      <c r="W195" s="24"/>
      <c r="X195" s="24"/>
      <c r="Y195" s="24">
        <v>46112.444031932871</v>
      </c>
      <c r="Z195" s="24"/>
      <c r="AA195" s="24"/>
      <c r="AB195" s="24"/>
      <c r="AC195" s="24"/>
      <c r="AD195" s="24"/>
      <c r="AE195" s="24"/>
      <c r="AF195" s="24"/>
      <c r="AG195" s="24">
        <v>46160.377809062498</v>
      </c>
    </row>
    <row r="196" spans="1:33" x14ac:dyDescent="0.3">
      <c r="A196" t="s">
        <v>1095</v>
      </c>
      <c r="C196" t="s">
        <v>122</v>
      </c>
      <c r="D196" s="24">
        <v>46028.668946759259</v>
      </c>
      <c r="E196" t="s">
        <v>90</v>
      </c>
      <c r="F196" t="s">
        <v>155</v>
      </c>
      <c r="G196" t="s">
        <v>249</v>
      </c>
      <c r="K196" t="s">
        <v>1000</v>
      </c>
      <c r="L196" s="24"/>
      <c r="M196" s="24"/>
      <c r="N196" s="24"/>
      <c r="O196" s="24"/>
      <c r="P196" s="24"/>
      <c r="Q196" s="24">
        <v>46059.470888599535</v>
      </c>
      <c r="R196" s="24"/>
      <c r="S196" s="24"/>
      <c r="T196" s="24"/>
      <c r="U196" s="24"/>
      <c r="V196" s="24"/>
      <c r="W196" s="24"/>
      <c r="X196" s="24"/>
      <c r="Y196" s="24">
        <v>46111.35570980324</v>
      </c>
      <c r="Z196" s="24"/>
      <c r="AA196" s="24"/>
      <c r="AB196" s="24"/>
      <c r="AC196" s="24"/>
      <c r="AD196" s="24"/>
      <c r="AE196" s="24"/>
      <c r="AF196" s="24"/>
      <c r="AG196" s="24">
        <v>46160.377809062498</v>
      </c>
    </row>
    <row r="197" spans="1:33" x14ac:dyDescent="0.3">
      <c r="A197" t="s">
        <v>1096</v>
      </c>
      <c r="C197" t="s">
        <v>122</v>
      </c>
      <c r="D197" s="24">
        <v>46028.668958333335</v>
      </c>
      <c r="E197" t="s">
        <v>90</v>
      </c>
      <c r="F197" t="s">
        <v>155</v>
      </c>
      <c r="G197" t="s">
        <v>249</v>
      </c>
      <c r="K197" t="s">
        <v>1000</v>
      </c>
      <c r="L197" s="24"/>
      <c r="M197" s="24"/>
      <c r="N197" s="24"/>
      <c r="O197" s="24"/>
      <c r="P197" s="24"/>
      <c r="Q197" s="24">
        <v>46028.720354456018</v>
      </c>
      <c r="R197" s="24"/>
      <c r="S197" s="24"/>
      <c r="T197" s="24"/>
      <c r="U197" s="24"/>
      <c r="V197" s="24"/>
      <c r="W197" s="24"/>
      <c r="X197" s="24"/>
      <c r="Y197" s="24">
        <v>46111.356202916664</v>
      </c>
      <c r="Z197" s="24"/>
      <c r="AA197" s="24"/>
      <c r="AB197" s="24"/>
      <c r="AC197" s="24"/>
      <c r="AD197" s="24"/>
      <c r="AE197" s="24"/>
      <c r="AF197" s="24"/>
      <c r="AG197" s="24">
        <v>46160.377809062498</v>
      </c>
    </row>
    <row r="198" spans="1:33" x14ac:dyDescent="0.3">
      <c r="A198" t="s">
        <v>1097</v>
      </c>
      <c r="C198" t="s">
        <v>122</v>
      </c>
      <c r="D198" s="24">
        <v>46028.668969907405</v>
      </c>
      <c r="E198" t="s">
        <v>90</v>
      </c>
      <c r="F198" t="s">
        <v>155</v>
      </c>
      <c r="G198" t="s">
        <v>248</v>
      </c>
      <c r="K198" t="s">
        <v>1000</v>
      </c>
      <c r="L198" s="24"/>
      <c r="M198" s="24"/>
      <c r="N198" s="24"/>
      <c r="O198" s="24"/>
      <c r="P198" s="24"/>
      <c r="Q198" s="24">
        <v>46028.720232476851</v>
      </c>
      <c r="R198" s="24"/>
      <c r="S198" s="24"/>
      <c r="T198" s="24"/>
      <c r="U198" s="24"/>
      <c r="V198" s="24"/>
      <c r="W198" s="24"/>
      <c r="X198" s="24"/>
      <c r="Y198" s="24">
        <v>46098.568402858793</v>
      </c>
      <c r="Z198" s="24"/>
      <c r="AA198" s="24"/>
      <c r="AB198" s="24"/>
      <c r="AC198" s="24"/>
      <c r="AD198" s="24"/>
      <c r="AE198" s="24"/>
      <c r="AF198" s="24"/>
      <c r="AG198" s="24">
        <v>46160.377809062498</v>
      </c>
    </row>
    <row r="199" spans="1:33" x14ac:dyDescent="0.3">
      <c r="A199" t="s">
        <v>1098</v>
      </c>
      <c r="C199" t="s">
        <v>122</v>
      </c>
      <c r="D199" s="24">
        <v>46028.668981481482</v>
      </c>
      <c r="E199" t="s">
        <v>90</v>
      </c>
      <c r="F199" t="s">
        <v>155</v>
      </c>
      <c r="G199" t="s">
        <v>248</v>
      </c>
      <c r="K199" t="s">
        <v>1000</v>
      </c>
      <c r="L199" s="24"/>
      <c r="M199" s="24"/>
      <c r="N199" s="24"/>
      <c r="O199" s="24"/>
      <c r="P199" s="24"/>
      <c r="Q199" s="24">
        <v>46077.356064953703</v>
      </c>
      <c r="R199" s="24"/>
      <c r="S199" s="24"/>
      <c r="T199" s="24"/>
      <c r="U199" s="24"/>
      <c r="V199" s="24"/>
      <c r="W199" s="24"/>
      <c r="X199" s="24"/>
      <c r="Y199" s="24">
        <v>46090.612600856482</v>
      </c>
      <c r="Z199" s="24"/>
      <c r="AA199" s="24"/>
      <c r="AB199" s="24"/>
      <c r="AC199" s="24"/>
      <c r="AD199" s="24"/>
      <c r="AE199" s="24"/>
      <c r="AF199" s="24"/>
      <c r="AG199" s="24">
        <v>46160.377809062498</v>
      </c>
    </row>
    <row r="200" spans="1:33" x14ac:dyDescent="0.3">
      <c r="A200" t="s">
        <v>1099</v>
      </c>
      <c r="C200" t="s">
        <v>122</v>
      </c>
      <c r="D200" s="24">
        <v>46028.668993055559</v>
      </c>
      <c r="E200" t="s">
        <v>90</v>
      </c>
      <c r="F200" t="s">
        <v>155</v>
      </c>
      <c r="G200" t="s">
        <v>248</v>
      </c>
      <c r="K200" t="s">
        <v>1000</v>
      </c>
      <c r="L200" s="24"/>
      <c r="M200" s="24"/>
      <c r="N200" s="24"/>
      <c r="O200" s="24"/>
      <c r="P200" s="24"/>
      <c r="Q200" s="24">
        <v>46030.547691944441</v>
      </c>
      <c r="R200" s="24"/>
      <c r="S200" s="24"/>
      <c r="T200" s="24"/>
      <c r="U200" s="24"/>
      <c r="V200" s="24"/>
      <c r="W200" s="24"/>
      <c r="X200" s="24"/>
      <c r="Y200" s="24">
        <v>46086.549721493058</v>
      </c>
      <c r="Z200" s="24"/>
      <c r="AA200" s="24"/>
      <c r="AB200" s="24"/>
      <c r="AC200" s="24"/>
      <c r="AD200" s="24"/>
      <c r="AE200" s="24"/>
      <c r="AF200" s="24"/>
      <c r="AG200" s="24">
        <v>46160.377809062498</v>
      </c>
    </row>
    <row r="201" spans="1:33" x14ac:dyDescent="0.3">
      <c r="A201" t="s">
        <v>1717</v>
      </c>
      <c r="C201" t="s">
        <v>122</v>
      </c>
      <c r="D201" s="24">
        <v>46027.459398148145</v>
      </c>
      <c r="E201" t="s">
        <v>90</v>
      </c>
      <c r="F201" t="s">
        <v>155</v>
      </c>
      <c r="K201" t="s">
        <v>1001</v>
      </c>
      <c r="L201" s="24"/>
      <c r="M201" s="24"/>
      <c r="N201" s="24"/>
      <c r="O201" s="24"/>
      <c r="P201" s="24"/>
      <c r="Q201" s="24">
        <v>46027.460643032406</v>
      </c>
      <c r="R201" s="24"/>
      <c r="S201" s="24"/>
      <c r="T201" s="24"/>
      <c r="U201" s="24"/>
      <c r="V201" s="24"/>
      <c r="W201" s="24"/>
      <c r="X201" s="24"/>
      <c r="Y201" s="24">
        <v>46114.436871319442</v>
      </c>
      <c r="Z201" s="24"/>
      <c r="AA201" s="24"/>
      <c r="AB201" s="24"/>
      <c r="AC201" s="24"/>
      <c r="AD201" s="24"/>
      <c r="AE201" s="24"/>
      <c r="AF201" s="24"/>
      <c r="AG201" s="24">
        <v>46160.377809062498</v>
      </c>
    </row>
    <row r="202" spans="1:33" x14ac:dyDescent="0.3">
      <c r="A202" t="s">
        <v>1718</v>
      </c>
      <c r="C202" t="s">
        <v>122</v>
      </c>
      <c r="D202" s="24">
        <v>46028.664768518516</v>
      </c>
      <c r="E202" t="s">
        <v>90</v>
      </c>
      <c r="F202" t="s">
        <v>155</v>
      </c>
      <c r="G202" t="s">
        <v>249</v>
      </c>
      <c r="K202" t="s">
        <v>1001</v>
      </c>
      <c r="L202" s="24"/>
      <c r="M202" s="24"/>
      <c r="N202" s="24"/>
      <c r="O202" s="24"/>
      <c r="P202" s="24"/>
      <c r="Q202" s="24">
        <v>46108.399812858799</v>
      </c>
      <c r="R202" s="24"/>
      <c r="S202" s="24"/>
      <c r="T202" s="24"/>
      <c r="U202" s="24"/>
      <c r="V202" s="24"/>
      <c r="W202" s="24"/>
      <c r="X202" s="24"/>
      <c r="Y202" s="24">
        <v>46112.924545277776</v>
      </c>
      <c r="Z202" s="24"/>
      <c r="AA202" s="24"/>
      <c r="AB202" s="24"/>
      <c r="AC202" s="24"/>
      <c r="AD202" s="24"/>
      <c r="AE202" s="24"/>
      <c r="AF202" s="24"/>
      <c r="AG202" s="24">
        <v>46160.377809062498</v>
      </c>
    </row>
    <row r="203" spans="1:33" x14ac:dyDescent="0.3">
      <c r="A203" t="s">
        <v>1719</v>
      </c>
      <c r="C203" t="s">
        <v>122</v>
      </c>
      <c r="D203" s="24">
        <v>46028.664780092593</v>
      </c>
      <c r="E203" t="s">
        <v>90</v>
      </c>
      <c r="F203" t="s">
        <v>155</v>
      </c>
      <c r="G203" t="s">
        <v>248</v>
      </c>
      <c r="K203" t="s">
        <v>1001</v>
      </c>
      <c r="L203" s="24"/>
      <c r="M203" s="24"/>
      <c r="N203" s="24"/>
      <c r="O203" s="24"/>
      <c r="P203" s="24"/>
      <c r="Q203" s="24">
        <v>46085.562229699077</v>
      </c>
      <c r="R203" s="24"/>
      <c r="S203" s="24"/>
      <c r="T203" s="24"/>
      <c r="U203" s="24"/>
      <c r="V203" s="24"/>
      <c r="W203" s="24"/>
      <c r="X203" s="24"/>
      <c r="Y203" s="24">
        <v>46108.630868773151</v>
      </c>
      <c r="Z203" s="24"/>
      <c r="AA203" s="24"/>
      <c r="AB203" s="24"/>
      <c r="AC203" s="24"/>
      <c r="AD203" s="24"/>
      <c r="AE203" s="24"/>
      <c r="AF203" s="24"/>
      <c r="AG203" s="24">
        <v>46160.377809062498</v>
      </c>
    </row>
    <row r="204" spans="1:33" x14ac:dyDescent="0.3">
      <c r="A204" t="s">
        <v>1720</v>
      </c>
      <c r="C204" t="s">
        <v>122</v>
      </c>
      <c r="D204" s="24">
        <v>46028.664803240739</v>
      </c>
      <c r="E204" t="s">
        <v>90</v>
      </c>
      <c r="F204" t="s">
        <v>155</v>
      </c>
      <c r="G204" t="s">
        <v>248</v>
      </c>
      <c r="K204" t="s">
        <v>1001</v>
      </c>
      <c r="L204" s="24"/>
      <c r="M204" s="24"/>
      <c r="N204" s="24"/>
      <c r="O204" s="24"/>
      <c r="P204" s="24"/>
      <c r="Q204" s="24">
        <v>46073.381333159719</v>
      </c>
      <c r="R204" s="24"/>
      <c r="S204" s="24"/>
      <c r="T204" s="24"/>
      <c r="U204" s="24"/>
      <c r="V204" s="24"/>
      <c r="W204" s="24"/>
      <c r="X204" s="24"/>
      <c r="Y204" s="24">
        <v>46100.471104618053</v>
      </c>
      <c r="Z204" s="24"/>
      <c r="AA204" s="24"/>
      <c r="AB204" s="24"/>
      <c r="AC204" s="24"/>
      <c r="AD204" s="24"/>
      <c r="AE204" s="24"/>
      <c r="AF204" s="24"/>
      <c r="AG204" s="24">
        <v>46160.377809062498</v>
      </c>
    </row>
    <row r="205" spans="1:33" x14ac:dyDescent="0.3">
      <c r="A205" t="s">
        <v>1721</v>
      </c>
      <c r="C205" t="s">
        <v>122</v>
      </c>
      <c r="D205" s="24">
        <v>46028.664814814816</v>
      </c>
      <c r="E205" t="s">
        <v>90</v>
      </c>
      <c r="F205" t="s">
        <v>155</v>
      </c>
      <c r="G205" t="s">
        <v>248</v>
      </c>
      <c r="K205" t="s">
        <v>1001</v>
      </c>
      <c r="L205" s="24"/>
      <c r="M205" s="24"/>
      <c r="N205" s="24"/>
      <c r="O205" s="24"/>
      <c r="P205" s="24"/>
      <c r="Q205" s="24">
        <v>46073.380629884261</v>
      </c>
      <c r="R205" s="24"/>
      <c r="S205" s="24"/>
      <c r="T205" s="24"/>
      <c r="U205" s="24"/>
      <c r="V205" s="24"/>
      <c r="W205" s="24"/>
      <c r="X205" s="24"/>
      <c r="Y205" s="24">
        <v>46100.47149585648</v>
      </c>
      <c r="Z205" s="24"/>
      <c r="AA205" s="24"/>
      <c r="AB205" s="24"/>
      <c r="AC205" s="24"/>
      <c r="AD205" s="24"/>
      <c r="AE205" s="24"/>
      <c r="AF205" s="24"/>
      <c r="AG205" s="24">
        <v>46160.377809062498</v>
      </c>
    </row>
    <row r="206" spans="1:33" x14ac:dyDescent="0.3">
      <c r="A206" t="s">
        <v>1722</v>
      </c>
      <c r="C206" t="s">
        <v>122</v>
      </c>
      <c r="D206" s="24">
        <v>46028.664826388886</v>
      </c>
      <c r="E206" t="s">
        <v>90</v>
      </c>
      <c r="F206" t="s">
        <v>155</v>
      </c>
      <c r="G206" t="s">
        <v>250</v>
      </c>
      <c r="K206" t="s">
        <v>1001</v>
      </c>
      <c r="L206" s="24"/>
      <c r="M206" s="24"/>
      <c r="N206" s="24"/>
      <c r="O206" s="24"/>
      <c r="P206" s="24"/>
      <c r="Q206" s="24">
        <v>46112.925656689818</v>
      </c>
      <c r="R206" s="24"/>
      <c r="S206" s="24"/>
      <c r="T206" s="24"/>
      <c r="U206" s="24"/>
      <c r="V206" s="24"/>
      <c r="W206" s="24"/>
      <c r="X206" s="24"/>
      <c r="Y206" s="24">
        <v>46112.925842291668</v>
      </c>
      <c r="Z206" s="24"/>
      <c r="AA206" s="24"/>
      <c r="AB206" s="24"/>
      <c r="AC206" s="24"/>
      <c r="AD206" s="24"/>
      <c r="AE206" s="24"/>
      <c r="AF206" s="24"/>
      <c r="AG206" s="24">
        <v>46160.377809062498</v>
      </c>
    </row>
    <row r="207" spans="1:33" x14ac:dyDescent="0.3">
      <c r="A207" t="s">
        <v>1723</v>
      </c>
      <c r="C207" t="s">
        <v>122</v>
      </c>
      <c r="D207" s="24">
        <v>46028.664837962962</v>
      </c>
      <c r="E207" t="s">
        <v>90</v>
      </c>
      <c r="F207" t="s">
        <v>155</v>
      </c>
      <c r="G207" t="s">
        <v>250</v>
      </c>
      <c r="K207" t="s">
        <v>1001</v>
      </c>
      <c r="L207" s="24"/>
      <c r="M207" s="24"/>
      <c r="N207" s="24"/>
      <c r="O207" s="24"/>
      <c r="P207" s="24"/>
      <c r="Q207" s="24">
        <v>46073.378346087964</v>
      </c>
      <c r="R207" s="24"/>
      <c r="S207" s="24"/>
      <c r="T207" s="24"/>
      <c r="U207" s="24"/>
      <c r="V207" s="24"/>
      <c r="W207" s="24"/>
      <c r="X207" s="24"/>
      <c r="Y207" s="24">
        <v>46112.927091516205</v>
      </c>
      <c r="Z207" s="24"/>
      <c r="AA207" s="24"/>
      <c r="AB207" s="24"/>
      <c r="AC207" s="24"/>
      <c r="AD207" s="24"/>
      <c r="AE207" s="24"/>
      <c r="AF207" s="24"/>
      <c r="AG207" s="24">
        <v>46160.377809062498</v>
      </c>
    </row>
    <row r="208" spans="1:33" x14ac:dyDescent="0.3">
      <c r="A208" t="s">
        <v>1724</v>
      </c>
      <c r="C208" t="s">
        <v>122</v>
      </c>
      <c r="D208" s="24">
        <v>46028.664849537039</v>
      </c>
      <c r="E208" t="s">
        <v>90</v>
      </c>
      <c r="F208" t="s">
        <v>155</v>
      </c>
      <c r="G208" t="s">
        <v>249</v>
      </c>
      <c r="K208" t="s">
        <v>1001</v>
      </c>
      <c r="L208" s="24"/>
      <c r="M208" s="24"/>
      <c r="N208" s="24"/>
      <c r="O208" s="24"/>
      <c r="P208" s="24"/>
      <c r="Q208" s="24">
        <v>46073.37724159722</v>
      </c>
      <c r="R208" s="24"/>
      <c r="S208" s="24"/>
      <c r="T208" s="24"/>
      <c r="U208" s="24"/>
      <c r="V208" s="24"/>
      <c r="W208" s="24"/>
      <c r="X208" s="24"/>
      <c r="Y208" s="24">
        <v>46108.631626192131</v>
      </c>
      <c r="Z208" s="24"/>
      <c r="AA208" s="24"/>
      <c r="AB208" s="24"/>
      <c r="AC208" s="24"/>
      <c r="AD208" s="24"/>
      <c r="AE208" s="24"/>
      <c r="AF208" s="24"/>
      <c r="AG208" s="24">
        <v>46160.377809062498</v>
      </c>
    </row>
    <row r="209" spans="1:33" x14ac:dyDescent="0.3">
      <c r="A209" t="s">
        <v>1725</v>
      </c>
      <c r="C209" t="s">
        <v>122</v>
      </c>
      <c r="D209" s="24">
        <v>46028.664861111109</v>
      </c>
      <c r="E209" t="s">
        <v>90</v>
      </c>
      <c r="F209" t="s">
        <v>155</v>
      </c>
      <c r="G209" t="s">
        <v>250</v>
      </c>
      <c r="K209" t="s">
        <v>1001</v>
      </c>
      <c r="L209" s="24"/>
      <c r="M209" s="24"/>
      <c r="N209" s="24"/>
      <c r="O209" s="24"/>
      <c r="P209" s="24"/>
      <c r="Q209" s="24">
        <v>46073.376814965275</v>
      </c>
      <c r="R209" s="24"/>
      <c r="S209" s="24"/>
      <c r="T209" s="24"/>
      <c r="U209" s="24"/>
      <c r="V209" s="24"/>
      <c r="W209" s="24"/>
      <c r="X209" s="24"/>
      <c r="Y209" s="24">
        <v>46100.47069884259</v>
      </c>
      <c r="Z209" s="24"/>
      <c r="AA209" s="24"/>
      <c r="AB209" s="24"/>
      <c r="AC209" s="24"/>
      <c r="AD209" s="24"/>
      <c r="AE209" s="24"/>
      <c r="AF209" s="24"/>
      <c r="AG209" s="24">
        <v>46160.377809062498</v>
      </c>
    </row>
    <row r="210" spans="1:33" x14ac:dyDescent="0.3">
      <c r="A210" t="s">
        <v>1726</v>
      </c>
      <c r="C210" t="s">
        <v>122</v>
      </c>
      <c r="D210" s="24">
        <v>46028.664872685185</v>
      </c>
      <c r="E210" t="s">
        <v>90</v>
      </c>
      <c r="F210" t="s">
        <v>155</v>
      </c>
      <c r="G210" t="s">
        <v>248</v>
      </c>
      <c r="K210" t="s">
        <v>1001</v>
      </c>
      <c r="L210" s="24"/>
      <c r="M210" s="24"/>
      <c r="N210" s="24"/>
      <c r="O210" s="24"/>
      <c r="P210" s="24"/>
      <c r="Q210" s="24">
        <v>46030.275577129629</v>
      </c>
      <c r="R210" s="24"/>
      <c r="S210" s="24"/>
      <c r="T210" s="24"/>
      <c r="U210" s="24"/>
      <c r="V210" s="24"/>
      <c r="W210" s="24"/>
      <c r="X210" s="24"/>
      <c r="Y210" s="24">
        <v>46112.929649537036</v>
      </c>
      <c r="Z210" s="24"/>
      <c r="AA210" s="24"/>
      <c r="AB210" s="24"/>
      <c r="AC210" s="24"/>
      <c r="AD210" s="24"/>
      <c r="AE210" s="24"/>
      <c r="AF210" s="24"/>
      <c r="AG210" s="24">
        <v>46160.377809062498</v>
      </c>
    </row>
    <row r="211" spans="1:33" x14ac:dyDescent="0.3">
      <c r="A211" t="s">
        <v>1727</v>
      </c>
      <c r="C211" t="s">
        <v>122</v>
      </c>
      <c r="D211" s="24">
        <v>46028.664884259262</v>
      </c>
      <c r="E211" t="s">
        <v>90</v>
      </c>
      <c r="F211" t="s">
        <v>155</v>
      </c>
      <c r="G211" t="s">
        <v>248</v>
      </c>
      <c r="K211" t="s">
        <v>1001</v>
      </c>
      <c r="L211" s="24"/>
      <c r="M211" s="24"/>
      <c r="N211" s="24"/>
      <c r="O211" s="24"/>
      <c r="P211" s="24"/>
      <c r="Q211" s="24">
        <v>46029.617835636571</v>
      </c>
      <c r="R211" s="24"/>
      <c r="S211" s="24"/>
      <c r="T211" s="24"/>
      <c r="U211" s="24"/>
      <c r="V211" s="24"/>
      <c r="W211" s="24"/>
      <c r="X211" s="24"/>
      <c r="Y211" s="24">
        <v>46112.932273275466</v>
      </c>
      <c r="Z211" s="24"/>
      <c r="AA211" s="24"/>
      <c r="AB211" s="24"/>
      <c r="AC211" s="24"/>
      <c r="AD211" s="24"/>
      <c r="AE211" s="24"/>
      <c r="AF211" s="24"/>
      <c r="AG211" s="24">
        <v>46160.377809062498</v>
      </c>
    </row>
    <row r="212" spans="1:33" x14ac:dyDescent="0.3">
      <c r="A212" t="s">
        <v>1728</v>
      </c>
      <c r="C212" t="s">
        <v>122</v>
      </c>
      <c r="D212" s="24">
        <v>46028.664895833332</v>
      </c>
      <c r="E212" t="s">
        <v>90</v>
      </c>
      <c r="F212" t="s">
        <v>155</v>
      </c>
      <c r="G212" t="s">
        <v>248</v>
      </c>
      <c r="K212" t="s">
        <v>1001</v>
      </c>
      <c r="L212" s="24"/>
      <c r="M212" s="24"/>
      <c r="N212" s="24"/>
      <c r="O212" s="24"/>
      <c r="P212" s="24"/>
      <c r="Q212" s="24">
        <v>46073.385289942133</v>
      </c>
      <c r="R212" s="24"/>
      <c r="S212" s="24"/>
      <c r="T212" s="24"/>
      <c r="U212" s="24"/>
      <c r="V212" s="24"/>
      <c r="W212" s="24"/>
      <c r="X212" s="24"/>
      <c r="Y212" s="24">
        <v>46077.4443178125</v>
      </c>
      <c r="Z212" s="24"/>
      <c r="AA212" s="24"/>
      <c r="AB212" s="24"/>
      <c r="AC212" s="24"/>
      <c r="AD212" s="24"/>
      <c r="AE212" s="24"/>
      <c r="AF212" s="24"/>
      <c r="AG212" s="24">
        <v>46160.377809062498</v>
      </c>
    </row>
    <row r="213" spans="1:33" x14ac:dyDescent="0.3">
      <c r="A213" t="s">
        <v>1100</v>
      </c>
      <c r="C213" t="s">
        <v>133</v>
      </c>
      <c r="D213" s="24">
        <v>46086.548831018517</v>
      </c>
      <c r="E213" t="s">
        <v>89</v>
      </c>
      <c r="F213" t="s">
        <v>89</v>
      </c>
      <c r="K213" t="s">
        <v>1000</v>
      </c>
      <c r="L213" s="24"/>
      <c r="M213" s="24"/>
      <c r="N213" s="24"/>
      <c r="O213" s="24"/>
      <c r="P213" s="24"/>
      <c r="Q213" s="24">
        <v>46111.405664837963</v>
      </c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>
        <v>46160.377809062498</v>
      </c>
    </row>
    <row r="214" spans="1:33" x14ac:dyDescent="0.3">
      <c r="A214" t="s">
        <v>1101</v>
      </c>
      <c r="C214" t="s">
        <v>133</v>
      </c>
      <c r="D214" s="24">
        <v>46093.369571759256</v>
      </c>
      <c r="E214" t="s">
        <v>89</v>
      </c>
      <c r="F214" t="s">
        <v>89</v>
      </c>
      <c r="K214" t="s">
        <v>1000</v>
      </c>
      <c r="L214" s="24"/>
      <c r="M214" s="24"/>
      <c r="N214" s="24"/>
      <c r="O214" s="24"/>
      <c r="P214" s="24"/>
      <c r="Q214" s="24">
        <v>46112.358495300927</v>
      </c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>
        <v>46160.377809062498</v>
      </c>
    </row>
    <row r="215" spans="1:33" x14ac:dyDescent="0.3">
      <c r="A215" t="s">
        <v>1102</v>
      </c>
      <c r="C215" t="s">
        <v>133</v>
      </c>
      <c r="D215" s="24">
        <v>46111.543124999997</v>
      </c>
      <c r="E215" t="s">
        <v>89</v>
      </c>
      <c r="F215" t="s">
        <v>89</v>
      </c>
      <c r="G215" t="s">
        <v>249</v>
      </c>
      <c r="K215" t="s">
        <v>1000</v>
      </c>
      <c r="L215" s="24"/>
      <c r="M215" s="24"/>
      <c r="N215" s="24"/>
      <c r="O215" s="24"/>
      <c r="P215" s="24"/>
      <c r="Q215" s="24">
        <v>46112.35858803241</v>
      </c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>
        <v>46160.377809062498</v>
      </c>
    </row>
    <row r="216" spans="1:33" x14ac:dyDescent="0.3">
      <c r="A216" t="s">
        <v>1103</v>
      </c>
      <c r="C216" t="s">
        <v>133</v>
      </c>
      <c r="D216" s="24">
        <v>46111.54315972222</v>
      </c>
      <c r="E216" t="s">
        <v>89</v>
      </c>
      <c r="F216" t="s">
        <v>89</v>
      </c>
      <c r="G216" t="s">
        <v>248</v>
      </c>
      <c r="K216" t="s">
        <v>1000</v>
      </c>
      <c r="L216" s="24"/>
      <c r="M216" s="24"/>
      <c r="N216" s="24"/>
      <c r="O216" s="24"/>
      <c r="P216" s="24"/>
      <c r="Q216" s="24">
        <v>46149.443513391205</v>
      </c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>
        <v>46160.377809062498</v>
      </c>
    </row>
    <row r="217" spans="1:33" x14ac:dyDescent="0.3">
      <c r="A217" t="s">
        <v>1104</v>
      </c>
      <c r="C217" t="s">
        <v>133</v>
      </c>
      <c r="D217" s="24">
        <v>46111.543171296296</v>
      </c>
      <c r="E217" t="s">
        <v>89</v>
      </c>
      <c r="F217" t="s">
        <v>89</v>
      </c>
      <c r="G217" t="s">
        <v>248</v>
      </c>
      <c r="K217" t="s">
        <v>1000</v>
      </c>
      <c r="L217" s="24"/>
      <c r="M217" s="24"/>
      <c r="N217" s="24"/>
      <c r="O217" s="24"/>
      <c r="P217" s="24"/>
      <c r="Q217" s="24">
        <v>46112.358383784725</v>
      </c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>
        <v>46160.377809062498</v>
      </c>
    </row>
    <row r="218" spans="1:33" x14ac:dyDescent="0.3">
      <c r="A218" t="s">
        <v>1105</v>
      </c>
      <c r="C218" t="s">
        <v>133</v>
      </c>
      <c r="D218" s="24">
        <v>46111.543252314812</v>
      </c>
      <c r="E218" t="s">
        <v>89</v>
      </c>
      <c r="F218" t="s">
        <v>89</v>
      </c>
      <c r="G218" t="s">
        <v>248</v>
      </c>
      <c r="K218" t="s">
        <v>1000</v>
      </c>
      <c r="L218" s="24"/>
      <c r="M218" s="24"/>
      <c r="N218" s="24"/>
      <c r="O218" s="24"/>
      <c r="P218" s="24"/>
      <c r="Q218" s="24">
        <v>46128.490923229168</v>
      </c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>
        <v>46160.377809062498</v>
      </c>
    </row>
    <row r="219" spans="1:33" x14ac:dyDescent="0.3">
      <c r="A219" t="s">
        <v>1106</v>
      </c>
      <c r="C219" t="s">
        <v>133</v>
      </c>
      <c r="D219" s="24">
        <v>46111.543287037035</v>
      </c>
      <c r="E219" t="s">
        <v>89</v>
      </c>
      <c r="F219" t="s">
        <v>89</v>
      </c>
      <c r="G219" t="s">
        <v>249</v>
      </c>
      <c r="K219" t="s">
        <v>1000</v>
      </c>
      <c r="L219" s="24"/>
      <c r="M219" s="24"/>
      <c r="N219" s="24"/>
      <c r="O219" s="24"/>
      <c r="P219" s="24"/>
      <c r="Q219" s="24">
        <v>46126.344882187499</v>
      </c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>
        <v>46160.377809062498</v>
      </c>
    </row>
    <row r="220" spans="1:33" x14ac:dyDescent="0.3">
      <c r="A220" t="s">
        <v>1107</v>
      </c>
      <c r="C220" t="s">
        <v>133</v>
      </c>
      <c r="D220" s="24">
        <v>46111.543298611112</v>
      </c>
      <c r="E220" t="s">
        <v>89</v>
      </c>
      <c r="F220" t="s">
        <v>89</v>
      </c>
      <c r="G220" t="s">
        <v>250</v>
      </c>
      <c r="K220" t="s">
        <v>1000</v>
      </c>
      <c r="L220" s="24"/>
      <c r="M220" s="24"/>
      <c r="N220" s="24"/>
      <c r="O220" s="24"/>
      <c r="P220" s="24"/>
      <c r="Q220" s="24">
        <v>46126.35002795139</v>
      </c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>
        <v>46160.377809062498</v>
      </c>
    </row>
    <row r="221" spans="1:33" x14ac:dyDescent="0.3">
      <c r="A221" t="s">
        <v>1108</v>
      </c>
      <c r="C221" t="s">
        <v>133</v>
      </c>
      <c r="D221" s="24">
        <v>46111.543310185189</v>
      </c>
      <c r="E221" t="s">
        <v>89</v>
      </c>
      <c r="F221" t="s">
        <v>89</v>
      </c>
      <c r="G221" t="s">
        <v>248</v>
      </c>
      <c r="K221" t="s">
        <v>1000</v>
      </c>
      <c r="L221" s="24"/>
      <c r="M221" s="24"/>
      <c r="N221" s="24"/>
      <c r="O221" s="24"/>
      <c r="P221" s="24"/>
      <c r="Q221" s="24">
        <v>46112.358299768515</v>
      </c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>
        <v>46160.377809062498</v>
      </c>
    </row>
    <row r="222" spans="1:33" x14ac:dyDescent="0.3">
      <c r="A222" t="s">
        <v>1109</v>
      </c>
      <c r="C222" t="s">
        <v>133</v>
      </c>
      <c r="D222" s="24">
        <v>46111.543333333335</v>
      </c>
      <c r="E222" t="s">
        <v>89</v>
      </c>
      <c r="F222" t="s">
        <v>89</v>
      </c>
      <c r="G222" t="s">
        <v>248</v>
      </c>
      <c r="K222" t="s">
        <v>1000</v>
      </c>
      <c r="L222" s="24"/>
      <c r="M222" s="24"/>
      <c r="N222" s="24"/>
      <c r="O222" s="24"/>
      <c r="P222" s="24"/>
      <c r="Q222" s="24">
        <v>46126.344641527779</v>
      </c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>
        <v>46160.377809062498</v>
      </c>
    </row>
    <row r="223" spans="1:33" x14ac:dyDescent="0.3">
      <c r="A223" t="s">
        <v>1729</v>
      </c>
      <c r="C223" t="s">
        <v>133</v>
      </c>
      <c r="D223" s="24">
        <v>46111.531574074077</v>
      </c>
      <c r="E223" t="s">
        <v>89</v>
      </c>
      <c r="F223" t="s">
        <v>89</v>
      </c>
      <c r="G223" t="s">
        <v>248</v>
      </c>
      <c r="K223" t="s">
        <v>1001</v>
      </c>
      <c r="L223" s="24"/>
      <c r="M223" s="24"/>
      <c r="N223" s="24"/>
      <c r="O223" s="24"/>
      <c r="P223" s="24"/>
      <c r="Q223" s="24">
        <v>46112.931809664355</v>
      </c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>
        <v>46160.377809062498</v>
      </c>
    </row>
    <row r="224" spans="1:33" x14ac:dyDescent="0.3">
      <c r="A224" t="s">
        <v>1730</v>
      </c>
      <c r="C224" t="s">
        <v>133</v>
      </c>
      <c r="D224" s="24">
        <v>46111.53162037037</v>
      </c>
      <c r="E224" t="s">
        <v>89</v>
      </c>
      <c r="F224" t="s">
        <v>89</v>
      </c>
      <c r="G224" t="s">
        <v>248</v>
      </c>
      <c r="K224" t="s">
        <v>1001</v>
      </c>
      <c r="L224" s="24"/>
      <c r="M224" s="24"/>
      <c r="N224" s="24"/>
      <c r="O224" s="24"/>
      <c r="P224" s="24"/>
      <c r="Q224" s="24">
        <v>46112.929262592595</v>
      </c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>
        <v>46160.377809062498</v>
      </c>
    </row>
    <row r="225" spans="1:33" x14ac:dyDescent="0.3">
      <c r="A225" t="s">
        <v>1731</v>
      </c>
      <c r="C225" t="s">
        <v>133</v>
      </c>
      <c r="D225" s="24">
        <v>46111.531643518516</v>
      </c>
      <c r="E225" t="s">
        <v>89</v>
      </c>
      <c r="F225" t="s">
        <v>89</v>
      </c>
      <c r="G225" t="s">
        <v>248</v>
      </c>
      <c r="K225" t="s">
        <v>1001</v>
      </c>
      <c r="L225" s="24"/>
      <c r="M225" s="24"/>
      <c r="N225" s="24"/>
      <c r="O225" s="24"/>
      <c r="P225" s="24"/>
      <c r="Q225" s="24">
        <v>46153.492861006947</v>
      </c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>
        <v>46160.377809062498</v>
      </c>
    </row>
    <row r="226" spans="1:33" x14ac:dyDescent="0.3">
      <c r="A226" t="s">
        <v>1732</v>
      </c>
      <c r="C226" t="s">
        <v>133</v>
      </c>
      <c r="D226" s="24">
        <v>46111.531655092593</v>
      </c>
      <c r="E226" t="s">
        <v>89</v>
      </c>
      <c r="F226" t="s">
        <v>89</v>
      </c>
      <c r="G226" t="s">
        <v>248</v>
      </c>
      <c r="K226" t="s">
        <v>1001</v>
      </c>
      <c r="L226" s="24"/>
      <c r="M226" s="24"/>
      <c r="N226" s="24"/>
      <c r="O226" s="24"/>
      <c r="P226" s="24"/>
      <c r="Q226" s="24">
        <v>46139.482723298614</v>
      </c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>
        <v>46160.377809062498</v>
      </c>
    </row>
    <row r="227" spans="1:33" x14ac:dyDescent="0.3">
      <c r="A227" t="s">
        <v>1733</v>
      </c>
      <c r="C227" t="s">
        <v>133</v>
      </c>
      <c r="D227" s="24">
        <v>46114.424155092594</v>
      </c>
      <c r="E227" t="s">
        <v>89</v>
      </c>
      <c r="F227" t="s">
        <v>89</v>
      </c>
      <c r="K227" t="s">
        <v>1001</v>
      </c>
      <c r="L227" s="24"/>
      <c r="M227" s="24"/>
      <c r="N227" s="24"/>
      <c r="O227" s="24"/>
      <c r="P227" s="24"/>
      <c r="Q227" s="24">
        <v>46114.425809351851</v>
      </c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>
        <v>46160.377809062498</v>
      </c>
    </row>
    <row r="228" spans="1:33" x14ac:dyDescent="0.3">
      <c r="A228" t="s">
        <v>1734</v>
      </c>
      <c r="C228" t="s">
        <v>133</v>
      </c>
      <c r="D228" s="24">
        <v>46111.531631944446</v>
      </c>
      <c r="E228" t="s">
        <v>84</v>
      </c>
      <c r="F228" t="s">
        <v>154</v>
      </c>
      <c r="G228" t="s">
        <v>249</v>
      </c>
      <c r="K228" t="s">
        <v>1001</v>
      </c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>
        <v>46160.377809062498</v>
      </c>
    </row>
    <row r="229" spans="1:33" x14ac:dyDescent="0.3">
      <c r="A229" t="s">
        <v>1735</v>
      </c>
      <c r="C229" t="s">
        <v>133</v>
      </c>
      <c r="D229" s="24">
        <v>46111.531608796293</v>
      </c>
      <c r="E229" t="s">
        <v>84</v>
      </c>
      <c r="F229" t="s">
        <v>154</v>
      </c>
      <c r="G229" t="s">
        <v>248</v>
      </c>
      <c r="K229" t="s">
        <v>1001</v>
      </c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>
        <v>46160.377809062498</v>
      </c>
    </row>
    <row r="230" spans="1:33" x14ac:dyDescent="0.3">
      <c r="A230" t="s">
        <v>1736</v>
      </c>
      <c r="C230" t="s">
        <v>133</v>
      </c>
      <c r="D230" s="24">
        <v>46111.531585648147</v>
      </c>
      <c r="E230" t="s">
        <v>84</v>
      </c>
      <c r="F230" t="s">
        <v>154</v>
      </c>
      <c r="G230" t="s">
        <v>248</v>
      </c>
      <c r="K230" t="s">
        <v>1001</v>
      </c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>
        <v>46160.377809062498</v>
      </c>
    </row>
    <row r="231" spans="1:33" x14ac:dyDescent="0.3">
      <c r="A231" t="s">
        <v>1737</v>
      </c>
      <c r="C231" t="s">
        <v>133</v>
      </c>
      <c r="D231" s="24">
        <v>46111.5315625</v>
      </c>
      <c r="E231" t="s">
        <v>84</v>
      </c>
      <c r="F231" t="s">
        <v>154</v>
      </c>
      <c r="G231" t="s">
        <v>248</v>
      </c>
      <c r="K231" t="s">
        <v>1001</v>
      </c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>
        <v>46160.377809062498</v>
      </c>
    </row>
    <row r="232" spans="1:33" x14ac:dyDescent="0.3">
      <c r="A232" t="s">
        <v>1738</v>
      </c>
      <c r="C232" t="s">
        <v>133</v>
      </c>
      <c r="D232" s="24">
        <v>46111.531550925924</v>
      </c>
      <c r="E232" t="s">
        <v>84</v>
      </c>
      <c r="F232" t="s">
        <v>154</v>
      </c>
      <c r="G232" t="s">
        <v>248</v>
      </c>
      <c r="K232" t="s">
        <v>1001</v>
      </c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>
        <v>46160.377809062498</v>
      </c>
    </row>
    <row r="233" spans="1:33" x14ac:dyDescent="0.3">
      <c r="A233" t="s">
        <v>1739</v>
      </c>
      <c r="C233" t="s">
        <v>133</v>
      </c>
      <c r="D233" s="24">
        <v>46111.531539351854</v>
      </c>
      <c r="E233" t="s">
        <v>84</v>
      </c>
      <c r="F233" t="s">
        <v>154</v>
      </c>
      <c r="G233" t="s">
        <v>248</v>
      </c>
      <c r="K233" t="s">
        <v>1001</v>
      </c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>
        <v>46160.377809062498</v>
      </c>
    </row>
    <row r="234" spans="1:33" x14ac:dyDescent="0.3">
      <c r="A234" t="s">
        <v>1740</v>
      </c>
      <c r="C234" t="s">
        <v>133</v>
      </c>
      <c r="D234" s="24">
        <v>46111.5315162037</v>
      </c>
      <c r="E234" t="s">
        <v>84</v>
      </c>
      <c r="F234" t="s">
        <v>154</v>
      </c>
      <c r="G234" t="s">
        <v>248</v>
      </c>
      <c r="K234" t="s">
        <v>1001</v>
      </c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>
        <v>46160.377809062498</v>
      </c>
    </row>
    <row r="235" spans="1:33" x14ac:dyDescent="0.3">
      <c r="A235" t="s">
        <v>1741</v>
      </c>
      <c r="C235" t="s">
        <v>133</v>
      </c>
      <c r="D235" s="24">
        <v>46111.531504629631</v>
      </c>
      <c r="E235" t="s">
        <v>84</v>
      </c>
      <c r="F235" t="s">
        <v>154</v>
      </c>
      <c r="G235" t="s">
        <v>248</v>
      </c>
      <c r="K235" t="s">
        <v>1001</v>
      </c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>
        <v>46160.377809062498</v>
      </c>
    </row>
    <row r="236" spans="1:33" x14ac:dyDescent="0.3">
      <c r="A236" t="s">
        <v>1110</v>
      </c>
      <c r="C236" t="s">
        <v>133</v>
      </c>
      <c r="D236" s="24">
        <v>46111.543263888889</v>
      </c>
      <c r="E236" t="s">
        <v>84</v>
      </c>
      <c r="F236" t="s">
        <v>154</v>
      </c>
      <c r="G236" t="s">
        <v>250</v>
      </c>
      <c r="K236" t="s">
        <v>1000</v>
      </c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>
        <v>46160.377809062498</v>
      </c>
    </row>
    <row r="237" spans="1:33" x14ac:dyDescent="0.3">
      <c r="A237" t="s">
        <v>1111</v>
      </c>
      <c r="C237" t="s">
        <v>133</v>
      </c>
      <c r="D237" s="24">
        <v>46111.543194444443</v>
      </c>
      <c r="E237" t="s">
        <v>84</v>
      </c>
      <c r="F237" t="s">
        <v>154</v>
      </c>
      <c r="G237" t="s">
        <v>248</v>
      </c>
      <c r="K237" t="s">
        <v>1000</v>
      </c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>
        <v>46160.377809062498</v>
      </c>
    </row>
    <row r="238" spans="1:33" x14ac:dyDescent="0.3">
      <c r="A238" t="s">
        <v>1112</v>
      </c>
      <c r="C238" t="s">
        <v>133</v>
      </c>
      <c r="D238" s="24">
        <v>46111.54314814815</v>
      </c>
      <c r="E238" t="s">
        <v>84</v>
      </c>
      <c r="F238" t="s">
        <v>154</v>
      </c>
      <c r="G238" t="s">
        <v>250</v>
      </c>
      <c r="K238" t="s">
        <v>1000</v>
      </c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>
        <v>46160.377809062498</v>
      </c>
    </row>
    <row r="239" spans="1:33" x14ac:dyDescent="0.3">
      <c r="A239" t="s">
        <v>1113</v>
      </c>
      <c r="C239" t="s">
        <v>133</v>
      </c>
      <c r="D239" s="24">
        <v>46111.543136574073</v>
      </c>
      <c r="E239" t="s">
        <v>84</v>
      </c>
      <c r="F239" t="s">
        <v>154</v>
      </c>
      <c r="G239" t="s">
        <v>249</v>
      </c>
      <c r="K239" t="s">
        <v>1000</v>
      </c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>
        <v>46160.377809062498</v>
      </c>
    </row>
    <row r="240" spans="1:33" x14ac:dyDescent="0.3">
      <c r="A240" t="s">
        <v>1114</v>
      </c>
      <c r="D240" s="24">
        <v>44015.609537037039</v>
      </c>
      <c r="E240" t="s">
        <v>90</v>
      </c>
      <c r="F240" t="s">
        <v>155</v>
      </c>
      <c r="K240" t="s">
        <v>1000</v>
      </c>
      <c r="L240" s="24">
        <v>44027.57245216435</v>
      </c>
      <c r="M240" s="24"/>
      <c r="N240" s="24">
        <v>44062.594593715279</v>
      </c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>
        <v>45177.565599988426</v>
      </c>
      <c r="Z240" s="24"/>
      <c r="AA240" s="24"/>
      <c r="AB240" s="24"/>
      <c r="AC240" s="24"/>
      <c r="AD240" s="24"/>
      <c r="AE240" s="24"/>
      <c r="AF240" s="24"/>
      <c r="AG240" s="24">
        <v>46160.377809062498</v>
      </c>
    </row>
    <row r="241" spans="1:33" x14ac:dyDescent="0.3">
      <c r="A241" t="s">
        <v>1115</v>
      </c>
      <c r="D241" s="24">
        <v>44301.691689814812</v>
      </c>
      <c r="E241" t="s">
        <v>90</v>
      </c>
      <c r="F241" t="s">
        <v>155</v>
      </c>
      <c r="K241" t="s">
        <v>1000</v>
      </c>
      <c r="L241" s="24"/>
      <c r="M241" s="24"/>
      <c r="N241" s="24"/>
      <c r="O241" s="24"/>
      <c r="P241" s="24"/>
      <c r="Q241" s="24">
        <v>44391.621539560183</v>
      </c>
      <c r="R241" s="24"/>
      <c r="S241" s="24"/>
      <c r="T241" s="24"/>
      <c r="U241" s="24"/>
      <c r="V241" s="24"/>
      <c r="W241" s="24"/>
      <c r="X241" s="24"/>
      <c r="Y241" s="24">
        <v>45643.308863333332</v>
      </c>
      <c r="Z241" s="24"/>
      <c r="AA241" s="24"/>
      <c r="AB241" s="24"/>
      <c r="AC241" s="24"/>
      <c r="AD241" s="24"/>
      <c r="AE241" s="24"/>
      <c r="AF241" s="24"/>
      <c r="AG241" s="24">
        <v>46160.377809062498</v>
      </c>
    </row>
    <row r="242" spans="1:33" x14ac:dyDescent="0.3">
      <c r="A242" t="s">
        <v>1116</v>
      </c>
      <c r="D242" s="24">
        <v>43917.341458333336</v>
      </c>
      <c r="E242" t="s">
        <v>90</v>
      </c>
      <c r="F242" t="s">
        <v>155</v>
      </c>
      <c r="K242" t="s">
        <v>1000</v>
      </c>
      <c r="L242" s="24">
        <v>43942.330430636575</v>
      </c>
      <c r="M242" s="24"/>
      <c r="N242" s="24">
        <v>44062.59385553241</v>
      </c>
      <c r="O242" s="24"/>
      <c r="P242" s="24"/>
      <c r="Q242" s="24"/>
      <c r="R242" s="24">
        <v>43978.271511886574</v>
      </c>
      <c r="S242" s="24"/>
      <c r="T242" s="24"/>
      <c r="U242" s="24"/>
      <c r="V242" s="24"/>
      <c r="W242" s="24"/>
      <c r="X242" s="24"/>
      <c r="Y242" s="24">
        <v>45177.565614548614</v>
      </c>
      <c r="Z242" s="24"/>
      <c r="AA242" s="24"/>
      <c r="AB242" s="24"/>
      <c r="AC242" s="24"/>
      <c r="AD242" s="24"/>
      <c r="AE242" s="24"/>
      <c r="AF242" s="24"/>
      <c r="AG242" s="24">
        <v>46160.377809062498</v>
      </c>
    </row>
    <row r="243" spans="1:33" x14ac:dyDescent="0.3">
      <c r="A243" t="s">
        <v>1117</v>
      </c>
      <c r="D243" s="24">
        <v>43920.372685185182</v>
      </c>
      <c r="E243" t="s">
        <v>90</v>
      </c>
      <c r="F243" t="s">
        <v>155</v>
      </c>
      <c r="K243" t="s">
        <v>1000</v>
      </c>
      <c r="L243" s="24">
        <v>43922.424334131945</v>
      </c>
      <c r="M243" s="24"/>
      <c r="N243" s="24">
        <v>44062.594064398145</v>
      </c>
      <c r="O243" s="24"/>
      <c r="P243" s="24"/>
      <c r="Q243" s="24"/>
      <c r="R243" s="24">
        <v>43922.424510555553</v>
      </c>
      <c r="S243" s="24">
        <v>43922.424175231485</v>
      </c>
      <c r="T243" s="24"/>
      <c r="U243" s="24"/>
      <c r="V243" s="24"/>
      <c r="W243" s="24"/>
      <c r="X243" s="24"/>
      <c r="Y243" s="24">
        <v>45177.565622395836</v>
      </c>
      <c r="Z243" s="24"/>
      <c r="AA243" s="24"/>
      <c r="AB243" s="24"/>
      <c r="AC243" s="24"/>
      <c r="AD243" s="24"/>
      <c r="AE243" s="24"/>
      <c r="AF243" s="24"/>
      <c r="AG243" s="24">
        <v>46160.377809062498</v>
      </c>
    </row>
    <row r="244" spans="1:33" x14ac:dyDescent="0.3">
      <c r="A244" t="s">
        <v>1118</v>
      </c>
      <c r="D244" s="24">
        <v>44251.630590277775</v>
      </c>
      <c r="E244" t="s">
        <v>90</v>
      </c>
      <c r="F244" t="s">
        <v>155</v>
      </c>
      <c r="K244" t="s">
        <v>1000</v>
      </c>
      <c r="L244" s="24"/>
      <c r="M244" s="24"/>
      <c r="N244" s="24">
        <v>44502.42961929398</v>
      </c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>
        <v>45177.565629814817</v>
      </c>
      <c r="Z244" s="24"/>
      <c r="AA244" s="24"/>
      <c r="AB244" s="24"/>
      <c r="AC244" s="24"/>
      <c r="AD244" s="24"/>
      <c r="AE244" s="24"/>
      <c r="AF244" s="24"/>
      <c r="AG244" s="24">
        <v>46160.377809062498</v>
      </c>
    </row>
    <row r="245" spans="1:33" x14ac:dyDescent="0.3">
      <c r="A245" t="s">
        <v>1119</v>
      </c>
      <c r="D245" s="24">
        <v>43917.325844907406</v>
      </c>
      <c r="E245" t="s">
        <v>90</v>
      </c>
      <c r="F245" t="s">
        <v>155</v>
      </c>
      <c r="K245" t="s">
        <v>1000</v>
      </c>
      <c r="L245" s="24">
        <v>44015.59277289352</v>
      </c>
      <c r="M245" s="24"/>
      <c r="N245" s="24">
        <v>44391.62527650463</v>
      </c>
      <c r="O245" s="24"/>
      <c r="P245" s="24"/>
      <c r="Q245" s="24">
        <v>43922.504603020832</v>
      </c>
      <c r="R245" s="24"/>
      <c r="S245" s="24">
        <v>44004.491757233794</v>
      </c>
      <c r="T245" s="24"/>
      <c r="U245" s="24"/>
      <c r="V245" s="24"/>
      <c r="W245" s="24"/>
      <c r="X245" s="24"/>
      <c r="Y245" s="24">
        <v>45177.565637442131</v>
      </c>
      <c r="Z245" s="24"/>
      <c r="AA245" s="24"/>
      <c r="AB245" s="24"/>
      <c r="AC245" s="24"/>
      <c r="AD245" s="24">
        <v>44391.619546099537</v>
      </c>
      <c r="AE245" s="24"/>
      <c r="AF245" s="24"/>
      <c r="AG245" s="24">
        <v>46160.377809062498</v>
      </c>
    </row>
    <row r="246" spans="1:33" x14ac:dyDescent="0.3">
      <c r="A246" t="s">
        <v>1120</v>
      </c>
      <c r="D246" s="24">
        <v>43908.458043981482</v>
      </c>
      <c r="E246" t="s">
        <v>90</v>
      </c>
      <c r="F246" t="s">
        <v>155</v>
      </c>
      <c r="K246" t="s">
        <v>1000</v>
      </c>
      <c r="L246" s="24"/>
      <c r="M246" s="24"/>
      <c r="N246" s="24">
        <v>44082.367111898151</v>
      </c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>
        <v>45177.565645543982</v>
      </c>
      <c r="Z246" s="24"/>
      <c r="AA246" s="24"/>
      <c r="AB246" s="24"/>
      <c r="AC246" s="24"/>
      <c r="AD246" s="24"/>
      <c r="AE246" s="24"/>
      <c r="AF246" s="24"/>
      <c r="AG246" s="24">
        <v>46160.377809062498</v>
      </c>
    </row>
    <row r="247" spans="1:33" x14ac:dyDescent="0.3">
      <c r="A247" t="s">
        <v>1121</v>
      </c>
      <c r="D247" s="24">
        <v>44138.322083333333</v>
      </c>
      <c r="E247" t="s">
        <v>90</v>
      </c>
      <c r="F247" t="s">
        <v>155</v>
      </c>
      <c r="K247" t="s">
        <v>1000</v>
      </c>
      <c r="L247" s="24"/>
      <c r="M247" s="24"/>
      <c r="N247" s="24">
        <v>44274.574310162039</v>
      </c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>
        <v>45177.56565394676</v>
      </c>
      <c r="Z247" s="24"/>
      <c r="AA247" s="24"/>
      <c r="AB247" s="24"/>
      <c r="AC247" s="24"/>
      <c r="AD247" s="24"/>
      <c r="AE247" s="24"/>
      <c r="AF247" s="24"/>
      <c r="AG247" s="24">
        <v>46160.377809062498</v>
      </c>
    </row>
    <row r="248" spans="1:33" x14ac:dyDescent="0.3">
      <c r="A248" t="s">
        <v>1122</v>
      </c>
      <c r="D248" s="24">
        <v>44210.590613425928</v>
      </c>
      <c r="E248" t="s">
        <v>89</v>
      </c>
      <c r="F248" t="s">
        <v>89</v>
      </c>
      <c r="K248" t="s">
        <v>1000</v>
      </c>
      <c r="L248" s="24"/>
      <c r="M248" s="24"/>
      <c r="N248" s="24"/>
      <c r="O248" s="24"/>
      <c r="P248" s="24"/>
      <c r="Q248" s="24">
        <v>44391.621487557873</v>
      </c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>
        <v>46160.377809062498</v>
      </c>
    </row>
    <row r="249" spans="1:33" x14ac:dyDescent="0.3">
      <c r="A249" t="s">
        <v>1123</v>
      </c>
      <c r="D249" s="24">
        <v>43914.316157407404</v>
      </c>
      <c r="E249" t="s">
        <v>90</v>
      </c>
      <c r="F249" t="s">
        <v>155</v>
      </c>
      <c r="K249" t="s">
        <v>1000</v>
      </c>
      <c r="L249" s="24"/>
      <c r="M249" s="24"/>
      <c r="N249" s="24">
        <v>44503.346890474539</v>
      </c>
      <c r="O249" s="24"/>
      <c r="P249" s="24"/>
      <c r="Q249" s="24">
        <v>43978.268640138886</v>
      </c>
      <c r="R249" s="24"/>
      <c r="S249" s="24">
        <v>43930.445514999999</v>
      </c>
      <c r="T249" s="24"/>
      <c r="U249" s="24"/>
      <c r="V249" s="24"/>
      <c r="W249" s="24"/>
      <c r="X249" s="24"/>
      <c r="Y249" s="24">
        <v>45177.565668414354</v>
      </c>
      <c r="Z249" s="24"/>
      <c r="AA249" s="24"/>
      <c r="AB249" s="24"/>
      <c r="AC249" s="24"/>
      <c r="AD249" s="24"/>
      <c r="AE249" s="24"/>
      <c r="AF249" s="24"/>
      <c r="AG249" s="24">
        <v>46160.377809062498</v>
      </c>
    </row>
    <row r="250" spans="1:33" x14ac:dyDescent="0.3">
      <c r="A250" t="s">
        <v>1124</v>
      </c>
      <c r="D250" s="24">
        <v>44110.366979166669</v>
      </c>
      <c r="E250" t="s">
        <v>90</v>
      </c>
      <c r="F250" t="s">
        <v>155</v>
      </c>
      <c r="K250" t="s">
        <v>1000</v>
      </c>
      <c r="L250" s="24"/>
      <c r="M250" s="24"/>
      <c r="N250" s="24">
        <v>44433.366767013889</v>
      </c>
      <c r="O250" s="24"/>
      <c r="P250" s="24"/>
      <c r="Q250" s="24">
        <v>44391.621177395835</v>
      </c>
      <c r="R250" s="24"/>
      <c r="S250" s="24"/>
      <c r="T250" s="24"/>
      <c r="U250" s="24"/>
      <c r="V250" s="24"/>
      <c r="W250" s="24"/>
      <c r="X250" s="24"/>
      <c r="Y250" s="24">
        <v>45177.565677951388</v>
      </c>
      <c r="Z250" s="24"/>
      <c r="AA250" s="24"/>
      <c r="AB250" s="24"/>
      <c r="AC250" s="24"/>
      <c r="AD250" s="24"/>
      <c r="AE250" s="24"/>
      <c r="AF250" s="24"/>
      <c r="AG250" s="24">
        <v>46160.377809062498</v>
      </c>
    </row>
    <row r="251" spans="1:33" x14ac:dyDescent="0.3">
      <c r="A251" t="s">
        <v>1125</v>
      </c>
      <c r="D251" s="24">
        <v>43906.598553240743</v>
      </c>
      <c r="E251" t="s">
        <v>90</v>
      </c>
      <c r="F251" t="s">
        <v>155</v>
      </c>
      <c r="K251" t="s">
        <v>1000</v>
      </c>
      <c r="L251" s="24"/>
      <c r="M251" s="24"/>
      <c r="N251" s="24">
        <v>44217.444764432868</v>
      </c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>
        <v>45177.565686238428</v>
      </c>
      <c r="Z251" s="24"/>
      <c r="AA251" s="24"/>
      <c r="AB251" s="24"/>
      <c r="AC251" s="24"/>
      <c r="AD251" s="24"/>
      <c r="AE251" s="24"/>
      <c r="AF251" s="24"/>
      <c r="AG251" s="24">
        <v>46160.377809062498</v>
      </c>
    </row>
    <row r="252" spans="1:33" x14ac:dyDescent="0.3">
      <c r="A252" t="s">
        <v>1126</v>
      </c>
      <c r="D252" s="24">
        <v>44162.375462962962</v>
      </c>
      <c r="E252" t="s">
        <v>90</v>
      </c>
      <c r="F252" t="s">
        <v>155</v>
      </c>
      <c r="K252" t="s">
        <v>1000</v>
      </c>
      <c r="L252" s="24"/>
      <c r="M252" s="24"/>
      <c r="N252" s="24">
        <v>44517.597715138887</v>
      </c>
      <c r="O252" s="24"/>
      <c r="P252" s="24"/>
      <c r="Q252" s="24">
        <v>44391.621756666667</v>
      </c>
      <c r="R252" s="24"/>
      <c r="S252" s="24"/>
      <c r="T252" s="24"/>
      <c r="U252" s="24"/>
      <c r="V252" s="24"/>
      <c r="W252" s="24"/>
      <c r="X252" s="24"/>
      <c r="Y252" s="24">
        <v>45177.565694259261</v>
      </c>
      <c r="Z252" s="24"/>
      <c r="AA252" s="24"/>
      <c r="AB252" s="24"/>
      <c r="AC252" s="24"/>
      <c r="AD252" s="24"/>
      <c r="AE252" s="24"/>
      <c r="AF252" s="24"/>
      <c r="AG252" s="24">
        <v>46160.377809062498</v>
      </c>
    </row>
    <row r="253" spans="1:33" x14ac:dyDescent="0.3">
      <c r="A253" t="s">
        <v>1127</v>
      </c>
      <c r="D253" s="24">
        <v>43921.617418981485</v>
      </c>
      <c r="E253" t="s">
        <v>90</v>
      </c>
      <c r="F253" t="s">
        <v>155</v>
      </c>
      <c r="K253" t="s">
        <v>1000</v>
      </c>
      <c r="L253" s="24">
        <v>44027.572419942131</v>
      </c>
      <c r="M253" s="24"/>
      <c r="N253" s="24">
        <v>44062.59356415509</v>
      </c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>
        <v>45177.565704259257</v>
      </c>
      <c r="Z253" s="24"/>
      <c r="AA253" s="24"/>
      <c r="AB253" s="24"/>
      <c r="AC253" s="24"/>
      <c r="AD253" s="24"/>
      <c r="AE253" s="24"/>
      <c r="AF253" s="24"/>
      <c r="AG253" s="24">
        <v>46160.377809062498</v>
      </c>
    </row>
    <row r="254" spans="1:33" x14ac:dyDescent="0.3">
      <c r="A254" t="s">
        <v>1128</v>
      </c>
      <c r="D254" s="24">
        <v>44300.622314814813</v>
      </c>
      <c r="E254" t="s">
        <v>90</v>
      </c>
      <c r="F254" t="s">
        <v>155</v>
      </c>
      <c r="K254" t="s">
        <v>1000</v>
      </c>
      <c r="L254" s="24"/>
      <c r="M254" s="24"/>
      <c r="N254" s="24">
        <v>44391.619431840278</v>
      </c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>
        <v>45177.565715104167</v>
      </c>
      <c r="Z254" s="24"/>
      <c r="AA254" s="24"/>
      <c r="AB254" s="24"/>
      <c r="AC254" s="24"/>
      <c r="AD254" s="24"/>
      <c r="AE254" s="24"/>
      <c r="AF254" s="24"/>
      <c r="AG254" s="24">
        <v>46160.377809062498</v>
      </c>
    </row>
    <row r="255" spans="1:33" x14ac:dyDescent="0.3">
      <c r="A255" t="s">
        <v>1129</v>
      </c>
      <c r="D255" s="24">
        <v>44446.498969907407</v>
      </c>
      <c r="E255" t="s">
        <v>90</v>
      </c>
      <c r="F255" t="s">
        <v>155</v>
      </c>
      <c r="K255" t="s">
        <v>1000</v>
      </c>
      <c r="L255" s="24"/>
      <c r="M255" s="24"/>
      <c r="N255" s="24">
        <v>44502.63953695602</v>
      </c>
      <c r="O255" s="24"/>
      <c r="P255" s="24"/>
      <c r="Q255" s="24">
        <v>44463.643043217591</v>
      </c>
      <c r="R255" s="24"/>
      <c r="S255" s="24"/>
      <c r="T255" s="24"/>
      <c r="U255" s="24"/>
      <c r="V255" s="24"/>
      <c r="W255" s="24"/>
      <c r="X255" s="24"/>
      <c r="Y255" s="24">
        <v>45177.746942164355</v>
      </c>
      <c r="Z255" s="24"/>
      <c r="AA255" s="24"/>
      <c r="AB255" s="24"/>
      <c r="AC255" s="24"/>
      <c r="AD255" s="24"/>
      <c r="AE255" s="24"/>
      <c r="AF255" s="24"/>
      <c r="AG255" s="24">
        <v>46160.377809062498</v>
      </c>
    </row>
    <row r="256" spans="1:33" x14ac:dyDescent="0.3">
      <c r="A256" t="s">
        <v>1130</v>
      </c>
      <c r="D256" s="24">
        <v>44391.618668981479</v>
      </c>
      <c r="E256" t="s">
        <v>90</v>
      </c>
      <c r="F256" t="s">
        <v>155</v>
      </c>
      <c r="K256" t="s">
        <v>1000</v>
      </c>
      <c r="L256" s="24"/>
      <c r="M256" s="24"/>
      <c r="N256" s="24">
        <v>44693.339071967595</v>
      </c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>
        <v>45177.746948611108</v>
      </c>
      <c r="Z256" s="24"/>
      <c r="AA256" s="24"/>
      <c r="AB256" s="24"/>
      <c r="AC256" s="24"/>
      <c r="AD256" s="24"/>
      <c r="AE256" s="24"/>
      <c r="AF256" s="24"/>
      <c r="AG256" s="24">
        <v>46160.377809062498</v>
      </c>
    </row>
    <row r="257" spans="1:33" x14ac:dyDescent="0.3">
      <c r="A257" t="s">
        <v>1131</v>
      </c>
      <c r="D257" s="24">
        <v>44399.365266203706</v>
      </c>
      <c r="E257" t="s">
        <v>90</v>
      </c>
      <c r="F257" t="s">
        <v>155</v>
      </c>
      <c r="K257" t="s">
        <v>1000</v>
      </c>
      <c r="L257" s="24">
        <v>44580.61051233796</v>
      </c>
      <c r="M257" s="24"/>
      <c r="N257" s="24"/>
      <c r="O257" s="24"/>
      <c r="P257" s="24"/>
      <c r="Q257" s="24">
        <v>45232.460405104168</v>
      </c>
      <c r="R257" s="24">
        <v>45230.453934328703</v>
      </c>
      <c r="S257" s="24"/>
      <c r="T257" s="24"/>
      <c r="U257" s="24"/>
      <c r="V257" s="24"/>
      <c r="W257" s="24"/>
      <c r="X257" s="24"/>
      <c r="Y257" s="24">
        <v>45238.436270451391</v>
      </c>
      <c r="Z257" s="24"/>
      <c r="AA257" s="24"/>
      <c r="AB257" s="24"/>
      <c r="AC257" s="24"/>
      <c r="AD257" s="24"/>
      <c r="AE257" s="24"/>
      <c r="AF257" s="24"/>
      <c r="AG257" s="24">
        <v>46160.377809062498</v>
      </c>
    </row>
    <row r="258" spans="1:33" x14ac:dyDescent="0.3">
      <c r="A258" t="s">
        <v>1132</v>
      </c>
      <c r="D258" s="24">
        <v>44573.38925925926</v>
      </c>
      <c r="E258" t="s">
        <v>90</v>
      </c>
      <c r="F258" t="s">
        <v>155</v>
      </c>
      <c r="K258" t="s">
        <v>1000</v>
      </c>
      <c r="L258" s="24"/>
      <c r="M258" s="24"/>
      <c r="N258" s="24">
        <v>45153.452163344904</v>
      </c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>
        <v>45177.74695951389</v>
      </c>
      <c r="Z258" s="24"/>
      <c r="AA258" s="24"/>
      <c r="AB258" s="24"/>
      <c r="AC258" s="24"/>
      <c r="AD258" s="24"/>
      <c r="AE258" s="24"/>
      <c r="AF258" s="24"/>
      <c r="AG258" s="24">
        <v>46160.377809062498</v>
      </c>
    </row>
    <row r="259" spans="1:33" x14ac:dyDescent="0.3">
      <c r="A259" t="s">
        <v>1133</v>
      </c>
      <c r="D259" s="24">
        <v>44517.592280092591</v>
      </c>
      <c r="E259" t="s">
        <v>90</v>
      </c>
      <c r="F259" t="s">
        <v>155</v>
      </c>
      <c r="K259" t="s">
        <v>1000</v>
      </c>
      <c r="L259" s="24"/>
      <c r="M259" s="24"/>
      <c r="N259" s="24"/>
      <c r="O259" s="24"/>
      <c r="P259" s="24"/>
      <c r="Q259" s="24">
        <v>44859.336228796295</v>
      </c>
      <c r="R259" s="24"/>
      <c r="S259" s="24"/>
      <c r="T259" s="24"/>
      <c r="U259" s="24"/>
      <c r="V259" s="24"/>
      <c r="W259" s="24"/>
      <c r="X259" s="24"/>
      <c r="Y259" s="24">
        <v>45274.633559444446</v>
      </c>
      <c r="Z259" s="24"/>
      <c r="AA259" s="24"/>
      <c r="AB259" s="24"/>
      <c r="AC259" s="24"/>
      <c r="AD259" s="24"/>
      <c r="AE259" s="24"/>
      <c r="AF259" s="24"/>
      <c r="AG259" s="24">
        <v>46160.377809062498</v>
      </c>
    </row>
    <row r="260" spans="1:33" x14ac:dyDescent="0.3">
      <c r="A260" t="s">
        <v>1134</v>
      </c>
      <c r="D260" s="24">
        <v>44502.42732638889</v>
      </c>
      <c r="E260" t="s">
        <v>90</v>
      </c>
      <c r="F260" t="s">
        <v>155</v>
      </c>
      <c r="K260" t="s">
        <v>1000</v>
      </c>
      <c r="L260" s="24"/>
      <c r="M260" s="24"/>
      <c r="N260" s="24">
        <v>45153.452783368055</v>
      </c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>
        <v>45177.746972187502</v>
      </c>
      <c r="Z260" s="24"/>
      <c r="AA260" s="24"/>
      <c r="AB260" s="24"/>
      <c r="AC260" s="24"/>
      <c r="AD260" s="24"/>
      <c r="AE260" s="24"/>
      <c r="AF260" s="24"/>
      <c r="AG260" s="24">
        <v>46160.377809062498</v>
      </c>
    </row>
    <row r="261" spans="1:33" x14ac:dyDescent="0.3">
      <c r="A261" t="s">
        <v>1135</v>
      </c>
      <c r="D261" s="24">
        <v>44635.325335648151</v>
      </c>
      <c r="E261" t="s">
        <v>90</v>
      </c>
      <c r="F261" t="s">
        <v>155</v>
      </c>
      <c r="K261" t="s">
        <v>1000</v>
      </c>
      <c r="L261" s="24"/>
      <c r="M261" s="24"/>
      <c r="N261" s="24">
        <v>44753.678436655093</v>
      </c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>
        <v>45177.746978946758</v>
      </c>
      <c r="Z261" s="24"/>
      <c r="AA261" s="24"/>
      <c r="AB261" s="24"/>
      <c r="AC261" s="24"/>
      <c r="AD261" s="24"/>
      <c r="AE261" s="24"/>
      <c r="AF261" s="24"/>
      <c r="AG261" s="24">
        <v>46160.377809062498</v>
      </c>
    </row>
    <row r="262" spans="1:33" x14ac:dyDescent="0.3">
      <c r="A262" t="s">
        <v>1136</v>
      </c>
      <c r="D262" s="24">
        <v>44572.363055555557</v>
      </c>
      <c r="E262" t="s">
        <v>90</v>
      </c>
      <c r="F262" t="s">
        <v>155</v>
      </c>
      <c r="K262" t="s">
        <v>1000</v>
      </c>
      <c r="L262" s="24"/>
      <c r="M262" s="24"/>
      <c r="N262" s="24">
        <v>44832.471385983794</v>
      </c>
      <c r="O262" s="24"/>
      <c r="P262" s="24"/>
      <c r="Q262" s="24">
        <v>44832.471354664354</v>
      </c>
      <c r="R262" s="24"/>
      <c r="S262" s="24"/>
      <c r="T262" s="24"/>
      <c r="U262" s="24"/>
      <c r="V262" s="24"/>
      <c r="W262" s="24"/>
      <c r="X262" s="24"/>
      <c r="Y262" s="24">
        <v>45177.746985289348</v>
      </c>
      <c r="Z262" s="24"/>
      <c r="AA262" s="24"/>
      <c r="AB262" s="24"/>
      <c r="AC262" s="24"/>
      <c r="AD262" s="24"/>
      <c r="AE262" s="24"/>
      <c r="AF262" s="24"/>
      <c r="AG262" s="24">
        <v>46160.377809062498</v>
      </c>
    </row>
    <row r="263" spans="1:33" x14ac:dyDescent="0.3">
      <c r="A263" t="s">
        <v>1137</v>
      </c>
      <c r="D263" s="24">
        <v>44525.541192129633</v>
      </c>
      <c r="E263" t="s">
        <v>90</v>
      </c>
      <c r="F263" t="s">
        <v>155</v>
      </c>
      <c r="K263" t="s">
        <v>1000</v>
      </c>
      <c r="L263" s="24"/>
      <c r="M263" s="24"/>
      <c r="N263" s="24">
        <v>44593.55753150463</v>
      </c>
      <c r="O263" s="24"/>
      <c r="P263" s="24"/>
      <c r="Q263" s="24">
        <v>44593.557380138889</v>
      </c>
      <c r="R263" s="24"/>
      <c r="S263" s="24"/>
      <c r="T263" s="24"/>
      <c r="U263" s="24"/>
      <c r="V263" s="24"/>
      <c r="W263" s="24"/>
      <c r="X263" s="24"/>
      <c r="Y263" s="24">
        <v>45177.746992187502</v>
      </c>
      <c r="Z263" s="24"/>
      <c r="AA263" s="24"/>
      <c r="AB263" s="24"/>
      <c r="AC263" s="24"/>
      <c r="AD263" s="24"/>
      <c r="AE263" s="24"/>
      <c r="AF263" s="24"/>
      <c r="AG263" s="24">
        <v>46160.377809062498</v>
      </c>
    </row>
    <row r="264" spans="1:33" x14ac:dyDescent="0.3">
      <c r="A264" t="s">
        <v>1138</v>
      </c>
      <c r="D264" s="24">
        <v>44525.542488425926</v>
      </c>
      <c r="E264" t="s">
        <v>90</v>
      </c>
      <c r="F264" t="s">
        <v>155</v>
      </c>
      <c r="K264" t="s">
        <v>1000</v>
      </c>
      <c r="L264" s="24"/>
      <c r="M264" s="24"/>
      <c r="N264" s="24">
        <v>44957.462464594908</v>
      </c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>
        <v>45177.746999733798</v>
      </c>
      <c r="Z264" s="24"/>
      <c r="AA264" s="24"/>
      <c r="AB264" s="24"/>
      <c r="AC264" s="24"/>
      <c r="AD264" s="24"/>
      <c r="AE264" s="24"/>
      <c r="AF264" s="24"/>
      <c r="AG264" s="24">
        <v>46160.377809062498</v>
      </c>
    </row>
    <row r="265" spans="1:33" x14ac:dyDescent="0.3">
      <c r="A265" t="s">
        <v>1139</v>
      </c>
      <c r="D265" s="24">
        <v>44419.367488425924</v>
      </c>
      <c r="E265" t="s">
        <v>90</v>
      </c>
      <c r="F265" t="s">
        <v>155</v>
      </c>
      <c r="K265" t="s">
        <v>1000</v>
      </c>
      <c r="L265" s="24"/>
      <c r="M265" s="24"/>
      <c r="N265" s="24">
        <v>44525.545483958333</v>
      </c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>
        <v>45177.747007152779</v>
      </c>
      <c r="Z265" s="24"/>
      <c r="AA265" s="24"/>
      <c r="AB265" s="24"/>
      <c r="AC265" s="24"/>
      <c r="AD265" s="24"/>
      <c r="AE265" s="24"/>
      <c r="AF265" s="24"/>
      <c r="AG265" s="24">
        <v>46160.377809062498</v>
      </c>
    </row>
    <row r="266" spans="1:33" x14ac:dyDescent="0.3">
      <c r="A266" t="s">
        <v>1140</v>
      </c>
      <c r="D266" s="24">
        <v>44685.612060185187</v>
      </c>
      <c r="E266" t="s">
        <v>90</v>
      </c>
      <c r="F266" t="s">
        <v>155</v>
      </c>
      <c r="K266" t="s">
        <v>1000</v>
      </c>
      <c r="L266" s="24"/>
      <c r="M266" s="24"/>
      <c r="N266" s="24">
        <v>45175.556119004628</v>
      </c>
      <c r="O266" s="24"/>
      <c r="P266" s="24"/>
      <c r="Q266" s="24">
        <v>45175.555878252315</v>
      </c>
      <c r="R266" s="24"/>
      <c r="S266" s="24"/>
      <c r="T266" s="24"/>
      <c r="U266" s="24"/>
      <c r="V266" s="24"/>
      <c r="W266" s="24"/>
      <c r="X266" s="24"/>
      <c r="Y266" s="24">
        <v>45177.747015879628</v>
      </c>
      <c r="Z266" s="24"/>
      <c r="AA266" s="24"/>
      <c r="AB266" s="24"/>
      <c r="AC266" s="24"/>
      <c r="AD266" s="24"/>
      <c r="AE266" s="24"/>
      <c r="AF266" s="24"/>
      <c r="AG266" s="24">
        <v>46160.377809062498</v>
      </c>
    </row>
    <row r="267" spans="1:33" x14ac:dyDescent="0.3">
      <c r="A267" t="s">
        <v>1141</v>
      </c>
      <c r="D267" s="24">
        <v>44525.547500000001</v>
      </c>
      <c r="E267" t="s">
        <v>90</v>
      </c>
      <c r="F267" t="s">
        <v>155</v>
      </c>
      <c r="K267" t="s">
        <v>1000</v>
      </c>
      <c r="L267" s="24"/>
      <c r="M267" s="24"/>
      <c r="N267" s="24">
        <v>44957.460098680553</v>
      </c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>
        <v>45177.747022731484</v>
      </c>
      <c r="Z267" s="24"/>
      <c r="AA267" s="24"/>
      <c r="AB267" s="24"/>
      <c r="AC267" s="24"/>
      <c r="AD267" s="24"/>
      <c r="AE267" s="24"/>
      <c r="AF267" s="24"/>
      <c r="AG267" s="24">
        <v>46160.377809062498</v>
      </c>
    </row>
    <row r="268" spans="1:33" x14ac:dyDescent="0.3">
      <c r="A268" t="s">
        <v>1142</v>
      </c>
      <c r="D268" s="24">
        <v>44788.63113425926</v>
      </c>
      <c r="E268" t="s">
        <v>90</v>
      </c>
      <c r="F268" t="s">
        <v>155</v>
      </c>
      <c r="K268" t="s">
        <v>1000</v>
      </c>
      <c r="L268" s="24"/>
      <c r="M268" s="24"/>
      <c r="N268" s="24">
        <v>44950.448202118052</v>
      </c>
      <c r="O268" s="24"/>
      <c r="P268" s="24"/>
      <c r="Q268" s="24">
        <v>44882.539384618052</v>
      </c>
      <c r="R268" s="24"/>
      <c r="S268" s="24"/>
      <c r="T268" s="24"/>
      <c r="U268" s="24"/>
      <c r="V268" s="24"/>
      <c r="W268" s="24"/>
      <c r="X268" s="24"/>
      <c r="Y268" s="24">
        <v>45177.817193020834</v>
      </c>
      <c r="Z268" s="24"/>
      <c r="AA268" s="24"/>
      <c r="AB268" s="24"/>
      <c r="AC268" s="24"/>
      <c r="AD268" s="24"/>
      <c r="AE268" s="24"/>
      <c r="AF268" s="24"/>
      <c r="AG268" s="24">
        <v>46160.377809062498</v>
      </c>
    </row>
    <row r="269" spans="1:33" x14ac:dyDescent="0.3">
      <c r="A269" t="s">
        <v>1143</v>
      </c>
      <c r="D269" s="24">
        <v>44957.445810185185</v>
      </c>
      <c r="E269" t="s">
        <v>90</v>
      </c>
      <c r="F269" t="s">
        <v>155</v>
      </c>
      <c r="K269" t="s">
        <v>1000</v>
      </c>
      <c r="L269" s="24"/>
      <c r="M269" s="24"/>
      <c r="N269" s="24">
        <v>45161.373105416664</v>
      </c>
      <c r="O269" s="24"/>
      <c r="P269" s="24"/>
      <c r="Q269" s="24">
        <v>45161.373073668983</v>
      </c>
      <c r="R269" s="24"/>
      <c r="S269" s="24"/>
      <c r="T269" s="24"/>
      <c r="U269" s="24"/>
      <c r="V269" s="24"/>
      <c r="W269" s="24"/>
      <c r="X269" s="24"/>
      <c r="Y269" s="24">
        <v>45177.817199097219</v>
      </c>
      <c r="Z269" s="24"/>
      <c r="AA269" s="24"/>
      <c r="AB269" s="24"/>
      <c r="AC269" s="24"/>
      <c r="AD269" s="24"/>
      <c r="AE269" s="24"/>
      <c r="AF269" s="24"/>
      <c r="AG269" s="24">
        <v>46160.377809062498</v>
      </c>
    </row>
    <row r="270" spans="1:33" x14ac:dyDescent="0.3">
      <c r="A270" t="s">
        <v>1144</v>
      </c>
      <c r="D270" s="24">
        <v>44957.425937499997</v>
      </c>
      <c r="E270" t="s">
        <v>90</v>
      </c>
      <c r="F270" t="s">
        <v>155</v>
      </c>
      <c r="K270" t="s">
        <v>1000</v>
      </c>
      <c r="L270" s="24"/>
      <c r="M270" s="24"/>
      <c r="N270" s="24"/>
      <c r="O270" s="24"/>
      <c r="P270" s="24"/>
      <c r="Q270" s="24">
        <v>45182.35327359954</v>
      </c>
      <c r="R270" s="24"/>
      <c r="S270" s="24"/>
      <c r="T270" s="24"/>
      <c r="U270" s="24"/>
      <c r="V270" s="24"/>
      <c r="W270" s="24"/>
      <c r="X270" s="24"/>
      <c r="Y270" s="24">
        <v>45274.651149074074</v>
      </c>
      <c r="Z270" s="24"/>
      <c r="AA270" s="24"/>
      <c r="AB270" s="24"/>
      <c r="AC270" s="24"/>
      <c r="AD270" s="24"/>
      <c r="AE270" s="24"/>
      <c r="AF270" s="24"/>
      <c r="AG270" s="24">
        <v>46160.377809062498</v>
      </c>
    </row>
    <row r="271" spans="1:33" x14ac:dyDescent="0.3">
      <c r="A271" t="s">
        <v>1145</v>
      </c>
      <c r="D271" s="24">
        <v>45022.666041666664</v>
      </c>
      <c r="E271" t="s">
        <v>90</v>
      </c>
      <c r="F271" t="s">
        <v>155</v>
      </c>
      <c r="K271" t="s">
        <v>1000</v>
      </c>
      <c r="L271" s="24"/>
      <c r="M271" s="24"/>
      <c r="N271" s="24"/>
      <c r="O271" s="24"/>
      <c r="P271" s="24"/>
      <c r="Q271" s="24">
        <v>45338.619890104164</v>
      </c>
      <c r="R271" s="24"/>
      <c r="S271" s="24"/>
      <c r="T271" s="24"/>
      <c r="U271" s="24"/>
      <c r="V271" s="24"/>
      <c r="W271" s="24"/>
      <c r="X271" s="24"/>
      <c r="Y271" s="24">
        <v>45338.61992853009</v>
      </c>
      <c r="Z271" s="24"/>
      <c r="AA271" s="24"/>
      <c r="AB271" s="24"/>
      <c r="AC271" s="24"/>
      <c r="AD271" s="24"/>
      <c r="AE271" s="24"/>
      <c r="AF271" s="24"/>
      <c r="AG271" s="24">
        <v>46160.377809062498</v>
      </c>
    </row>
    <row r="272" spans="1:33" x14ac:dyDescent="0.3">
      <c r="A272" t="s">
        <v>1146</v>
      </c>
      <c r="D272" s="24">
        <v>44910.667048611111</v>
      </c>
      <c r="E272" t="s">
        <v>90</v>
      </c>
      <c r="F272" t="s">
        <v>155</v>
      </c>
      <c r="K272" t="s">
        <v>1000</v>
      </c>
      <c r="L272" s="24"/>
      <c r="M272" s="24"/>
      <c r="N272" s="24"/>
      <c r="O272" s="24"/>
      <c r="P272" s="24"/>
      <c r="Q272" s="24">
        <v>45721.664075127315</v>
      </c>
      <c r="R272" s="24">
        <v>45636.609775810182</v>
      </c>
      <c r="S272" s="24"/>
      <c r="T272" s="24"/>
      <c r="U272" s="24"/>
      <c r="V272" s="24"/>
      <c r="W272" s="24"/>
      <c r="X272" s="24"/>
      <c r="Y272" s="24">
        <v>46000.414857094911</v>
      </c>
      <c r="Z272" s="24"/>
      <c r="AA272" s="24"/>
      <c r="AB272" s="24"/>
      <c r="AC272" s="24"/>
      <c r="AD272" s="24"/>
      <c r="AE272" s="24"/>
      <c r="AF272" s="24"/>
      <c r="AG272" s="24">
        <v>46160.377809062498</v>
      </c>
    </row>
    <row r="273" spans="1:33" x14ac:dyDescent="0.3">
      <c r="A273" t="s">
        <v>1147</v>
      </c>
      <c r="D273" s="24">
        <v>44978.580625000002</v>
      </c>
      <c r="E273" t="s">
        <v>90</v>
      </c>
      <c r="F273" t="s">
        <v>155</v>
      </c>
      <c r="K273" t="s">
        <v>1000</v>
      </c>
      <c r="L273" s="24"/>
      <c r="M273" s="24"/>
      <c r="N273" s="24"/>
      <c r="O273" s="24"/>
      <c r="P273" s="24"/>
      <c r="Q273" s="24">
        <v>45183.425352928243</v>
      </c>
      <c r="R273" s="24"/>
      <c r="S273" s="24"/>
      <c r="T273" s="24"/>
      <c r="U273" s="24"/>
      <c r="V273" s="24"/>
      <c r="W273" s="24"/>
      <c r="X273" s="24"/>
      <c r="Y273" s="24">
        <v>45338.617527905095</v>
      </c>
      <c r="Z273" s="24"/>
      <c r="AA273" s="24"/>
      <c r="AB273" s="24"/>
      <c r="AC273" s="24"/>
      <c r="AD273" s="24"/>
      <c r="AE273" s="24"/>
      <c r="AF273" s="24"/>
      <c r="AG273" s="24">
        <v>46160.377809062498</v>
      </c>
    </row>
    <row r="274" spans="1:33" x14ac:dyDescent="0.3">
      <c r="A274" t="s">
        <v>1148</v>
      </c>
      <c r="D274" s="24">
        <v>45034.340995370374</v>
      </c>
      <c r="E274" t="s">
        <v>90</v>
      </c>
      <c r="F274" t="s">
        <v>155</v>
      </c>
      <c r="K274" t="s">
        <v>1000</v>
      </c>
      <c r="L274" s="24"/>
      <c r="M274" s="24"/>
      <c r="N274" s="24"/>
      <c r="O274" s="24"/>
      <c r="P274" s="24"/>
      <c r="Q274" s="24">
        <v>45183.423511053239</v>
      </c>
      <c r="R274" s="24"/>
      <c r="S274" s="24"/>
      <c r="T274" s="24"/>
      <c r="U274" s="24"/>
      <c r="V274" s="24"/>
      <c r="W274" s="24"/>
      <c r="X274" s="24"/>
      <c r="Y274" s="24">
        <v>45188.413903506946</v>
      </c>
      <c r="Z274" s="24"/>
      <c r="AA274" s="24"/>
      <c r="AB274" s="24"/>
      <c r="AC274" s="24"/>
      <c r="AD274" s="24"/>
      <c r="AE274" s="24"/>
      <c r="AF274" s="24"/>
      <c r="AG274" s="24">
        <v>46160.377809062498</v>
      </c>
    </row>
    <row r="275" spans="1:33" x14ac:dyDescent="0.3">
      <c r="A275" t="s">
        <v>1149</v>
      </c>
      <c r="D275" s="24">
        <v>44788.630833333336</v>
      </c>
      <c r="E275" t="s">
        <v>90</v>
      </c>
      <c r="F275" t="s">
        <v>155</v>
      </c>
      <c r="K275" t="s">
        <v>1000</v>
      </c>
      <c r="L275" s="24"/>
      <c r="M275" s="24"/>
      <c r="N275" s="24">
        <v>45145.47490228009</v>
      </c>
      <c r="O275" s="24"/>
      <c r="P275" s="24"/>
      <c r="Q275" s="24">
        <v>45145.474852025465</v>
      </c>
      <c r="R275" s="24"/>
      <c r="S275" s="24"/>
      <c r="T275" s="24"/>
      <c r="U275" s="24"/>
      <c r="V275" s="24"/>
      <c r="W275" s="24"/>
      <c r="X275" s="24"/>
      <c r="Y275" s="24">
        <v>45177.817229155095</v>
      </c>
      <c r="Z275" s="24"/>
      <c r="AA275" s="24"/>
      <c r="AB275" s="24"/>
      <c r="AC275" s="24"/>
      <c r="AD275" s="24"/>
      <c r="AE275" s="24"/>
      <c r="AF275" s="24"/>
      <c r="AG275" s="24">
        <v>46160.377809062498</v>
      </c>
    </row>
    <row r="276" spans="1:33" x14ac:dyDescent="0.3">
      <c r="A276" t="s">
        <v>1150</v>
      </c>
      <c r="D276" s="24">
        <v>44957.521979166668</v>
      </c>
      <c r="E276" t="s">
        <v>90</v>
      </c>
      <c r="F276" t="s">
        <v>155</v>
      </c>
      <c r="K276" t="s">
        <v>1000</v>
      </c>
      <c r="L276" s="24"/>
      <c r="M276" s="24"/>
      <c r="N276" s="24"/>
      <c r="O276" s="24"/>
      <c r="P276" s="24"/>
      <c r="Q276" s="24">
        <v>45183.579944409721</v>
      </c>
      <c r="R276" s="24"/>
      <c r="S276" s="24"/>
      <c r="T276" s="24"/>
      <c r="U276" s="24"/>
      <c r="V276" s="24"/>
      <c r="W276" s="24"/>
      <c r="X276" s="24"/>
      <c r="Y276" s="24">
        <v>45183.580032951388</v>
      </c>
      <c r="Z276" s="24"/>
      <c r="AA276" s="24"/>
      <c r="AB276" s="24"/>
      <c r="AC276" s="24"/>
      <c r="AD276" s="24"/>
      <c r="AE276" s="24"/>
      <c r="AF276" s="24"/>
      <c r="AG276" s="24">
        <v>46160.377809062498</v>
      </c>
    </row>
    <row r="277" spans="1:33" x14ac:dyDescent="0.3">
      <c r="A277" t="s">
        <v>1151</v>
      </c>
      <c r="D277" s="24">
        <v>44957.461331018516</v>
      </c>
      <c r="E277" t="s">
        <v>90</v>
      </c>
      <c r="F277" t="s">
        <v>155</v>
      </c>
      <c r="K277" t="s">
        <v>1000</v>
      </c>
      <c r="L277" s="24"/>
      <c r="M277" s="24"/>
      <c r="N277" s="24"/>
      <c r="O277" s="24"/>
      <c r="P277" s="24"/>
      <c r="Q277" s="24">
        <v>45205.638063252314</v>
      </c>
      <c r="R277" s="24"/>
      <c r="S277" s="24"/>
      <c r="T277" s="24"/>
      <c r="U277" s="24"/>
      <c r="V277" s="24"/>
      <c r="W277" s="24"/>
      <c r="X277" s="24"/>
      <c r="Y277" s="24">
        <v>45271.672400706018</v>
      </c>
      <c r="Z277" s="24"/>
      <c r="AA277" s="24"/>
      <c r="AB277" s="24"/>
      <c r="AC277" s="24"/>
      <c r="AD277" s="24"/>
      <c r="AE277" s="24"/>
      <c r="AF277" s="24"/>
      <c r="AG277" s="24">
        <v>46160.377809062498</v>
      </c>
    </row>
    <row r="278" spans="1:33" x14ac:dyDescent="0.3">
      <c r="A278" t="s">
        <v>1152</v>
      </c>
      <c r="D278" s="24">
        <v>45175.550729166665</v>
      </c>
      <c r="E278" t="s">
        <v>90</v>
      </c>
      <c r="F278" t="s">
        <v>155</v>
      </c>
      <c r="K278" t="s">
        <v>1000</v>
      </c>
      <c r="L278" s="24"/>
      <c r="M278" s="24"/>
      <c r="N278" s="24"/>
      <c r="O278" s="24"/>
      <c r="P278" s="24"/>
      <c r="Q278" s="24">
        <v>45175.551726666665</v>
      </c>
      <c r="R278" s="24"/>
      <c r="S278" s="24"/>
      <c r="T278" s="24"/>
      <c r="U278" s="24"/>
      <c r="V278" s="24"/>
      <c r="W278" s="24"/>
      <c r="X278" s="24"/>
      <c r="Y278" s="24">
        <v>45274.367255300924</v>
      </c>
      <c r="Z278" s="24"/>
      <c r="AA278" s="24"/>
      <c r="AB278" s="24"/>
      <c r="AC278" s="24"/>
      <c r="AD278" s="24"/>
      <c r="AE278" s="24"/>
      <c r="AF278" s="24"/>
      <c r="AG278" s="24">
        <v>46160.377809062498</v>
      </c>
    </row>
    <row r="279" spans="1:33" x14ac:dyDescent="0.3">
      <c r="A279" t="s">
        <v>1153</v>
      </c>
      <c r="D279" s="24">
        <v>44957.432210648149</v>
      </c>
      <c r="E279" t="s">
        <v>90</v>
      </c>
      <c r="F279" t="s">
        <v>155</v>
      </c>
      <c r="K279" t="s">
        <v>1000</v>
      </c>
      <c r="L279" s="24"/>
      <c r="M279" s="24"/>
      <c r="N279" s="24">
        <v>45166.620545590275</v>
      </c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>
        <v>45177.846288923611</v>
      </c>
      <c r="Z279" s="24"/>
      <c r="AA279" s="24"/>
      <c r="AB279" s="24"/>
      <c r="AC279" s="24"/>
      <c r="AD279" s="24"/>
      <c r="AE279" s="24"/>
      <c r="AF279" s="24"/>
      <c r="AG279" s="24">
        <v>46160.377809062498</v>
      </c>
    </row>
    <row r="280" spans="1:33" x14ac:dyDescent="0.3">
      <c r="A280" t="s">
        <v>1154</v>
      </c>
      <c r="D280" s="24">
        <v>45183.579074074078</v>
      </c>
      <c r="E280" t="s">
        <v>90</v>
      </c>
      <c r="F280" t="s">
        <v>155</v>
      </c>
      <c r="K280" t="s">
        <v>1000</v>
      </c>
      <c r="L280" s="24"/>
      <c r="M280" s="24"/>
      <c r="N280" s="24"/>
      <c r="O280" s="24"/>
      <c r="P280" s="24"/>
      <c r="Q280" s="24">
        <v>45184.491481921294</v>
      </c>
      <c r="R280" s="24"/>
      <c r="S280" s="24"/>
      <c r="T280" s="24"/>
      <c r="U280" s="24"/>
      <c r="V280" s="24"/>
      <c r="W280" s="24"/>
      <c r="X280" s="24"/>
      <c r="Y280" s="24">
        <v>45440.657715914349</v>
      </c>
      <c r="Z280" s="24"/>
      <c r="AA280" s="24"/>
      <c r="AB280" s="24"/>
      <c r="AC280" s="24"/>
      <c r="AD280" s="24"/>
      <c r="AE280" s="24"/>
      <c r="AF280" s="24"/>
      <c r="AG280" s="24">
        <v>46160.377809062498</v>
      </c>
    </row>
    <row r="281" spans="1:33" x14ac:dyDescent="0.3">
      <c r="A281" t="s">
        <v>1155</v>
      </c>
      <c r="D281" s="24">
        <v>45215.421712962961</v>
      </c>
      <c r="E281" t="s">
        <v>90</v>
      </c>
      <c r="F281" t="s">
        <v>155</v>
      </c>
      <c r="K281" t="s">
        <v>1000</v>
      </c>
      <c r="L281" s="24"/>
      <c r="M281" s="24"/>
      <c r="N281" s="24"/>
      <c r="O281" s="24"/>
      <c r="P281" s="24"/>
      <c r="Q281" s="24">
        <v>45232.408652071761</v>
      </c>
      <c r="R281" s="24"/>
      <c r="S281" s="24"/>
      <c r="T281" s="24"/>
      <c r="U281" s="24"/>
      <c r="V281" s="24"/>
      <c r="W281" s="24"/>
      <c r="X281" s="24"/>
      <c r="Y281" s="24">
        <v>45338.618359293978</v>
      </c>
      <c r="Z281" s="24"/>
      <c r="AA281" s="24"/>
      <c r="AB281" s="24"/>
      <c r="AC281" s="24"/>
      <c r="AD281" s="24"/>
      <c r="AE281" s="24"/>
      <c r="AF281" s="24"/>
      <c r="AG281" s="24">
        <v>46160.377809062498</v>
      </c>
    </row>
    <row r="282" spans="1:33" x14ac:dyDescent="0.3">
      <c r="A282" t="s">
        <v>1156</v>
      </c>
      <c r="D282" s="24">
        <v>45215.664317129631</v>
      </c>
      <c r="E282" t="s">
        <v>90</v>
      </c>
      <c r="F282" t="s">
        <v>155</v>
      </c>
      <c r="K282" t="s">
        <v>1000</v>
      </c>
      <c r="L282" s="24"/>
      <c r="M282" s="24"/>
      <c r="N282" s="24"/>
      <c r="O282" s="24"/>
      <c r="P282" s="24"/>
      <c r="Q282" s="24">
        <v>45219.395385659722</v>
      </c>
      <c r="R282" s="24"/>
      <c r="S282" s="24"/>
      <c r="T282" s="24"/>
      <c r="U282" s="24"/>
      <c r="V282" s="24"/>
      <c r="W282" s="24"/>
      <c r="X282" s="24"/>
      <c r="Y282" s="24">
        <v>45271.673759999998</v>
      </c>
      <c r="Z282" s="24"/>
      <c r="AA282" s="24"/>
      <c r="AB282" s="24"/>
      <c r="AC282" s="24"/>
      <c r="AD282" s="24"/>
      <c r="AE282" s="24"/>
      <c r="AF282" s="24"/>
      <c r="AG282" s="24">
        <v>46160.377809062498</v>
      </c>
    </row>
    <row r="283" spans="1:33" x14ac:dyDescent="0.3">
      <c r="A283" t="s">
        <v>1157</v>
      </c>
      <c r="D283" s="24">
        <v>45218.641898148147</v>
      </c>
      <c r="E283" t="s">
        <v>90</v>
      </c>
      <c r="F283" t="s">
        <v>155</v>
      </c>
      <c r="K283" t="s">
        <v>1000</v>
      </c>
      <c r="L283" s="24"/>
      <c r="M283" s="24"/>
      <c r="N283" s="24"/>
      <c r="O283" s="24"/>
      <c r="P283" s="24"/>
      <c r="Q283" s="24">
        <v>45232.394627002315</v>
      </c>
      <c r="R283" s="24"/>
      <c r="S283" s="24"/>
      <c r="T283" s="24"/>
      <c r="U283" s="24"/>
      <c r="V283" s="24"/>
      <c r="W283" s="24"/>
      <c r="X283" s="24"/>
      <c r="Y283" s="24">
        <v>45533.6351984375</v>
      </c>
      <c r="Z283" s="24"/>
      <c r="AA283" s="24"/>
      <c r="AB283" s="24"/>
      <c r="AC283" s="24"/>
      <c r="AD283" s="24"/>
      <c r="AE283" s="24"/>
      <c r="AF283" s="24"/>
      <c r="AG283" s="24">
        <v>46160.377809062498</v>
      </c>
    </row>
    <row r="284" spans="1:33" x14ac:dyDescent="0.3">
      <c r="A284" t="s">
        <v>1158</v>
      </c>
      <c r="D284" s="24">
        <v>45238.419745370367</v>
      </c>
      <c r="E284" t="s">
        <v>90</v>
      </c>
      <c r="F284" t="s">
        <v>155</v>
      </c>
      <c r="K284" t="s">
        <v>1000</v>
      </c>
      <c r="L284" s="24"/>
      <c r="M284" s="24"/>
      <c r="N284" s="24"/>
      <c r="O284" s="24"/>
      <c r="P284" s="24"/>
      <c r="Q284" s="24">
        <v>45259.372843750003</v>
      </c>
      <c r="R284" s="24"/>
      <c r="S284" s="24"/>
      <c r="T284" s="24"/>
      <c r="U284" s="24"/>
      <c r="V284" s="24"/>
      <c r="W284" s="24"/>
      <c r="X284" s="24"/>
      <c r="Y284" s="24">
        <v>45355.619615983793</v>
      </c>
      <c r="Z284" s="24"/>
      <c r="AA284" s="24"/>
      <c r="AB284" s="24"/>
      <c r="AC284" s="24"/>
      <c r="AD284" s="24"/>
      <c r="AE284" s="24"/>
      <c r="AF284" s="24"/>
      <c r="AG284" s="24">
        <v>46160.377809062498</v>
      </c>
    </row>
    <row r="285" spans="1:33" x14ac:dyDescent="0.3">
      <c r="A285" t="s">
        <v>1159</v>
      </c>
      <c r="D285" s="24">
        <v>45238.421967592592</v>
      </c>
      <c r="E285" t="s">
        <v>90</v>
      </c>
      <c r="F285" t="s">
        <v>155</v>
      </c>
      <c r="K285" t="s">
        <v>1000</v>
      </c>
      <c r="L285" s="24"/>
      <c r="M285" s="24"/>
      <c r="N285" s="24"/>
      <c r="O285" s="24"/>
      <c r="P285" s="24"/>
      <c r="Q285" s="24">
        <v>45252.410149571762</v>
      </c>
      <c r="R285" s="24"/>
      <c r="S285" s="24"/>
      <c r="T285" s="24"/>
      <c r="U285" s="24"/>
      <c r="V285" s="24"/>
      <c r="W285" s="24"/>
      <c r="X285" s="24"/>
      <c r="Y285" s="24">
        <v>45308.663439548611</v>
      </c>
      <c r="Z285" s="24"/>
      <c r="AA285" s="24"/>
      <c r="AB285" s="24"/>
      <c r="AC285" s="24"/>
      <c r="AD285" s="24"/>
      <c r="AE285" s="24"/>
      <c r="AF285" s="24"/>
      <c r="AG285" s="24">
        <v>46160.377809062498</v>
      </c>
    </row>
    <row r="286" spans="1:33" x14ac:dyDescent="0.3">
      <c r="A286" t="s">
        <v>1160</v>
      </c>
      <c r="D286" s="24">
        <v>45299.590266203704</v>
      </c>
      <c r="E286" t="s">
        <v>90</v>
      </c>
      <c r="F286" t="s">
        <v>155</v>
      </c>
      <c r="K286" t="s">
        <v>1000</v>
      </c>
      <c r="L286" s="24"/>
      <c r="M286" s="24"/>
      <c r="N286" s="24"/>
      <c r="O286" s="24"/>
      <c r="P286" s="24"/>
      <c r="Q286" s="24">
        <v>45301.716735185182</v>
      </c>
      <c r="R286" s="24"/>
      <c r="S286" s="24"/>
      <c r="T286" s="24"/>
      <c r="U286" s="24"/>
      <c r="V286" s="24"/>
      <c r="W286" s="24"/>
      <c r="X286" s="24"/>
      <c r="Y286" s="24">
        <v>45338.617838344908</v>
      </c>
      <c r="Z286" s="24"/>
      <c r="AA286" s="24"/>
      <c r="AB286" s="24"/>
      <c r="AC286" s="24"/>
      <c r="AD286" s="24"/>
      <c r="AE286" s="24"/>
      <c r="AF286" s="24"/>
      <c r="AG286" s="24">
        <v>46160.377809062498</v>
      </c>
    </row>
    <row r="287" spans="1:33" x14ac:dyDescent="0.3">
      <c r="A287" t="s">
        <v>1161</v>
      </c>
      <c r="D287" s="24">
        <v>45313.365613425929</v>
      </c>
      <c r="E287" t="s">
        <v>150</v>
      </c>
      <c r="F287" t="s">
        <v>155</v>
      </c>
      <c r="K287" t="s">
        <v>1000</v>
      </c>
      <c r="L287" s="24"/>
      <c r="M287" s="24"/>
      <c r="N287" s="24"/>
      <c r="O287" s="24"/>
      <c r="P287" s="24"/>
      <c r="Q287" s="24">
        <v>45336.607156273145</v>
      </c>
      <c r="R287" s="24"/>
      <c r="S287" s="24"/>
      <c r="T287" s="24"/>
      <c r="U287" s="24"/>
      <c r="V287" s="24"/>
      <c r="W287" s="24">
        <v>45376.594504780092</v>
      </c>
      <c r="X287" s="24"/>
      <c r="Y287" s="24"/>
      <c r="Z287" s="24"/>
      <c r="AA287" s="24"/>
      <c r="AB287" s="24"/>
      <c r="AC287" s="24"/>
      <c r="AD287" s="24"/>
      <c r="AE287" s="24"/>
      <c r="AF287" s="24"/>
      <c r="AG287" s="24">
        <v>46160.377809062498</v>
      </c>
    </row>
    <row r="288" spans="1:33" x14ac:dyDescent="0.3">
      <c r="A288" t="s">
        <v>1162</v>
      </c>
      <c r="D288" s="24">
        <v>45406.621539351851</v>
      </c>
      <c r="E288" t="s">
        <v>90</v>
      </c>
      <c r="F288" t="s">
        <v>155</v>
      </c>
      <c r="K288" t="s">
        <v>1000</v>
      </c>
      <c r="L288" s="24"/>
      <c r="M288" s="24"/>
      <c r="N288" s="24"/>
      <c r="O288" s="24"/>
      <c r="P288" s="24"/>
      <c r="Q288" s="24">
        <v>45436.596112824074</v>
      </c>
      <c r="R288" s="24"/>
      <c r="S288" s="24"/>
      <c r="T288" s="24"/>
      <c r="U288" s="24"/>
      <c r="V288" s="24"/>
      <c r="W288" s="24"/>
      <c r="X288" s="24"/>
      <c r="Y288" s="24">
        <v>45749.327500729167</v>
      </c>
      <c r="Z288" s="24"/>
      <c r="AA288" s="24"/>
      <c r="AB288" s="24"/>
      <c r="AC288" s="24"/>
      <c r="AD288" s="24"/>
      <c r="AE288" s="24"/>
      <c r="AF288" s="24"/>
      <c r="AG288" s="24">
        <v>46160.377809062498</v>
      </c>
    </row>
    <row r="289" spans="1:33" x14ac:dyDescent="0.3">
      <c r="A289" t="s">
        <v>1163</v>
      </c>
      <c r="D289" s="24">
        <v>45408.444837962961</v>
      </c>
      <c r="E289" t="s">
        <v>90</v>
      </c>
      <c r="F289" t="s">
        <v>155</v>
      </c>
      <c r="K289" t="s">
        <v>1000</v>
      </c>
      <c r="L289" s="24"/>
      <c r="M289" s="24"/>
      <c r="N289" s="24"/>
      <c r="O289" s="24"/>
      <c r="P289" s="24"/>
      <c r="Q289" s="24">
        <v>45408.445017731479</v>
      </c>
      <c r="R289" s="24"/>
      <c r="S289" s="24"/>
      <c r="T289" s="24"/>
      <c r="U289" s="24"/>
      <c r="V289" s="24"/>
      <c r="W289" s="24"/>
      <c r="X289" s="24"/>
      <c r="Y289" s="24">
        <v>45548.370944861112</v>
      </c>
      <c r="Z289" s="24"/>
      <c r="AA289" s="24"/>
      <c r="AB289" s="24"/>
      <c r="AC289" s="24"/>
      <c r="AD289" s="24"/>
      <c r="AE289" s="24"/>
      <c r="AF289" s="24"/>
      <c r="AG289" s="24">
        <v>46160.377809062498</v>
      </c>
    </row>
    <row r="290" spans="1:33" x14ac:dyDescent="0.3">
      <c r="A290" t="s">
        <v>1164</v>
      </c>
      <c r="D290" s="24">
        <v>45408.447418981479</v>
      </c>
      <c r="E290" t="s">
        <v>90</v>
      </c>
      <c r="F290" t="s">
        <v>155</v>
      </c>
      <c r="K290" t="s">
        <v>1000</v>
      </c>
      <c r="L290" s="24"/>
      <c r="M290" s="24"/>
      <c r="N290" s="24"/>
      <c r="O290" s="24"/>
      <c r="P290" s="24"/>
      <c r="Q290" s="24">
        <v>45408.447517835652</v>
      </c>
      <c r="R290" s="24"/>
      <c r="S290" s="24"/>
      <c r="T290" s="24"/>
      <c r="U290" s="24"/>
      <c r="V290" s="24"/>
      <c r="W290" s="24"/>
      <c r="X290" s="24"/>
      <c r="Y290" s="24">
        <v>45491.406777245371</v>
      </c>
      <c r="Z290" s="24"/>
      <c r="AA290" s="24"/>
      <c r="AB290" s="24"/>
      <c r="AC290" s="24"/>
      <c r="AD290" s="24"/>
      <c r="AE290" s="24"/>
      <c r="AF290" s="24"/>
      <c r="AG290" s="24">
        <v>46160.377809062498</v>
      </c>
    </row>
    <row r="291" spans="1:33" x14ac:dyDescent="0.3">
      <c r="A291" t="s">
        <v>1165</v>
      </c>
      <c r="D291" s="24">
        <v>45523.432152777779</v>
      </c>
      <c r="E291" t="s">
        <v>90</v>
      </c>
      <c r="F291" t="s">
        <v>155</v>
      </c>
      <c r="K291" t="s">
        <v>1000</v>
      </c>
      <c r="L291" s="24"/>
      <c r="M291" s="24"/>
      <c r="N291" s="24"/>
      <c r="O291" s="24"/>
      <c r="P291" s="24"/>
      <c r="Q291" s="24">
        <v>45524.654471770831</v>
      </c>
      <c r="R291" s="24"/>
      <c r="S291" s="24"/>
      <c r="T291" s="24"/>
      <c r="U291" s="24"/>
      <c r="V291" s="24"/>
      <c r="W291" s="24"/>
      <c r="X291" s="24"/>
      <c r="Y291" s="24">
        <v>45565.32034337963</v>
      </c>
      <c r="Z291" s="24"/>
      <c r="AA291" s="24"/>
      <c r="AB291" s="24"/>
      <c r="AC291" s="24"/>
      <c r="AD291" s="24"/>
      <c r="AE291" s="24"/>
      <c r="AF291" s="24"/>
      <c r="AG291" s="24">
        <v>46160.377809062498</v>
      </c>
    </row>
    <row r="292" spans="1:33" x14ac:dyDescent="0.3">
      <c r="A292" t="s">
        <v>1166</v>
      </c>
      <c r="D292" s="24">
        <v>45636.62740740741</v>
      </c>
      <c r="E292" t="s">
        <v>90</v>
      </c>
      <c r="F292" t="s">
        <v>155</v>
      </c>
      <c r="K292" t="s">
        <v>1000</v>
      </c>
      <c r="L292" s="24"/>
      <c r="M292" s="24"/>
      <c r="N292" s="24"/>
      <c r="O292" s="24"/>
      <c r="P292" s="24"/>
      <c r="Q292" s="24">
        <v>45636.628086712961</v>
      </c>
      <c r="R292" s="24"/>
      <c r="S292" s="24"/>
      <c r="T292" s="24"/>
      <c r="U292" s="24"/>
      <c r="V292" s="24"/>
      <c r="W292" s="24"/>
      <c r="X292" s="24"/>
      <c r="Y292" s="24">
        <v>45643.305339560182</v>
      </c>
      <c r="Z292" s="24"/>
      <c r="AA292" s="24"/>
      <c r="AB292" s="24"/>
      <c r="AC292" s="24"/>
      <c r="AD292" s="24"/>
      <c r="AE292" s="24"/>
      <c r="AF292" s="24"/>
      <c r="AG292" s="24">
        <v>46160.377809062498</v>
      </c>
    </row>
    <row r="293" spans="1:33" x14ac:dyDescent="0.3">
      <c r="A293" t="s">
        <v>1167</v>
      </c>
      <c r="D293" s="24">
        <v>45637.410821759258</v>
      </c>
      <c r="E293" t="s">
        <v>89</v>
      </c>
      <c r="F293" t="s">
        <v>89</v>
      </c>
      <c r="K293" t="s">
        <v>1000</v>
      </c>
      <c r="L293" s="24"/>
      <c r="M293" s="24"/>
      <c r="N293" s="24"/>
      <c r="O293" s="24"/>
      <c r="P293" s="24"/>
      <c r="Q293" s="24">
        <v>45637.411087835651</v>
      </c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>
        <v>46160.377809062498</v>
      </c>
    </row>
    <row r="294" spans="1:33" x14ac:dyDescent="0.3">
      <c r="A294" t="s">
        <v>1168</v>
      </c>
      <c r="D294" s="24">
        <v>45644.546458333331</v>
      </c>
      <c r="E294" t="s">
        <v>90</v>
      </c>
      <c r="F294" t="s">
        <v>155</v>
      </c>
      <c r="K294" t="s">
        <v>1000</v>
      </c>
      <c r="L294" s="24"/>
      <c r="M294" s="24"/>
      <c r="N294" s="24"/>
      <c r="O294" s="24"/>
      <c r="P294" s="24"/>
      <c r="Q294" s="24">
        <v>45834.404105925925</v>
      </c>
      <c r="R294" s="24"/>
      <c r="S294" s="24"/>
      <c r="T294" s="24"/>
      <c r="U294" s="24"/>
      <c r="V294" s="24"/>
      <c r="W294" s="24"/>
      <c r="X294" s="24"/>
      <c r="Y294" s="24">
        <v>45838.530561377316</v>
      </c>
      <c r="Z294" s="24"/>
      <c r="AA294" s="24"/>
      <c r="AB294" s="24"/>
      <c r="AC294" s="24"/>
      <c r="AD294" s="24"/>
      <c r="AE294" s="24"/>
      <c r="AF294" s="24"/>
      <c r="AG294" s="24">
        <v>46160.377809062498</v>
      </c>
    </row>
    <row r="295" spans="1:33" x14ac:dyDescent="0.3">
      <c r="A295" t="s">
        <v>1169</v>
      </c>
      <c r="D295" s="24">
        <v>45687.602743055555</v>
      </c>
      <c r="E295" t="s">
        <v>90</v>
      </c>
      <c r="F295" t="s">
        <v>155</v>
      </c>
      <c r="K295" t="s">
        <v>1000</v>
      </c>
      <c r="L295" s="24"/>
      <c r="M295" s="24"/>
      <c r="N295" s="24"/>
      <c r="O295" s="24"/>
      <c r="P295" s="24"/>
      <c r="Q295" s="24">
        <v>45687.602852766206</v>
      </c>
      <c r="R295" s="24"/>
      <c r="S295" s="24"/>
      <c r="T295" s="24"/>
      <c r="U295" s="24"/>
      <c r="V295" s="24"/>
      <c r="W295" s="24"/>
      <c r="X295" s="24"/>
      <c r="Y295" s="24">
        <v>45838.439523541667</v>
      </c>
      <c r="Z295" s="24"/>
      <c r="AA295" s="24"/>
      <c r="AB295" s="24"/>
      <c r="AC295" s="24"/>
      <c r="AD295" s="24"/>
      <c r="AE295" s="24"/>
      <c r="AF295" s="24"/>
      <c r="AG295" s="24">
        <v>46160.377809062498</v>
      </c>
    </row>
    <row r="296" spans="1:33" x14ac:dyDescent="0.3">
      <c r="A296" t="s">
        <v>1170</v>
      </c>
      <c r="D296" s="24">
        <v>45775.366180555553</v>
      </c>
      <c r="E296" t="s">
        <v>90</v>
      </c>
      <c r="F296" t="s">
        <v>155</v>
      </c>
      <c r="K296" t="s">
        <v>1000</v>
      </c>
      <c r="L296" s="24"/>
      <c r="M296" s="24"/>
      <c r="N296" s="24"/>
      <c r="O296" s="24"/>
      <c r="P296" s="24"/>
      <c r="Q296" s="24">
        <v>45776.613292083333</v>
      </c>
      <c r="R296" s="24"/>
      <c r="S296" s="24"/>
      <c r="T296" s="24"/>
      <c r="U296" s="24"/>
      <c r="V296" s="24"/>
      <c r="W296" s="24"/>
      <c r="X296" s="24"/>
      <c r="Y296" s="24">
        <v>45838.526281967592</v>
      </c>
      <c r="Z296" s="24"/>
      <c r="AA296" s="24"/>
      <c r="AB296" s="24"/>
      <c r="AC296" s="24"/>
      <c r="AD296" s="24"/>
      <c r="AE296" s="24"/>
      <c r="AF296" s="24"/>
      <c r="AG296" s="24">
        <v>46160.377809062498</v>
      </c>
    </row>
    <row r="297" spans="1:33" x14ac:dyDescent="0.3">
      <c r="A297" t="s">
        <v>1742</v>
      </c>
      <c r="D297" s="24">
        <v>44638.537488425929</v>
      </c>
      <c r="E297" t="s">
        <v>90</v>
      </c>
      <c r="F297" t="s">
        <v>155</v>
      </c>
      <c r="K297" t="s">
        <v>1001</v>
      </c>
      <c r="L297" s="24"/>
      <c r="M297" s="24"/>
      <c r="N297" s="24"/>
      <c r="O297" s="24"/>
      <c r="P297" s="24"/>
      <c r="Q297" s="24">
        <v>45274.521188113424</v>
      </c>
      <c r="R297" s="24"/>
      <c r="S297" s="24"/>
      <c r="T297" s="24"/>
      <c r="U297" s="24"/>
      <c r="V297" s="24"/>
      <c r="W297" s="24"/>
      <c r="X297" s="24"/>
      <c r="Y297" s="24">
        <v>45274.521238194444</v>
      </c>
      <c r="Z297" s="24"/>
      <c r="AA297" s="24"/>
      <c r="AB297" s="24"/>
      <c r="AC297" s="24"/>
      <c r="AD297" s="24"/>
      <c r="AE297" s="24"/>
      <c r="AF297" s="24"/>
      <c r="AG297" s="24">
        <v>46160.377809062498</v>
      </c>
    </row>
    <row r="298" spans="1:33" x14ac:dyDescent="0.3">
      <c r="A298" t="s">
        <v>1743</v>
      </c>
      <c r="D298" s="24">
        <v>45015.548564814817</v>
      </c>
      <c r="E298" t="s">
        <v>90</v>
      </c>
      <c r="F298" t="s">
        <v>155</v>
      </c>
      <c r="K298" t="s">
        <v>1001</v>
      </c>
      <c r="L298" s="24"/>
      <c r="M298" s="24"/>
      <c r="N298" s="24"/>
      <c r="O298" s="24"/>
      <c r="P298" s="24"/>
      <c r="Q298" s="24">
        <v>45044.677671550926</v>
      </c>
      <c r="R298" s="24"/>
      <c r="S298" s="24"/>
      <c r="T298" s="24"/>
      <c r="U298" s="24"/>
      <c r="V298" s="24"/>
      <c r="W298" s="24"/>
      <c r="X298" s="24"/>
      <c r="Y298" s="24">
        <v>45274.51827403935</v>
      </c>
      <c r="Z298" s="24"/>
      <c r="AA298" s="24"/>
      <c r="AB298" s="24"/>
      <c r="AC298" s="24"/>
      <c r="AD298" s="24"/>
      <c r="AE298" s="24"/>
      <c r="AF298" s="24"/>
      <c r="AG298" s="24">
        <v>46160.377809062498</v>
      </c>
    </row>
    <row r="299" spans="1:33" x14ac:dyDescent="0.3">
      <c r="A299" t="s">
        <v>1744</v>
      </c>
      <c r="D299" s="24">
        <v>45110.568449074075</v>
      </c>
      <c r="E299" t="s">
        <v>90</v>
      </c>
      <c r="F299" t="s">
        <v>155</v>
      </c>
      <c r="K299" t="s">
        <v>1001</v>
      </c>
      <c r="L299" s="24"/>
      <c r="M299" s="24"/>
      <c r="N299" s="24"/>
      <c r="O299" s="24"/>
      <c r="P299" s="24"/>
      <c r="Q299" s="24">
        <v>45177.666484837966</v>
      </c>
      <c r="R299" s="24"/>
      <c r="S299" s="24"/>
      <c r="T299" s="24"/>
      <c r="U299" s="24"/>
      <c r="V299" s="24"/>
      <c r="W299" s="24"/>
      <c r="X299" s="24"/>
      <c r="Y299" s="24">
        <v>45274.520578622687</v>
      </c>
      <c r="Z299" s="24"/>
      <c r="AA299" s="24"/>
      <c r="AB299" s="24"/>
      <c r="AC299" s="24"/>
      <c r="AD299" s="24"/>
      <c r="AE299" s="24"/>
      <c r="AF299" s="24"/>
      <c r="AG299" s="24">
        <v>46160.377809062498</v>
      </c>
    </row>
    <row r="300" spans="1:33" x14ac:dyDescent="0.3">
      <c r="A300" t="s">
        <v>1745</v>
      </c>
      <c r="D300" s="24">
        <v>44567.386643518519</v>
      </c>
      <c r="E300" t="s">
        <v>90</v>
      </c>
      <c r="F300" t="s">
        <v>155</v>
      </c>
      <c r="K300" t="s">
        <v>1001</v>
      </c>
      <c r="L300" s="24"/>
      <c r="M300" s="24"/>
      <c r="N300" s="24"/>
      <c r="O300" s="24"/>
      <c r="P300" s="24"/>
      <c r="Q300" s="24">
        <v>45299.452108206016</v>
      </c>
      <c r="R300" s="24"/>
      <c r="S300" s="24"/>
      <c r="T300" s="24"/>
      <c r="U300" s="24"/>
      <c r="V300" s="24"/>
      <c r="W300" s="24"/>
      <c r="X300" s="24"/>
      <c r="Y300" s="24">
        <v>45299.452154189814</v>
      </c>
      <c r="Z300" s="24"/>
      <c r="AA300" s="24"/>
      <c r="AB300" s="24"/>
      <c r="AC300" s="24"/>
      <c r="AD300" s="24"/>
      <c r="AE300" s="24"/>
      <c r="AF300" s="24"/>
      <c r="AG300" s="24">
        <v>46160.377809062498</v>
      </c>
    </row>
    <row r="301" spans="1:33" x14ac:dyDescent="0.3">
      <c r="A301" t="s">
        <v>1746</v>
      </c>
      <c r="D301" s="24">
        <v>45099.389780092592</v>
      </c>
      <c r="E301" t="s">
        <v>150</v>
      </c>
      <c r="F301" t="s">
        <v>155</v>
      </c>
      <c r="K301" t="s">
        <v>1001</v>
      </c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>
        <v>45327.459805393519</v>
      </c>
      <c r="X301" s="24"/>
      <c r="Y301" s="24"/>
      <c r="Z301" s="24"/>
      <c r="AA301" s="24"/>
      <c r="AB301" s="24"/>
      <c r="AC301" s="24"/>
      <c r="AD301" s="24"/>
      <c r="AE301" s="24"/>
      <c r="AF301" s="24"/>
      <c r="AG301" s="24">
        <v>46160.377809062498</v>
      </c>
    </row>
    <row r="302" spans="1:33" x14ac:dyDescent="0.3">
      <c r="A302" t="s">
        <v>1747</v>
      </c>
      <c r="D302" s="24">
        <v>44596.608287037037</v>
      </c>
      <c r="E302" t="s">
        <v>90</v>
      </c>
      <c r="F302" t="s">
        <v>155</v>
      </c>
      <c r="K302" t="s">
        <v>1001</v>
      </c>
      <c r="L302" s="24"/>
      <c r="M302" s="24"/>
      <c r="N302" s="24"/>
      <c r="O302" s="24"/>
      <c r="P302" s="24"/>
      <c r="Q302" s="24">
        <v>45229.445575995371</v>
      </c>
      <c r="R302" s="24"/>
      <c r="S302" s="24"/>
      <c r="T302" s="24"/>
      <c r="U302" s="24"/>
      <c r="V302" s="24"/>
      <c r="W302" s="24"/>
      <c r="X302" s="24"/>
      <c r="Y302" s="24">
        <v>45987.550858657407</v>
      </c>
      <c r="Z302" s="24"/>
      <c r="AA302" s="24"/>
      <c r="AB302" s="24"/>
      <c r="AC302" s="24"/>
      <c r="AD302" s="24"/>
      <c r="AE302" s="24"/>
      <c r="AF302" s="24"/>
      <c r="AG302" s="24">
        <v>46160.377809062498</v>
      </c>
    </row>
    <row r="303" spans="1:33" x14ac:dyDescent="0.3">
      <c r="A303" t="s">
        <v>1748</v>
      </c>
      <c r="D303" s="24">
        <v>45029.404745370368</v>
      </c>
      <c r="E303" t="s">
        <v>90</v>
      </c>
      <c r="F303" t="s">
        <v>155</v>
      </c>
      <c r="K303" t="s">
        <v>1001</v>
      </c>
      <c r="L303" s="24"/>
      <c r="M303" s="24"/>
      <c r="N303" s="24"/>
      <c r="O303" s="24"/>
      <c r="P303" s="24"/>
      <c r="Q303" s="24">
        <v>45299.464408217595</v>
      </c>
      <c r="R303" s="24"/>
      <c r="S303" s="24"/>
      <c r="T303" s="24"/>
      <c r="U303" s="24"/>
      <c r="V303" s="24"/>
      <c r="W303" s="24"/>
      <c r="X303" s="24"/>
      <c r="Y303" s="24">
        <v>45299.464466307872</v>
      </c>
      <c r="Z303" s="24"/>
      <c r="AA303" s="24"/>
      <c r="AB303" s="24"/>
      <c r="AC303" s="24"/>
      <c r="AD303" s="24"/>
      <c r="AE303" s="24"/>
      <c r="AF303" s="24"/>
      <c r="AG303" s="24">
        <v>46160.377809062498</v>
      </c>
    </row>
    <row r="304" spans="1:33" x14ac:dyDescent="0.3">
      <c r="A304" t="s">
        <v>1749</v>
      </c>
      <c r="D304" s="24">
        <v>45099.386550925927</v>
      </c>
      <c r="E304" t="s">
        <v>90</v>
      </c>
      <c r="F304" t="s">
        <v>155</v>
      </c>
      <c r="K304" t="s">
        <v>1001</v>
      </c>
      <c r="L304" s="24"/>
      <c r="M304" s="24"/>
      <c r="N304" s="24"/>
      <c r="O304" s="24"/>
      <c r="P304" s="24"/>
      <c r="Q304" s="24">
        <v>45187.498110497683</v>
      </c>
      <c r="R304" s="24"/>
      <c r="S304" s="24"/>
      <c r="T304" s="24"/>
      <c r="U304" s="24"/>
      <c r="V304" s="24"/>
      <c r="W304" s="24"/>
      <c r="X304" s="24"/>
      <c r="Y304" s="24">
        <v>45327.512212280089</v>
      </c>
      <c r="Z304" s="24"/>
      <c r="AA304" s="24"/>
      <c r="AB304" s="24"/>
      <c r="AC304" s="24"/>
      <c r="AD304" s="24"/>
      <c r="AE304" s="24"/>
      <c r="AF304" s="24"/>
      <c r="AG304" s="24">
        <v>46160.377809062498</v>
      </c>
    </row>
    <row r="305" spans="1:33" x14ac:dyDescent="0.3">
      <c r="A305" t="s">
        <v>1750</v>
      </c>
      <c r="D305" s="24">
        <v>44663.36917824074</v>
      </c>
      <c r="E305" t="s">
        <v>90</v>
      </c>
      <c r="F305" t="s">
        <v>155</v>
      </c>
      <c r="K305" t="s">
        <v>1001</v>
      </c>
      <c r="L305" s="24"/>
      <c r="M305" s="24"/>
      <c r="N305" s="24"/>
      <c r="O305" s="24"/>
      <c r="P305" s="24"/>
      <c r="Q305" s="24">
        <v>45299.467748495372</v>
      </c>
      <c r="R305" s="24"/>
      <c r="S305" s="24"/>
      <c r="T305" s="24"/>
      <c r="U305" s="24"/>
      <c r="V305" s="24"/>
      <c r="W305" s="24"/>
      <c r="X305" s="24"/>
      <c r="Y305" s="24">
        <v>45299.467872395835</v>
      </c>
      <c r="Z305" s="24"/>
      <c r="AA305" s="24"/>
      <c r="AB305" s="24"/>
      <c r="AC305" s="24"/>
      <c r="AD305" s="24"/>
      <c r="AE305" s="24"/>
      <c r="AF305" s="24"/>
      <c r="AG305" s="24">
        <v>46160.377809062498</v>
      </c>
    </row>
    <row r="306" spans="1:33" x14ac:dyDescent="0.3">
      <c r="A306" t="s">
        <v>1751</v>
      </c>
      <c r="D306" s="24">
        <v>44904.331793981481</v>
      </c>
      <c r="E306" t="s">
        <v>90</v>
      </c>
      <c r="F306" t="s">
        <v>155</v>
      </c>
      <c r="K306" t="s">
        <v>1001</v>
      </c>
      <c r="L306" s="24"/>
      <c r="M306" s="24"/>
      <c r="N306" s="24"/>
      <c r="O306" s="24"/>
      <c r="P306" s="24"/>
      <c r="Q306" s="24">
        <v>45274.519004675923</v>
      </c>
      <c r="R306" s="24"/>
      <c r="S306" s="24"/>
      <c r="T306" s="24"/>
      <c r="U306" s="24"/>
      <c r="V306" s="24"/>
      <c r="W306" s="24"/>
      <c r="X306" s="24"/>
      <c r="Y306" s="24">
        <v>45274.51936697917</v>
      </c>
      <c r="Z306" s="24"/>
      <c r="AA306" s="24"/>
      <c r="AB306" s="24"/>
      <c r="AC306" s="24"/>
      <c r="AD306" s="24"/>
      <c r="AE306" s="24"/>
      <c r="AF306" s="24"/>
      <c r="AG306" s="24">
        <v>46160.377809062498</v>
      </c>
    </row>
    <row r="307" spans="1:33" x14ac:dyDescent="0.3">
      <c r="A307" t="s">
        <v>1752</v>
      </c>
      <c r="D307" s="24">
        <v>44571.380300925928</v>
      </c>
      <c r="E307" t="s">
        <v>90</v>
      </c>
      <c r="F307" t="s">
        <v>155</v>
      </c>
      <c r="K307" t="s">
        <v>1001</v>
      </c>
      <c r="L307" s="24"/>
      <c r="M307" s="24"/>
      <c r="N307" s="24"/>
      <c r="O307" s="24"/>
      <c r="P307" s="24"/>
      <c r="Q307" s="24">
        <v>45327.459132986114</v>
      </c>
      <c r="R307" s="24"/>
      <c r="S307" s="24"/>
      <c r="T307" s="24"/>
      <c r="U307" s="24"/>
      <c r="V307" s="24"/>
      <c r="W307" s="24"/>
      <c r="X307" s="24"/>
      <c r="Y307" s="24">
        <v>45327.45921572917</v>
      </c>
      <c r="Z307" s="24"/>
      <c r="AA307" s="24"/>
      <c r="AB307" s="24"/>
      <c r="AC307" s="24"/>
      <c r="AD307" s="24"/>
      <c r="AE307" s="24"/>
      <c r="AF307" s="24"/>
      <c r="AG307" s="24">
        <v>46160.377809062498</v>
      </c>
    </row>
    <row r="308" spans="1:33" x14ac:dyDescent="0.3">
      <c r="A308" t="s">
        <v>1753</v>
      </c>
      <c r="D308" s="24">
        <v>44547.482743055552</v>
      </c>
      <c r="E308" t="s">
        <v>90</v>
      </c>
      <c r="F308" t="s">
        <v>155</v>
      </c>
      <c r="K308" t="s">
        <v>1001</v>
      </c>
      <c r="L308" s="24"/>
      <c r="M308" s="24"/>
      <c r="N308" s="24"/>
      <c r="O308" s="24"/>
      <c r="P308" s="24"/>
      <c r="Q308" s="24">
        <v>45189.470153391201</v>
      </c>
      <c r="R308" s="24"/>
      <c r="S308" s="24"/>
      <c r="T308" s="24"/>
      <c r="U308" s="24"/>
      <c r="V308" s="24"/>
      <c r="W308" s="24"/>
      <c r="X308" s="24"/>
      <c r="Y308" s="24">
        <v>45189.470245231481</v>
      </c>
      <c r="Z308" s="24"/>
      <c r="AA308" s="24"/>
      <c r="AB308" s="24"/>
      <c r="AC308" s="24"/>
      <c r="AD308" s="24"/>
      <c r="AE308" s="24"/>
      <c r="AF308" s="24"/>
      <c r="AG308" s="24">
        <v>46160.377809062498</v>
      </c>
    </row>
    <row r="309" spans="1:33" x14ac:dyDescent="0.3">
      <c r="A309" t="s">
        <v>1754</v>
      </c>
      <c r="D309" s="24">
        <v>45092.585497685184</v>
      </c>
      <c r="E309" t="s">
        <v>90</v>
      </c>
      <c r="F309" t="s">
        <v>155</v>
      </c>
      <c r="K309" t="s">
        <v>1001</v>
      </c>
      <c r="L309" s="24"/>
      <c r="M309" s="24"/>
      <c r="N309" s="24"/>
      <c r="O309" s="24"/>
      <c r="P309" s="24"/>
      <c r="Q309" s="24">
        <v>45295.495667152776</v>
      </c>
      <c r="R309" s="24"/>
      <c r="S309" s="24"/>
      <c r="T309" s="24"/>
      <c r="U309" s="24"/>
      <c r="V309" s="24"/>
      <c r="W309" s="24"/>
      <c r="X309" s="24"/>
      <c r="Y309" s="24">
        <v>45295.495720601852</v>
      </c>
      <c r="Z309" s="24"/>
      <c r="AA309" s="24"/>
      <c r="AB309" s="24"/>
      <c r="AC309" s="24"/>
      <c r="AD309" s="24"/>
      <c r="AE309" s="24"/>
      <c r="AF309" s="24"/>
      <c r="AG309" s="24">
        <v>46160.377809062498</v>
      </c>
    </row>
    <row r="310" spans="1:33" x14ac:dyDescent="0.3">
      <c r="A310" t="s">
        <v>1755</v>
      </c>
      <c r="D310" s="24">
        <v>44896.477743055555</v>
      </c>
      <c r="E310" t="s">
        <v>90</v>
      </c>
      <c r="F310" t="s">
        <v>155</v>
      </c>
      <c r="K310" t="s">
        <v>1001</v>
      </c>
      <c r="L310" s="24"/>
      <c r="M310" s="24"/>
      <c r="N310" s="24"/>
      <c r="O310" s="24"/>
      <c r="P310" s="24"/>
      <c r="Q310" s="24">
        <v>45299.460255868056</v>
      </c>
      <c r="R310" s="24"/>
      <c r="S310" s="24"/>
      <c r="T310" s="24"/>
      <c r="U310" s="24"/>
      <c r="V310" s="24"/>
      <c r="W310" s="24"/>
      <c r="X310" s="24"/>
      <c r="Y310" s="24">
        <v>45299.460316041666</v>
      </c>
      <c r="Z310" s="24"/>
      <c r="AA310" s="24"/>
      <c r="AB310" s="24"/>
      <c r="AC310" s="24"/>
      <c r="AD310" s="24"/>
      <c r="AE310" s="24"/>
      <c r="AF310" s="24"/>
      <c r="AG310" s="24">
        <v>46160.377809062498</v>
      </c>
    </row>
    <row r="311" spans="1:33" x14ac:dyDescent="0.3">
      <c r="A311" t="s">
        <v>1756</v>
      </c>
      <c r="D311" s="24">
        <v>44873.487951388888</v>
      </c>
      <c r="E311" t="s">
        <v>90</v>
      </c>
      <c r="F311" t="s">
        <v>155</v>
      </c>
      <c r="K311" t="s">
        <v>1001</v>
      </c>
      <c r="L311" s="24"/>
      <c r="M311" s="24"/>
      <c r="N311" s="24"/>
      <c r="O311" s="24"/>
      <c r="P311" s="24"/>
      <c r="Q311" s="24">
        <v>45400.363925613427</v>
      </c>
      <c r="R311" s="24"/>
      <c r="S311" s="24"/>
      <c r="T311" s="24"/>
      <c r="U311" s="24"/>
      <c r="V311" s="24"/>
      <c r="W311" s="24"/>
      <c r="X311" s="24"/>
      <c r="Y311" s="24">
        <v>45992.565398530096</v>
      </c>
      <c r="Z311" s="24"/>
      <c r="AA311" s="24"/>
      <c r="AB311" s="24"/>
      <c r="AC311" s="24"/>
      <c r="AD311" s="24"/>
      <c r="AE311" s="24"/>
      <c r="AF311" s="24"/>
      <c r="AG311" s="24">
        <v>46160.377809062498</v>
      </c>
    </row>
    <row r="312" spans="1:33" x14ac:dyDescent="0.3">
      <c r="A312" t="s">
        <v>1757</v>
      </c>
      <c r="D312" s="24">
        <v>44839.394814814812</v>
      </c>
      <c r="E312" t="s">
        <v>90</v>
      </c>
      <c r="F312" t="s">
        <v>155</v>
      </c>
      <c r="K312" t="s">
        <v>1001</v>
      </c>
      <c r="L312" s="24"/>
      <c r="M312" s="24"/>
      <c r="N312" s="24"/>
      <c r="O312" s="24"/>
      <c r="P312" s="24"/>
      <c r="Q312" s="24">
        <v>45244.309540162038</v>
      </c>
      <c r="R312" s="24"/>
      <c r="S312" s="24"/>
      <c r="T312" s="24"/>
      <c r="U312" s="24"/>
      <c r="V312" s="24"/>
      <c r="W312" s="24"/>
      <c r="X312" s="24"/>
      <c r="Y312" s="24">
        <v>45327.498279224536</v>
      </c>
      <c r="Z312" s="24"/>
      <c r="AA312" s="24"/>
      <c r="AB312" s="24"/>
      <c r="AC312" s="24"/>
      <c r="AD312" s="24"/>
      <c r="AE312" s="24"/>
      <c r="AF312" s="24"/>
      <c r="AG312" s="24">
        <v>46160.377809062498</v>
      </c>
    </row>
    <row r="313" spans="1:33" x14ac:dyDescent="0.3">
      <c r="A313" t="s">
        <v>1758</v>
      </c>
      <c r="D313" s="24">
        <v>44547.482743055552</v>
      </c>
      <c r="E313" t="s">
        <v>90</v>
      </c>
      <c r="F313" t="s">
        <v>155</v>
      </c>
      <c r="K313" t="s">
        <v>1001</v>
      </c>
      <c r="L313" s="24"/>
      <c r="M313" s="24"/>
      <c r="N313" s="24"/>
      <c r="O313" s="24"/>
      <c r="P313" s="24"/>
      <c r="Q313" s="24">
        <v>45205.519238634261</v>
      </c>
      <c r="R313" s="24"/>
      <c r="S313" s="24"/>
      <c r="T313" s="24"/>
      <c r="U313" s="24"/>
      <c r="V313" s="24"/>
      <c r="W313" s="24"/>
      <c r="X313" s="24"/>
      <c r="Y313" s="24">
        <v>45205.519420462966</v>
      </c>
      <c r="Z313" s="24"/>
      <c r="AA313" s="24"/>
      <c r="AB313" s="24"/>
      <c r="AC313" s="24"/>
      <c r="AD313" s="24"/>
      <c r="AE313" s="24"/>
      <c r="AF313" s="24"/>
      <c r="AG313" s="24">
        <v>46160.377809062498</v>
      </c>
    </row>
    <row r="314" spans="1:33" x14ac:dyDescent="0.3">
      <c r="A314" t="s">
        <v>1759</v>
      </c>
      <c r="D314" s="24">
        <v>45110.412199074075</v>
      </c>
      <c r="E314" t="s">
        <v>90</v>
      </c>
      <c r="F314" t="s">
        <v>155</v>
      </c>
      <c r="K314" t="s">
        <v>1001</v>
      </c>
      <c r="L314" s="24"/>
      <c r="M314" s="24"/>
      <c r="N314" s="24"/>
      <c r="O314" s="24"/>
      <c r="P314" s="24"/>
      <c r="Q314" s="24">
        <v>45205.525074618054</v>
      </c>
      <c r="R314" s="24"/>
      <c r="S314" s="24"/>
      <c r="T314" s="24"/>
      <c r="U314" s="24"/>
      <c r="V314" s="24"/>
      <c r="W314" s="24"/>
      <c r="X314" s="24"/>
      <c r="Y314" s="24">
        <v>45205.525134398151</v>
      </c>
      <c r="Z314" s="24"/>
      <c r="AA314" s="24"/>
      <c r="AB314" s="24"/>
      <c r="AC314" s="24"/>
      <c r="AD314" s="24"/>
      <c r="AE314" s="24"/>
      <c r="AF314" s="24"/>
      <c r="AG314" s="24">
        <v>46160.377809062498</v>
      </c>
    </row>
    <row r="315" spans="1:33" x14ac:dyDescent="0.3">
      <c r="A315" t="s">
        <v>1760</v>
      </c>
      <c r="D315" s="24">
        <v>44792.590833333335</v>
      </c>
      <c r="E315" t="s">
        <v>150</v>
      </c>
      <c r="F315" t="s">
        <v>155</v>
      </c>
      <c r="K315" t="s">
        <v>1001</v>
      </c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>
        <v>45274.526266932873</v>
      </c>
      <c r="X315" s="24"/>
      <c r="Y315" s="24"/>
      <c r="Z315" s="24"/>
      <c r="AA315" s="24"/>
      <c r="AB315" s="24"/>
      <c r="AC315" s="24"/>
      <c r="AD315" s="24"/>
      <c r="AE315" s="24"/>
      <c r="AF315" s="24"/>
      <c r="AG315" s="24">
        <v>46160.377809062498</v>
      </c>
    </row>
    <row r="316" spans="1:33" x14ac:dyDescent="0.3">
      <c r="A316" t="s">
        <v>1761</v>
      </c>
      <c r="D316" s="24">
        <v>45110.569328703707</v>
      </c>
      <c r="E316" t="s">
        <v>90</v>
      </c>
      <c r="F316" t="s">
        <v>155</v>
      </c>
      <c r="K316" t="s">
        <v>1001</v>
      </c>
      <c r="L316" s="24"/>
      <c r="M316" s="24"/>
      <c r="N316" s="24"/>
      <c r="O316" s="24"/>
      <c r="P316" s="24"/>
      <c r="Q316" s="24">
        <v>45219.478462939813</v>
      </c>
      <c r="R316" s="24"/>
      <c r="S316" s="24"/>
      <c r="T316" s="24"/>
      <c r="U316" s="24"/>
      <c r="V316" s="24"/>
      <c r="W316" s="24"/>
      <c r="X316" s="24"/>
      <c r="Y316" s="24">
        <v>45274.519733368055</v>
      </c>
      <c r="Z316" s="24"/>
      <c r="AA316" s="24"/>
      <c r="AB316" s="24"/>
      <c r="AC316" s="24"/>
      <c r="AD316" s="24"/>
      <c r="AE316" s="24"/>
      <c r="AF316" s="24"/>
      <c r="AG316" s="24">
        <v>46160.377809062498</v>
      </c>
    </row>
    <row r="317" spans="1:33" x14ac:dyDescent="0.3">
      <c r="A317" t="s">
        <v>1762</v>
      </c>
      <c r="D317" s="24">
        <v>45225.471516203703</v>
      </c>
      <c r="E317" t="s">
        <v>90</v>
      </c>
      <c r="F317" t="s">
        <v>155</v>
      </c>
      <c r="K317" t="s">
        <v>1001</v>
      </c>
      <c r="L317" s="24"/>
      <c r="M317" s="24"/>
      <c r="N317" s="24"/>
      <c r="O317" s="24"/>
      <c r="P317" s="24"/>
      <c r="Q317" s="24">
        <v>45238.458023726853</v>
      </c>
      <c r="R317" s="24"/>
      <c r="S317" s="24"/>
      <c r="T317" s="24"/>
      <c r="U317" s="24"/>
      <c r="V317" s="24"/>
      <c r="W317" s="24"/>
      <c r="X317" s="24"/>
      <c r="Y317" s="24">
        <v>45376.478990127318</v>
      </c>
      <c r="Z317" s="24"/>
      <c r="AA317" s="24"/>
      <c r="AB317" s="24"/>
      <c r="AC317" s="24"/>
      <c r="AD317" s="24"/>
      <c r="AE317" s="24"/>
      <c r="AF317" s="24"/>
      <c r="AG317" s="24">
        <v>46160.377809062498</v>
      </c>
    </row>
    <row r="318" spans="1:33" x14ac:dyDescent="0.3">
      <c r="A318" t="s">
        <v>1763</v>
      </c>
      <c r="D318" s="24">
        <v>45225.475405092591</v>
      </c>
      <c r="E318" t="s">
        <v>90</v>
      </c>
      <c r="F318" t="s">
        <v>155</v>
      </c>
      <c r="K318" t="s">
        <v>1001</v>
      </c>
      <c r="L318" s="24"/>
      <c r="M318" s="24"/>
      <c r="N318" s="24"/>
      <c r="O318" s="24"/>
      <c r="P318" s="24"/>
      <c r="Q318" s="24">
        <v>45245.461790312504</v>
      </c>
      <c r="R318" s="24"/>
      <c r="S318" s="24"/>
      <c r="T318" s="24"/>
      <c r="U318" s="24"/>
      <c r="V318" s="24"/>
      <c r="W318" s="24"/>
      <c r="X318" s="24"/>
      <c r="Y318" s="24">
        <v>45323.63933017361</v>
      </c>
      <c r="Z318" s="24"/>
      <c r="AA318" s="24"/>
      <c r="AB318" s="24"/>
      <c r="AC318" s="24"/>
      <c r="AD318" s="24"/>
      <c r="AE318" s="24"/>
      <c r="AF318" s="24"/>
      <c r="AG318" s="24">
        <v>46160.377809062498</v>
      </c>
    </row>
    <row r="319" spans="1:33" x14ac:dyDescent="0.3">
      <c r="A319" t="s">
        <v>1764</v>
      </c>
      <c r="D319" s="24">
        <v>45254.447314814817</v>
      </c>
      <c r="E319" t="s">
        <v>89</v>
      </c>
      <c r="F319" t="s">
        <v>89</v>
      </c>
      <c r="K319" t="s">
        <v>1001</v>
      </c>
      <c r="L319" s="24"/>
      <c r="M319" s="24"/>
      <c r="N319" s="24"/>
      <c r="O319" s="24"/>
      <c r="P319" s="24"/>
      <c r="Q319" s="24">
        <v>45257.43116547454</v>
      </c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>
        <v>46160.377809062498</v>
      </c>
    </row>
    <row r="320" spans="1:33" x14ac:dyDescent="0.3">
      <c r="A320" t="s">
        <v>1765</v>
      </c>
      <c r="D320" s="24">
        <v>45274.50508101852</v>
      </c>
      <c r="E320" t="s">
        <v>90</v>
      </c>
      <c r="F320" t="s">
        <v>155</v>
      </c>
      <c r="K320" t="s">
        <v>1001</v>
      </c>
      <c r="L320" s="24"/>
      <c r="M320" s="24"/>
      <c r="N320" s="24"/>
      <c r="O320" s="24"/>
      <c r="P320" s="24"/>
      <c r="Q320" s="24">
        <v>45443.487723923608</v>
      </c>
      <c r="R320" s="24"/>
      <c r="S320" s="24"/>
      <c r="T320" s="24"/>
      <c r="U320" s="24"/>
      <c r="V320" s="24"/>
      <c r="W320" s="24"/>
      <c r="X320" s="24"/>
      <c r="Y320" s="24">
        <v>45987.551356006945</v>
      </c>
      <c r="Z320" s="24"/>
      <c r="AA320" s="24"/>
      <c r="AB320" s="24"/>
      <c r="AC320" s="24"/>
      <c r="AD320" s="24"/>
      <c r="AE320" s="24"/>
      <c r="AF320" s="24"/>
      <c r="AG320" s="24">
        <v>46160.377809062498</v>
      </c>
    </row>
    <row r="321" spans="1:33" x14ac:dyDescent="0.3">
      <c r="A321" t="s">
        <v>1766</v>
      </c>
      <c r="D321" s="24">
        <v>45299.499479166669</v>
      </c>
      <c r="E321" t="s">
        <v>90</v>
      </c>
      <c r="F321" t="s">
        <v>155</v>
      </c>
      <c r="K321" t="s">
        <v>1001</v>
      </c>
      <c r="L321" s="24"/>
      <c r="M321" s="24"/>
      <c r="N321" s="24"/>
      <c r="O321" s="24"/>
      <c r="P321" s="24"/>
      <c r="Q321" s="24">
        <v>45299.705788761574</v>
      </c>
      <c r="R321" s="24"/>
      <c r="S321" s="24"/>
      <c r="T321" s="24"/>
      <c r="U321" s="24"/>
      <c r="V321" s="24"/>
      <c r="W321" s="24"/>
      <c r="X321" s="24"/>
      <c r="Y321" s="24">
        <v>45639.447781747687</v>
      </c>
      <c r="Z321" s="24"/>
      <c r="AA321" s="24"/>
      <c r="AB321" s="24"/>
      <c r="AC321" s="24"/>
      <c r="AD321" s="24"/>
      <c r="AE321" s="24"/>
      <c r="AF321" s="24"/>
      <c r="AG321" s="24">
        <v>46160.377809062498</v>
      </c>
    </row>
    <row r="322" spans="1:33" x14ac:dyDescent="0.3">
      <c r="A322" t="s">
        <v>1767</v>
      </c>
      <c r="D322" s="24">
        <v>45397.465381944443</v>
      </c>
      <c r="E322" t="s">
        <v>90</v>
      </c>
      <c r="F322" t="s">
        <v>155</v>
      </c>
      <c r="K322" t="s">
        <v>1001</v>
      </c>
      <c r="L322" s="24"/>
      <c r="M322" s="24"/>
      <c r="N322" s="24"/>
      <c r="O322" s="24"/>
      <c r="P322" s="24"/>
      <c r="Q322" s="24">
        <v>45404.721386192126</v>
      </c>
      <c r="R322" s="24"/>
      <c r="S322" s="24"/>
      <c r="T322" s="24"/>
      <c r="U322" s="24"/>
      <c r="V322" s="24"/>
      <c r="W322" s="24"/>
      <c r="X322" s="24"/>
      <c r="Y322" s="24">
        <v>45639.446671678241</v>
      </c>
      <c r="Z322" s="24"/>
      <c r="AA322" s="24"/>
      <c r="AB322" s="24"/>
      <c r="AC322" s="24"/>
      <c r="AD322" s="24"/>
      <c r="AE322" s="24"/>
      <c r="AF322" s="24"/>
      <c r="AG322" s="24">
        <v>46160.377809062498</v>
      </c>
    </row>
    <row r="323" spans="1:33" x14ac:dyDescent="0.3">
      <c r="A323" t="s">
        <v>1768</v>
      </c>
      <c r="D323" s="24">
        <v>45533.495787037034</v>
      </c>
      <c r="E323" t="s">
        <v>89</v>
      </c>
      <c r="F323" t="s">
        <v>89</v>
      </c>
      <c r="K323" t="s">
        <v>1001</v>
      </c>
      <c r="L323" s="24"/>
      <c r="M323" s="24"/>
      <c r="N323" s="24"/>
      <c r="O323" s="24"/>
      <c r="P323" s="24"/>
      <c r="Q323" s="24">
        <v>45566.469310763889</v>
      </c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>
        <v>46160.377809062498</v>
      </c>
    </row>
    <row r="324" spans="1:33" x14ac:dyDescent="0.3">
      <c r="A324" t="s">
        <v>1769</v>
      </c>
      <c r="D324" s="24">
        <v>45930.874699074076</v>
      </c>
      <c r="E324" t="s">
        <v>89</v>
      </c>
      <c r="F324" t="s">
        <v>89</v>
      </c>
      <c r="K324" t="s">
        <v>1001</v>
      </c>
      <c r="L324" s="24"/>
      <c r="M324" s="24"/>
      <c r="N324" s="24"/>
      <c r="O324" s="24"/>
      <c r="P324" s="24"/>
      <c r="Q324" s="24">
        <v>45930.874879606483</v>
      </c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>
        <v>46160.377809062498</v>
      </c>
    </row>
    <row r="325" spans="1:33" x14ac:dyDescent="0.3">
      <c r="A325" t="s">
        <v>1770</v>
      </c>
      <c r="D325" s="24">
        <v>45931.269675925927</v>
      </c>
      <c r="E325" t="s">
        <v>90</v>
      </c>
      <c r="F325" t="s">
        <v>155</v>
      </c>
      <c r="K325" t="s">
        <v>1001</v>
      </c>
      <c r="L325" s="24"/>
      <c r="M325" s="24"/>
      <c r="N325" s="24"/>
      <c r="O325" s="24"/>
      <c r="P325" s="24"/>
      <c r="Q325" s="24">
        <v>45936.481124328704</v>
      </c>
      <c r="R325" s="24"/>
      <c r="S325" s="24"/>
      <c r="T325" s="24"/>
      <c r="U325" s="24"/>
      <c r="V325" s="24"/>
      <c r="W325" s="24"/>
      <c r="X325" s="24"/>
      <c r="Y325" s="24">
        <v>46029.620239953707</v>
      </c>
      <c r="Z325" s="24"/>
      <c r="AA325" s="24"/>
      <c r="AB325" s="24"/>
      <c r="AC325" s="24"/>
      <c r="AD325" s="24"/>
      <c r="AE325" s="24"/>
      <c r="AF325" s="24"/>
      <c r="AG325" s="24">
        <v>46160.377809062498</v>
      </c>
    </row>
    <row r="326" spans="1:33" x14ac:dyDescent="0.3">
      <c r="A326" t="s">
        <v>1771</v>
      </c>
      <c r="D326" s="24">
        <v>45992.597280092596</v>
      </c>
      <c r="E326" t="s">
        <v>90</v>
      </c>
      <c r="F326" t="s">
        <v>155</v>
      </c>
      <c r="K326" t="s">
        <v>1001</v>
      </c>
      <c r="L326" s="24"/>
      <c r="M326" s="24"/>
      <c r="N326" s="24"/>
      <c r="O326" s="24"/>
      <c r="P326" s="24"/>
      <c r="Q326" s="24">
        <v>46031.60764934028</v>
      </c>
      <c r="R326" s="24"/>
      <c r="S326" s="24"/>
      <c r="T326" s="24"/>
      <c r="U326" s="24"/>
      <c r="V326" s="24"/>
      <c r="W326" s="24"/>
      <c r="X326" s="24"/>
      <c r="Y326" s="24">
        <v>46125.486443310183</v>
      </c>
      <c r="Z326" s="24"/>
      <c r="AA326" s="24"/>
      <c r="AB326" s="24"/>
      <c r="AC326" s="24"/>
      <c r="AD326" s="24"/>
      <c r="AE326" s="24"/>
      <c r="AF326" s="24"/>
      <c r="AG326" s="24">
        <v>46160.377809062498</v>
      </c>
    </row>
    <row r="327" spans="1:33" x14ac:dyDescent="0.3">
      <c r="A327" t="s">
        <v>1772</v>
      </c>
      <c r="D327" s="24">
        <v>46125.485254629632</v>
      </c>
      <c r="E327" t="s">
        <v>89</v>
      </c>
      <c r="F327" t="s">
        <v>89</v>
      </c>
      <c r="K327" t="s">
        <v>1001</v>
      </c>
      <c r="L327" s="24"/>
      <c r="M327" s="24"/>
      <c r="N327" s="24"/>
      <c r="O327" s="24"/>
      <c r="P327" s="24"/>
      <c r="Q327" s="24">
        <v>46125.48574261574</v>
      </c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>
        <v>46160.377809062498</v>
      </c>
    </row>
    <row r="328" spans="1:33" x14ac:dyDescent="0.3">
      <c r="A328" t="s">
        <v>1773</v>
      </c>
      <c r="D328" s="24">
        <v>45992.573414351849</v>
      </c>
      <c r="E328" t="s">
        <v>84</v>
      </c>
      <c r="F328" t="s">
        <v>154</v>
      </c>
      <c r="K328" t="s">
        <v>1001</v>
      </c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>
        <v>46160.377809062498</v>
      </c>
    </row>
    <row r="329" spans="1:33" x14ac:dyDescent="0.3">
      <c r="A329" t="s">
        <v>1171</v>
      </c>
      <c r="D329" s="24">
        <v>46001.359259259261</v>
      </c>
      <c r="E329" t="s">
        <v>84</v>
      </c>
      <c r="F329" t="s">
        <v>154</v>
      </c>
      <c r="K329" t="s">
        <v>1000</v>
      </c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>
        <v>46160.377809062498</v>
      </c>
    </row>
    <row r="330" spans="1:33" x14ac:dyDescent="0.3">
      <c r="A330" t="s">
        <v>1172</v>
      </c>
      <c r="D330" s="24">
        <v>43927.497175925928</v>
      </c>
      <c r="E330" t="s">
        <v>90</v>
      </c>
      <c r="F330" t="s">
        <v>155</v>
      </c>
      <c r="K330" t="s">
        <v>1000</v>
      </c>
      <c r="L330" s="24">
        <v>43978.272284155093</v>
      </c>
      <c r="M330" s="24"/>
      <c r="N330" s="24">
        <v>44231.346486296294</v>
      </c>
      <c r="O330" s="24"/>
      <c r="P330" s="24"/>
      <c r="Q330" s="24"/>
      <c r="R330" s="24"/>
      <c r="S330" s="24"/>
      <c r="T330" s="24"/>
      <c r="U330" s="24"/>
      <c r="V330" s="24"/>
      <c r="W330" s="24"/>
      <c r="X330" s="24">
        <v>43942.330158460645</v>
      </c>
      <c r="Y330" s="24">
        <v>45177.565591469909</v>
      </c>
      <c r="Z330" s="24"/>
      <c r="AA330" s="24"/>
      <c r="AB330" s="24"/>
      <c r="AC330" s="24"/>
      <c r="AD330" s="24"/>
      <c r="AE330" s="24"/>
      <c r="AF330" s="24"/>
      <c r="AG330" s="24">
        <v>46160.377809062498</v>
      </c>
    </row>
    <row r="331" spans="1:33" x14ac:dyDescent="0.3">
      <c r="A331" t="s">
        <v>1173</v>
      </c>
      <c r="D331" s="24">
        <v>44004.434849537036</v>
      </c>
      <c r="E331" t="s">
        <v>90</v>
      </c>
      <c r="F331" t="s">
        <v>155</v>
      </c>
      <c r="K331" t="s">
        <v>1000</v>
      </c>
      <c r="L331" s="24">
        <v>44027.572368090281</v>
      </c>
      <c r="M331" s="24"/>
      <c r="N331" s="24">
        <v>44062.588712233795</v>
      </c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>
        <v>45177.565583368058</v>
      </c>
      <c r="Z331" s="24"/>
      <c r="AA331" s="24"/>
      <c r="AB331" s="24"/>
      <c r="AC331" s="24"/>
      <c r="AD331" s="24"/>
      <c r="AE331" s="24"/>
      <c r="AF331" s="24"/>
      <c r="AG331" s="24">
        <v>46160.377809062498</v>
      </c>
    </row>
    <row r="332" spans="1:33" x14ac:dyDescent="0.3">
      <c r="A332" t="s">
        <v>1174</v>
      </c>
      <c r="D332" s="24">
        <v>44301.689756944441</v>
      </c>
      <c r="E332" t="s">
        <v>90</v>
      </c>
      <c r="F332" t="s">
        <v>155</v>
      </c>
      <c r="K332" t="s">
        <v>1000</v>
      </c>
      <c r="L332" s="24"/>
      <c r="M332" s="24"/>
      <c r="N332" s="24">
        <v>44957.446569525462</v>
      </c>
      <c r="O332" s="24"/>
      <c r="P332" s="24"/>
      <c r="Q332" s="24">
        <v>44391.621704409721</v>
      </c>
      <c r="R332" s="24"/>
      <c r="S332" s="24"/>
      <c r="T332" s="24"/>
      <c r="U332" s="24"/>
      <c r="V332" s="24"/>
      <c r="W332" s="24"/>
      <c r="X332" s="24"/>
      <c r="Y332" s="24">
        <v>45177.565571099534</v>
      </c>
      <c r="Z332" s="24"/>
      <c r="AA332" s="24"/>
      <c r="AB332" s="24"/>
      <c r="AC332" s="24"/>
      <c r="AD332" s="24"/>
      <c r="AE332" s="24"/>
      <c r="AF332" s="24"/>
      <c r="AG332" s="24">
        <v>46160.377809062498</v>
      </c>
    </row>
    <row r="333" spans="1:33" x14ac:dyDescent="0.3">
      <c r="A333" t="s">
        <v>1175</v>
      </c>
      <c r="D333" s="24">
        <v>43917.324791666666</v>
      </c>
      <c r="E333" t="s">
        <v>90</v>
      </c>
      <c r="F333" t="s">
        <v>155</v>
      </c>
      <c r="K333" t="s">
        <v>1000</v>
      </c>
      <c r="L333" s="24">
        <v>43978.272081909723</v>
      </c>
      <c r="M333" s="24"/>
      <c r="N333" s="24">
        <v>44525.54539334491</v>
      </c>
      <c r="O333" s="24"/>
      <c r="P333" s="24"/>
      <c r="Q333" s="24">
        <v>44068.366723738429</v>
      </c>
      <c r="R333" s="24"/>
      <c r="S333" s="24">
        <v>43930.44572340278</v>
      </c>
      <c r="T333" s="24"/>
      <c r="U333" s="24"/>
      <c r="V333" s="24"/>
      <c r="W333" s="24"/>
      <c r="X333" s="24"/>
      <c r="Y333" s="24">
        <v>45177.565562222226</v>
      </c>
      <c r="Z333" s="24"/>
      <c r="AA333" s="24"/>
      <c r="AB333" s="24"/>
      <c r="AC333" s="24"/>
      <c r="AD333" s="24">
        <v>44270.349683437496</v>
      </c>
      <c r="AE333" s="24"/>
      <c r="AF333" s="24"/>
      <c r="AG333" s="24">
        <v>46160.377809062498</v>
      </c>
    </row>
    <row r="334" spans="1:33" x14ac:dyDescent="0.3">
      <c r="A334" t="s">
        <v>1176</v>
      </c>
      <c r="D334" s="24">
        <v>44063.331817129627</v>
      </c>
      <c r="E334" t="s">
        <v>90</v>
      </c>
      <c r="F334" t="s">
        <v>155</v>
      </c>
      <c r="K334" t="s">
        <v>1000</v>
      </c>
      <c r="L334" s="24">
        <v>44068.366817106478</v>
      </c>
      <c r="M334" s="24"/>
      <c r="N334" s="24">
        <v>44217.442045277778</v>
      </c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>
        <v>45177.565554606481</v>
      </c>
      <c r="Z334" s="24"/>
      <c r="AA334" s="24"/>
      <c r="AB334" s="24"/>
      <c r="AC334" s="24"/>
      <c r="AD334" s="24"/>
      <c r="AE334" s="24"/>
      <c r="AF334" s="24"/>
      <c r="AG334" s="24">
        <v>46160.377809062498</v>
      </c>
    </row>
    <row r="335" spans="1:33" x14ac:dyDescent="0.3">
      <c r="A335" t="s">
        <v>1177</v>
      </c>
      <c r="D335" s="24">
        <v>43916.332395833335</v>
      </c>
      <c r="E335" t="s">
        <v>90</v>
      </c>
      <c r="F335" t="s">
        <v>155</v>
      </c>
      <c r="K335" t="s">
        <v>1000</v>
      </c>
      <c r="L335" s="24"/>
      <c r="M335" s="24"/>
      <c r="N335" s="24">
        <v>43978.269561157409</v>
      </c>
      <c r="O335" s="24"/>
      <c r="P335" s="24"/>
      <c r="Q335" s="24">
        <v>43978.269307592593</v>
      </c>
      <c r="R335" s="24"/>
      <c r="S335" s="24"/>
      <c r="T335" s="24"/>
      <c r="U335" s="24"/>
      <c r="V335" s="24"/>
      <c r="W335" s="24"/>
      <c r="X335" s="24"/>
      <c r="Y335" s="24">
        <v>45177.565546053243</v>
      </c>
      <c r="Z335" s="24"/>
      <c r="AA335" s="24"/>
      <c r="AB335" s="24"/>
      <c r="AC335" s="24"/>
      <c r="AD335" s="24"/>
      <c r="AE335" s="24"/>
      <c r="AF335" s="24"/>
      <c r="AG335" s="24">
        <v>46160.377809062498</v>
      </c>
    </row>
    <row r="336" spans="1:33" x14ac:dyDescent="0.3">
      <c r="A336" t="s">
        <v>1178</v>
      </c>
      <c r="D336" s="24">
        <v>44210.667812500003</v>
      </c>
      <c r="E336" t="s">
        <v>90</v>
      </c>
      <c r="F336" t="s">
        <v>155</v>
      </c>
      <c r="K336" t="s">
        <v>1000</v>
      </c>
      <c r="L336" s="24"/>
      <c r="M336" s="24"/>
      <c r="N336" s="24">
        <v>44525.543372129629</v>
      </c>
      <c r="O336" s="24"/>
      <c r="P336" s="24"/>
      <c r="Q336" s="24">
        <v>44246.345346331022</v>
      </c>
      <c r="R336" s="24">
        <v>44246.345204004632</v>
      </c>
      <c r="S336" s="24"/>
      <c r="T336" s="24"/>
      <c r="U336" s="24"/>
      <c r="V336" s="24"/>
      <c r="W336" s="24"/>
      <c r="X336" s="24"/>
      <c r="Y336" s="24">
        <v>45177.565534618057</v>
      </c>
      <c r="Z336" s="24"/>
      <c r="AA336" s="24"/>
      <c r="AB336" s="24"/>
      <c r="AC336" s="24"/>
      <c r="AD336" s="24"/>
      <c r="AE336" s="24"/>
      <c r="AF336" s="24"/>
      <c r="AG336" s="24">
        <v>46160.377809062498</v>
      </c>
    </row>
    <row r="337" spans="1:33" x14ac:dyDescent="0.3">
      <c r="A337" t="s">
        <v>1179</v>
      </c>
      <c r="D337" s="24">
        <v>44004.487928240742</v>
      </c>
      <c r="E337" t="s">
        <v>90</v>
      </c>
      <c r="F337" t="s">
        <v>155</v>
      </c>
      <c r="K337" t="s">
        <v>1000</v>
      </c>
      <c r="L337" s="24">
        <v>44015.62267394676</v>
      </c>
      <c r="M337" s="24"/>
      <c r="N337" s="24">
        <v>44082.366288564815</v>
      </c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>
        <v>45177.565525925929</v>
      </c>
      <c r="Z337" s="24"/>
      <c r="AA337" s="24"/>
      <c r="AB337" s="24"/>
      <c r="AC337" s="24"/>
      <c r="AD337" s="24"/>
      <c r="AE337" s="24"/>
      <c r="AF337" s="24"/>
      <c r="AG337" s="24">
        <v>46160.377809062498</v>
      </c>
    </row>
    <row r="338" spans="1:33" x14ac:dyDescent="0.3">
      <c r="A338" t="s">
        <v>1180</v>
      </c>
      <c r="D338" s="24">
        <v>44217.437986111108</v>
      </c>
      <c r="E338" t="s">
        <v>90</v>
      </c>
      <c r="F338" t="s">
        <v>155</v>
      </c>
      <c r="K338" t="s">
        <v>1000</v>
      </c>
      <c r="L338" s="24"/>
      <c r="M338" s="24"/>
      <c r="N338" s="24">
        <v>44274.574764155092</v>
      </c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>
        <v>45177.56551753472</v>
      </c>
      <c r="Z338" s="24"/>
      <c r="AA338" s="24"/>
      <c r="AB338" s="24"/>
      <c r="AC338" s="24"/>
      <c r="AD338" s="24"/>
      <c r="AE338" s="24"/>
      <c r="AF338" s="24"/>
      <c r="AG338" s="24">
        <v>46160.377809062498</v>
      </c>
    </row>
    <row r="339" spans="1:33" x14ac:dyDescent="0.3">
      <c r="A339" t="s">
        <v>1181</v>
      </c>
      <c r="D339" s="24">
        <v>44054.357314814813</v>
      </c>
      <c r="E339" t="s">
        <v>90</v>
      </c>
      <c r="F339" t="s">
        <v>155</v>
      </c>
      <c r="K339" t="s">
        <v>1000</v>
      </c>
      <c r="L339" s="24"/>
      <c r="M339" s="24"/>
      <c r="N339" s="24">
        <v>44433.367221400462</v>
      </c>
      <c r="O339" s="24"/>
      <c r="P339" s="24"/>
      <c r="Q339" s="24">
        <v>44068.366945879628</v>
      </c>
      <c r="R339" s="24"/>
      <c r="S339" s="24"/>
      <c r="T339" s="24"/>
      <c r="U339" s="24"/>
      <c r="V339" s="24"/>
      <c r="W339" s="24"/>
      <c r="X339" s="24"/>
      <c r="Y339" s="24">
        <v>45177.565509293985</v>
      </c>
      <c r="Z339" s="24"/>
      <c r="AA339" s="24"/>
      <c r="AB339" s="24"/>
      <c r="AC339" s="24"/>
      <c r="AD339" s="24"/>
      <c r="AE339" s="24"/>
      <c r="AF339" s="24"/>
      <c r="AG339" s="24">
        <v>46160.377809062498</v>
      </c>
    </row>
    <row r="340" spans="1:33" x14ac:dyDescent="0.3">
      <c r="A340" t="s">
        <v>1182</v>
      </c>
      <c r="D340" s="24">
        <v>43893.449652777781</v>
      </c>
      <c r="E340" t="s">
        <v>90</v>
      </c>
      <c r="F340" t="s">
        <v>155</v>
      </c>
      <c r="K340" t="s">
        <v>1000</v>
      </c>
      <c r="L340" s="24"/>
      <c r="M340" s="24"/>
      <c r="N340" s="24">
        <v>44270.349210821762</v>
      </c>
      <c r="O340" s="24"/>
      <c r="P340" s="24"/>
      <c r="Q340" s="24">
        <v>43922.505718229164</v>
      </c>
      <c r="R340" s="24"/>
      <c r="S340" s="24"/>
      <c r="T340" s="24"/>
      <c r="U340" s="24"/>
      <c r="V340" s="24"/>
      <c r="W340" s="24"/>
      <c r="X340" s="24"/>
      <c r="Y340" s="24">
        <v>45177.565500034725</v>
      </c>
      <c r="Z340" s="24"/>
      <c r="AA340" s="24"/>
      <c r="AB340" s="24"/>
      <c r="AC340" s="24"/>
      <c r="AD340" s="24"/>
      <c r="AE340" s="24"/>
      <c r="AF340" s="24"/>
      <c r="AG340" s="24">
        <v>46160.377809062498</v>
      </c>
    </row>
    <row r="341" spans="1:33" x14ac:dyDescent="0.3">
      <c r="A341" t="s">
        <v>1183</v>
      </c>
      <c r="D341" s="24">
        <v>43917.323865740742</v>
      </c>
      <c r="E341" t="s">
        <v>90</v>
      </c>
      <c r="F341" t="s">
        <v>155</v>
      </c>
      <c r="K341" t="s">
        <v>1000</v>
      </c>
      <c r="L341" s="24"/>
      <c r="M341" s="24"/>
      <c r="N341" s="24">
        <v>44062.594429004632</v>
      </c>
      <c r="O341" s="24"/>
      <c r="P341" s="24"/>
      <c r="Q341" s="24">
        <v>43922.505188831019</v>
      </c>
      <c r="R341" s="24"/>
      <c r="S341" s="24"/>
      <c r="T341" s="24"/>
      <c r="U341" s="24"/>
      <c r="V341" s="24"/>
      <c r="W341" s="24"/>
      <c r="X341" s="24"/>
      <c r="Y341" s="24">
        <v>45177.565491701389</v>
      </c>
      <c r="Z341" s="24"/>
      <c r="AA341" s="24"/>
      <c r="AB341" s="24"/>
      <c r="AC341" s="24"/>
      <c r="AD341" s="24"/>
      <c r="AE341" s="24"/>
      <c r="AF341" s="24"/>
      <c r="AG341" s="24">
        <v>46160.377809062498</v>
      </c>
    </row>
    <row r="342" spans="1:33" x14ac:dyDescent="0.3">
      <c r="A342" t="s">
        <v>1184</v>
      </c>
      <c r="D342" s="24">
        <v>43920.373310185183</v>
      </c>
      <c r="E342" t="s">
        <v>90</v>
      </c>
      <c r="F342" t="s">
        <v>155</v>
      </c>
      <c r="K342" t="s">
        <v>1000</v>
      </c>
      <c r="L342" s="24">
        <v>43942.330362766203</v>
      </c>
      <c r="M342" s="24"/>
      <c r="N342" s="24">
        <v>44270.347060081018</v>
      </c>
      <c r="O342" s="24"/>
      <c r="P342" s="24"/>
      <c r="Q342" s="24"/>
      <c r="R342" s="24">
        <v>44015.592965821757</v>
      </c>
      <c r="S342" s="24"/>
      <c r="T342" s="24"/>
      <c r="U342" s="24"/>
      <c r="V342" s="24"/>
      <c r="W342" s="24"/>
      <c r="X342" s="24"/>
      <c r="Y342" s="24">
        <v>45177.56548380787</v>
      </c>
      <c r="Z342" s="24"/>
      <c r="AA342" s="24"/>
      <c r="AB342" s="24"/>
      <c r="AC342" s="24"/>
      <c r="AD342" s="24"/>
      <c r="AE342" s="24"/>
      <c r="AF342" s="24"/>
      <c r="AG342" s="24">
        <v>46160.377809062498</v>
      </c>
    </row>
    <row r="343" spans="1:33" x14ac:dyDescent="0.3">
      <c r="A343" t="s">
        <v>1185</v>
      </c>
      <c r="D343" s="24">
        <v>44054.352199074077</v>
      </c>
      <c r="E343" t="s">
        <v>90</v>
      </c>
      <c r="F343" t="s">
        <v>155</v>
      </c>
      <c r="K343" t="s">
        <v>1000</v>
      </c>
      <c r="L343" s="24"/>
      <c r="M343" s="24"/>
      <c r="N343" s="24">
        <v>44062.589611932868</v>
      </c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>
        <v>45177.56547277778</v>
      </c>
      <c r="Z343" s="24"/>
      <c r="AA343" s="24"/>
      <c r="AB343" s="24"/>
      <c r="AC343" s="24"/>
      <c r="AD343" s="24"/>
      <c r="AE343" s="24"/>
      <c r="AF343" s="24"/>
      <c r="AG343" s="24">
        <v>46160.377809062498</v>
      </c>
    </row>
    <row r="344" spans="1:33" x14ac:dyDescent="0.3">
      <c r="A344" t="s">
        <v>1186</v>
      </c>
      <c r="D344" s="24">
        <v>44242.450972222221</v>
      </c>
      <c r="E344" t="s">
        <v>90</v>
      </c>
      <c r="F344" t="s">
        <v>155</v>
      </c>
      <c r="K344" t="s">
        <v>1000</v>
      </c>
      <c r="L344" s="24"/>
      <c r="M344" s="24"/>
      <c r="N344" s="24">
        <v>44910.676456157409</v>
      </c>
      <c r="O344" s="24"/>
      <c r="P344" s="24"/>
      <c r="Q344" s="24">
        <v>44391.621415868052</v>
      </c>
      <c r="R344" s="24"/>
      <c r="S344" s="24"/>
      <c r="T344" s="24"/>
      <c r="U344" s="24"/>
      <c r="V344" s="24"/>
      <c r="W344" s="24"/>
      <c r="X344" s="24"/>
      <c r="Y344" s="24">
        <v>45177.56546395833</v>
      </c>
      <c r="Z344" s="24"/>
      <c r="AA344" s="24"/>
      <c r="AB344" s="24"/>
      <c r="AC344" s="24"/>
      <c r="AD344" s="24"/>
      <c r="AE344" s="24"/>
      <c r="AF344" s="24"/>
      <c r="AG344" s="24">
        <v>46160.377809062498</v>
      </c>
    </row>
    <row r="345" spans="1:33" x14ac:dyDescent="0.3">
      <c r="A345" t="s">
        <v>1187</v>
      </c>
      <c r="D345" s="24">
        <v>44029.450960648152</v>
      </c>
      <c r="E345" t="s">
        <v>90</v>
      </c>
      <c r="F345" t="s">
        <v>155</v>
      </c>
      <c r="K345" t="s">
        <v>1000</v>
      </c>
      <c r="L345" s="24"/>
      <c r="M345" s="24"/>
      <c r="N345" s="24">
        <v>44244.535742349537</v>
      </c>
      <c r="O345" s="24"/>
      <c r="P345" s="24"/>
      <c r="Q345" s="24">
        <v>44068.366886053242</v>
      </c>
      <c r="R345" s="24"/>
      <c r="S345" s="24"/>
      <c r="T345" s="24"/>
      <c r="U345" s="24"/>
      <c r="V345" s="24"/>
      <c r="W345" s="24"/>
      <c r="X345" s="24"/>
      <c r="Y345" s="24">
        <v>45177.565453148149</v>
      </c>
      <c r="Z345" s="24"/>
      <c r="AA345" s="24"/>
      <c r="AB345" s="24"/>
      <c r="AC345" s="24"/>
      <c r="AD345" s="24"/>
      <c r="AE345" s="24"/>
      <c r="AF345" s="24"/>
      <c r="AG345" s="24">
        <v>46160.377809062498</v>
      </c>
    </row>
    <row r="346" spans="1:33" x14ac:dyDescent="0.3">
      <c r="A346" t="s">
        <v>1188</v>
      </c>
      <c r="D346" s="24">
        <v>43922.800104166665</v>
      </c>
      <c r="E346" t="s">
        <v>90</v>
      </c>
      <c r="F346" t="s">
        <v>155</v>
      </c>
      <c r="K346" t="s">
        <v>1000</v>
      </c>
      <c r="L346" s="24"/>
      <c r="M346" s="24"/>
      <c r="N346" s="24">
        <v>43942.329988240737</v>
      </c>
      <c r="O346" s="24"/>
      <c r="P346" s="24"/>
      <c r="Q346" s="24">
        <v>43927.49433371528</v>
      </c>
      <c r="R346" s="24"/>
      <c r="S346" s="24"/>
      <c r="T346" s="24"/>
      <c r="U346" s="24"/>
      <c r="V346" s="24"/>
      <c r="W346" s="24"/>
      <c r="X346" s="24"/>
      <c r="Y346" s="24">
        <v>45177.565443333333</v>
      </c>
      <c r="Z346" s="24"/>
      <c r="AA346" s="24"/>
      <c r="AB346" s="24"/>
      <c r="AC346" s="24"/>
      <c r="AD346" s="24"/>
      <c r="AE346" s="24"/>
      <c r="AF346" s="24"/>
      <c r="AG346" s="24">
        <v>46160.377809062498</v>
      </c>
    </row>
    <row r="347" spans="1:33" x14ac:dyDescent="0.3">
      <c r="A347" t="s">
        <v>1189</v>
      </c>
      <c r="D347" s="24">
        <v>44014.597384259258</v>
      </c>
      <c r="E347" t="s">
        <v>90</v>
      </c>
      <c r="F347" t="s">
        <v>155</v>
      </c>
      <c r="K347" t="s">
        <v>1000</v>
      </c>
      <c r="L347" s="24"/>
      <c r="M347" s="24"/>
      <c r="N347" s="24">
        <v>44218.777945636575</v>
      </c>
      <c r="O347" s="24"/>
      <c r="P347" s="24"/>
      <c r="Q347" s="24">
        <v>44218.777902083333</v>
      </c>
      <c r="R347" s="24"/>
      <c r="S347" s="24"/>
      <c r="T347" s="24"/>
      <c r="U347" s="24"/>
      <c r="V347" s="24"/>
      <c r="W347" s="24"/>
      <c r="X347" s="24"/>
      <c r="Y347" s="24">
        <v>45177.565434710647</v>
      </c>
      <c r="Z347" s="24"/>
      <c r="AA347" s="24"/>
      <c r="AB347" s="24"/>
      <c r="AC347" s="24"/>
      <c r="AD347" s="24"/>
      <c r="AE347" s="24"/>
      <c r="AF347" s="24"/>
      <c r="AG347" s="24">
        <v>46160.377809062498</v>
      </c>
    </row>
    <row r="348" spans="1:33" x14ac:dyDescent="0.3">
      <c r="A348" t="s">
        <v>1190</v>
      </c>
      <c r="D348" s="24">
        <v>43249.370648148149</v>
      </c>
      <c r="E348" t="s">
        <v>90</v>
      </c>
      <c r="F348" t="s">
        <v>155</v>
      </c>
      <c r="K348" t="s">
        <v>1000</v>
      </c>
      <c r="L348" s="24"/>
      <c r="M348" s="24"/>
      <c r="N348" s="24">
        <v>43440.463083877316</v>
      </c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>
        <v>45177.510216805553</v>
      </c>
      <c r="Z348" s="24"/>
      <c r="AA348" s="24"/>
      <c r="AB348" s="24"/>
      <c r="AC348" s="24"/>
      <c r="AD348" s="24"/>
      <c r="AE348" s="24"/>
      <c r="AF348" s="24"/>
      <c r="AG348" s="24">
        <v>46160.377809062498</v>
      </c>
    </row>
    <row r="349" spans="1:33" x14ac:dyDescent="0.3">
      <c r="A349" t="s">
        <v>1191</v>
      </c>
      <c r="D349" s="24">
        <v>43183.75953703704</v>
      </c>
      <c r="E349" t="s">
        <v>90</v>
      </c>
      <c r="F349" t="s">
        <v>155</v>
      </c>
      <c r="K349" t="s">
        <v>1000</v>
      </c>
      <c r="L349" s="24"/>
      <c r="M349" s="24"/>
      <c r="N349" s="24">
        <v>43440.461368946759</v>
      </c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>
        <v>45177.510208483793</v>
      </c>
      <c r="Z349" s="24"/>
      <c r="AA349" s="24"/>
      <c r="AB349" s="24"/>
      <c r="AC349" s="24"/>
      <c r="AD349" s="24"/>
      <c r="AE349" s="24"/>
      <c r="AF349" s="24"/>
      <c r="AG349" s="24">
        <v>46160.377809062498</v>
      </c>
    </row>
    <row r="350" spans="1:33" x14ac:dyDescent="0.3">
      <c r="A350" t="s">
        <v>1192</v>
      </c>
      <c r="D350" s="24">
        <v>43670.415949074071</v>
      </c>
      <c r="E350" t="s">
        <v>90</v>
      </c>
      <c r="F350" t="s">
        <v>155</v>
      </c>
      <c r="K350" t="s">
        <v>1000</v>
      </c>
      <c r="L350" s="24"/>
      <c r="M350" s="24"/>
      <c r="N350" s="24">
        <v>44217.443770532409</v>
      </c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>
        <v>45177.510199259261</v>
      </c>
      <c r="Z350" s="24"/>
      <c r="AA350" s="24"/>
      <c r="AB350" s="24"/>
      <c r="AC350" s="24"/>
      <c r="AD350" s="24"/>
      <c r="AE350" s="24"/>
      <c r="AF350" s="24"/>
      <c r="AG350" s="24">
        <v>46160.377809062498</v>
      </c>
    </row>
    <row r="351" spans="1:33" x14ac:dyDescent="0.3">
      <c r="A351" t="s">
        <v>1193</v>
      </c>
      <c r="D351" s="24">
        <v>43544.508750000001</v>
      </c>
      <c r="E351" t="s">
        <v>90</v>
      </c>
      <c r="F351" t="s">
        <v>155</v>
      </c>
      <c r="K351" t="s">
        <v>1000</v>
      </c>
      <c r="L351" s="24"/>
      <c r="M351" s="24"/>
      <c r="N351" s="24">
        <v>44162.406169050926</v>
      </c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>
        <v>45177.510188506945</v>
      </c>
      <c r="Z351" s="24"/>
      <c r="AA351" s="24"/>
      <c r="AB351" s="24"/>
      <c r="AC351" s="24"/>
      <c r="AD351" s="24"/>
      <c r="AE351" s="24"/>
      <c r="AF351" s="24"/>
      <c r="AG351" s="24">
        <v>46160.377809062498</v>
      </c>
    </row>
    <row r="352" spans="1:33" x14ac:dyDescent="0.3">
      <c r="A352" t="s">
        <v>1194</v>
      </c>
      <c r="D352" s="24">
        <v>43662.376817129632</v>
      </c>
      <c r="E352" t="s">
        <v>90</v>
      </c>
      <c r="F352" t="s">
        <v>155</v>
      </c>
      <c r="K352" t="s">
        <v>1000</v>
      </c>
      <c r="L352" s="24"/>
      <c r="M352" s="24"/>
      <c r="N352" s="24">
        <v>43917.328000486108</v>
      </c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>
        <v>45177.510171643517</v>
      </c>
      <c r="Z352" s="24"/>
      <c r="AA352" s="24"/>
      <c r="AB352" s="24"/>
      <c r="AC352" s="24"/>
      <c r="AD352" s="24"/>
      <c r="AE352" s="24"/>
      <c r="AF352" s="24"/>
      <c r="AG352" s="24">
        <v>46160.377809062498</v>
      </c>
    </row>
    <row r="353" spans="1:33" x14ac:dyDescent="0.3">
      <c r="A353" t="s">
        <v>1195</v>
      </c>
      <c r="D353" s="24">
        <v>43404.381793981483</v>
      </c>
      <c r="E353" t="s">
        <v>90</v>
      </c>
      <c r="F353" t="s">
        <v>155</v>
      </c>
      <c r="K353" t="s">
        <v>1000</v>
      </c>
      <c r="L353" s="24"/>
      <c r="M353" s="24"/>
      <c r="N353" s="24">
        <v>43523.358222569441</v>
      </c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>
        <v>45177.51015652778</v>
      </c>
      <c r="Z353" s="24"/>
      <c r="AA353" s="24"/>
      <c r="AB353" s="24"/>
      <c r="AC353" s="24"/>
      <c r="AD353" s="24"/>
      <c r="AE353" s="24"/>
      <c r="AF353" s="24"/>
      <c r="AG353" s="24">
        <v>46160.377809062498</v>
      </c>
    </row>
    <row r="354" spans="1:33" x14ac:dyDescent="0.3">
      <c r="A354" t="s">
        <v>1196</v>
      </c>
      <c r="D354" s="24">
        <v>43664.399768518517</v>
      </c>
      <c r="E354" t="s">
        <v>90</v>
      </c>
      <c r="F354" t="s">
        <v>155</v>
      </c>
      <c r="K354" t="s">
        <v>1000</v>
      </c>
      <c r="L354" s="24"/>
      <c r="M354" s="24"/>
      <c r="N354" s="24">
        <v>43917.336684155096</v>
      </c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>
        <v>45177.510139664351</v>
      </c>
      <c r="Z354" s="24"/>
      <c r="AA354" s="24"/>
      <c r="AB354" s="24"/>
      <c r="AC354" s="24"/>
      <c r="AD354" s="24"/>
      <c r="AE354" s="24"/>
      <c r="AF354" s="24"/>
      <c r="AG354" s="24">
        <v>46160.377809062498</v>
      </c>
    </row>
    <row r="355" spans="1:33" x14ac:dyDescent="0.3">
      <c r="A355" t="s">
        <v>1197</v>
      </c>
      <c r="D355" s="24">
        <v>43784.310497685183</v>
      </c>
      <c r="E355" t="s">
        <v>90</v>
      </c>
      <c r="F355" t="s">
        <v>155</v>
      </c>
      <c r="K355" t="s">
        <v>1000</v>
      </c>
      <c r="L355" s="24"/>
      <c r="M355" s="24"/>
      <c r="N355" s="24">
        <v>44103.683424456016</v>
      </c>
      <c r="O355" s="24"/>
      <c r="P355" s="24"/>
      <c r="Q355" s="24">
        <v>44082.542750532404</v>
      </c>
      <c r="R355" s="24">
        <v>44056.499148009258</v>
      </c>
      <c r="S355" s="24"/>
      <c r="T355" s="24"/>
      <c r="U355" s="24">
        <v>43818.56281505787</v>
      </c>
      <c r="V355" s="24"/>
      <c r="W355" s="24"/>
      <c r="X355" s="24"/>
      <c r="Y355" s="24">
        <v>45177.510124432869</v>
      </c>
      <c r="Z355" s="24"/>
      <c r="AA355" s="24"/>
      <c r="AB355" s="24"/>
      <c r="AC355" s="24"/>
      <c r="AD355" s="24"/>
      <c r="AE355" s="24"/>
      <c r="AF355" s="24"/>
      <c r="AG355" s="24">
        <v>46160.377809062498</v>
      </c>
    </row>
    <row r="356" spans="1:33" x14ac:dyDescent="0.3">
      <c r="A356" t="s">
        <v>1198</v>
      </c>
      <c r="D356" s="24">
        <v>43183.749756944446</v>
      </c>
      <c r="E356" t="s">
        <v>90</v>
      </c>
      <c r="F356" t="s">
        <v>155</v>
      </c>
      <c r="K356" t="s">
        <v>1000</v>
      </c>
      <c r="L356" s="24"/>
      <c r="M356" s="24"/>
      <c r="N356" s="24">
        <v>43440.464476273148</v>
      </c>
      <c r="O356" s="24"/>
      <c r="P356" s="24"/>
      <c r="Q356" s="24"/>
      <c r="R356" s="24"/>
      <c r="S356" s="24"/>
      <c r="T356" s="24"/>
      <c r="U356" s="24"/>
      <c r="V356" s="24"/>
      <c r="W356" s="24"/>
      <c r="X356" s="24">
        <v>43440.464437465278</v>
      </c>
      <c r="Y356" s="24">
        <v>45177.510114421297</v>
      </c>
      <c r="Z356" s="24"/>
      <c r="AA356" s="24"/>
      <c r="AB356" s="24"/>
      <c r="AC356" s="24"/>
      <c r="AD356" s="24"/>
      <c r="AE356" s="24"/>
      <c r="AF356" s="24"/>
      <c r="AG356" s="24">
        <v>46160.377809062498</v>
      </c>
    </row>
    <row r="357" spans="1:33" x14ac:dyDescent="0.3">
      <c r="A357" t="s">
        <v>1199</v>
      </c>
      <c r="D357" s="24">
        <v>43648.922337962962</v>
      </c>
      <c r="E357" t="s">
        <v>90</v>
      </c>
      <c r="F357" t="s">
        <v>155</v>
      </c>
      <c r="K357" t="s">
        <v>1000</v>
      </c>
      <c r="L357" s="24"/>
      <c r="M357" s="24"/>
      <c r="N357" s="24">
        <v>44433.367483495371</v>
      </c>
      <c r="O357" s="24"/>
      <c r="P357" s="24"/>
      <c r="Q357" s="24">
        <v>44391.62123016204</v>
      </c>
      <c r="R357" s="24">
        <v>44070.598274791664</v>
      </c>
      <c r="S357" s="24"/>
      <c r="T357" s="24"/>
      <c r="U357" s="24">
        <v>43818.562826574074</v>
      </c>
      <c r="V357" s="24"/>
      <c r="W357" s="24"/>
      <c r="X357" s="24"/>
      <c r="Y357" s="24">
        <v>45177.510100740743</v>
      </c>
      <c r="Z357" s="24"/>
      <c r="AA357" s="24"/>
      <c r="AB357" s="24"/>
      <c r="AC357" s="24"/>
      <c r="AD357" s="24"/>
      <c r="AE357" s="24"/>
      <c r="AF357" s="24"/>
      <c r="AG357" s="24">
        <v>46160.377809062498</v>
      </c>
    </row>
    <row r="358" spans="1:33" x14ac:dyDescent="0.3">
      <c r="A358" t="s">
        <v>1200</v>
      </c>
      <c r="D358" s="24">
        <v>43207.485208333332</v>
      </c>
      <c r="E358" t="s">
        <v>90</v>
      </c>
      <c r="F358" t="s">
        <v>155</v>
      </c>
      <c r="K358" t="s">
        <v>1000</v>
      </c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>
        <v>43440.461595023145</v>
      </c>
      <c r="Z358" s="24"/>
      <c r="AA358" s="24"/>
      <c r="AB358" s="24"/>
      <c r="AC358" s="24"/>
      <c r="AD358" s="24"/>
      <c r="AE358" s="24"/>
      <c r="AF358" s="24"/>
      <c r="AG358" s="24">
        <v>46160.377809062498</v>
      </c>
    </row>
    <row r="359" spans="1:33" x14ac:dyDescent="0.3">
      <c r="A359" t="s">
        <v>1201</v>
      </c>
      <c r="D359" s="24">
        <v>43153.555277777778</v>
      </c>
      <c r="E359" t="s">
        <v>90</v>
      </c>
      <c r="F359" t="s">
        <v>155</v>
      </c>
      <c r="K359" t="s">
        <v>1000</v>
      </c>
      <c r="L359" s="24"/>
      <c r="M359" s="24"/>
      <c r="N359" s="24">
        <v>43440.459784456019</v>
      </c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>
        <v>45177.510080023145</v>
      </c>
      <c r="Z359" s="24"/>
      <c r="AA359" s="24"/>
      <c r="AB359" s="24"/>
      <c r="AC359" s="24"/>
      <c r="AD359" s="24"/>
      <c r="AE359" s="24"/>
      <c r="AF359" s="24"/>
      <c r="AG359" s="24">
        <v>46160.377809062498</v>
      </c>
    </row>
    <row r="360" spans="1:33" x14ac:dyDescent="0.3">
      <c r="A360" t="s">
        <v>1202</v>
      </c>
      <c r="D360" s="24">
        <v>43661.554861111108</v>
      </c>
      <c r="E360" t="s">
        <v>90</v>
      </c>
      <c r="F360" t="s">
        <v>155</v>
      </c>
      <c r="K360" t="s">
        <v>1000</v>
      </c>
      <c r="L360" s="24"/>
      <c r="M360" s="24"/>
      <c r="N360" s="24">
        <v>44391.626507303241</v>
      </c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>
        <v>45177.510072557867</v>
      </c>
      <c r="Z360" s="24"/>
      <c r="AA360" s="24"/>
      <c r="AB360" s="24"/>
      <c r="AC360" s="24"/>
      <c r="AD360" s="24"/>
      <c r="AE360" s="24"/>
      <c r="AF360" s="24"/>
      <c r="AG360" s="24">
        <v>46160.377809062498</v>
      </c>
    </row>
    <row r="361" spans="1:33" x14ac:dyDescent="0.3">
      <c r="A361" t="s">
        <v>1203</v>
      </c>
      <c r="D361" s="24">
        <v>43665.340983796297</v>
      </c>
      <c r="E361" t="s">
        <v>90</v>
      </c>
      <c r="F361" t="s">
        <v>155</v>
      </c>
      <c r="K361" t="s">
        <v>1000</v>
      </c>
      <c r="L361" s="24"/>
      <c r="M361" s="24"/>
      <c r="N361" s="24">
        <v>44348.328201157405</v>
      </c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>
        <v>45177.510063958332</v>
      </c>
      <c r="Z361" s="24"/>
      <c r="AA361" s="24"/>
      <c r="AB361" s="24"/>
      <c r="AC361" s="24"/>
      <c r="AD361" s="24"/>
      <c r="AE361" s="24"/>
      <c r="AF361" s="24"/>
      <c r="AG361" s="24">
        <v>46160.377809062498</v>
      </c>
    </row>
    <row r="362" spans="1:33" x14ac:dyDescent="0.3">
      <c r="A362" t="s">
        <v>1204</v>
      </c>
      <c r="D362" s="24">
        <v>43656.542071759257</v>
      </c>
      <c r="E362" t="s">
        <v>90</v>
      </c>
      <c r="F362" t="s">
        <v>155</v>
      </c>
      <c r="K362" t="s">
        <v>1000</v>
      </c>
      <c r="L362" s="24"/>
      <c r="M362" s="24"/>
      <c r="N362" s="24">
        <v>43921.632137893517</v>
      </c>
      <c r="O362" s="24"/>
      <c r="P362" s="24"/>
      <c r="Q362" s="24">
        <v>43727.579706516204</v>
      </c>
      <c r="R362" s="24"/>
      <c r="S362" s="24"/>
      <c r="T362" s="24"/>
      <c r="U362" s="24"/>
      <c r="V362" s="24"/>
      <c r="W362" s="24"/>
      <c r="X362" s="24"/>
      <c r="Y362" s="24">
        <v>45177.510055949075</v>
      </c>
      <c r="Z362" s="24"/>
      <c r="AA362" s="24"/>
      <c r="AB362" s="24"/>
      <c r="AC362" s="24"/>
      <c r="AD362" s="24"/>
      <c r="AE362" s="24"/>
      <c r="AF362" s="24"/>
      <c r="AG362" s="24">
        <v>46160.377809062498</v>
      </c>
    </row>
    <row r="363" spans="1:33" x14ac:dyDescent="0.3">
      <c r="A363" t="s">
        <v>1205</v>
      </c>
      <c r="D363" s="24">
        <v>43223.518090277779</v>
      </c>
      <c r="E363" t="s">
        <v>90</v>
      </c>
      <c r="F363" t="s">
        <v>155</v>
      </c>
      <c r="K363" t="s">
        <v>1000</v>
      </c>
      <c r="L363" s="24"/>
      <c r="M363" s="24"/>
      <c r="N363" s="24">
        <v>43440.460984641206</v>
      </c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>
        <v>45177.510046620373</v>
      </c>
      <c r="Z363" s="24"/>
      <c r="AA363" s="24"/>
      <c r="AB363" s="24"/>
      <c r="AC363" s="24"/>
      <c r="AD363" s="24"/>
      <c r="AE363" s="24"/>
      <c r="AF363" s="24"/>
      <c r="AG363" s="24">
        <v>46160.377809062498</v>
      </c>
    </row>
    <row r="364" spans="1:33" x14ac:dyDescent="0.3">
      <c r="A364" t="s">
        <v>1206</v>
      </c>
      <c r="D364" s="24">
        <v>43249.398356481484</v>
      </c>
      <c r="E364" t="s">
        <v>90</v>
      </c>
      <c r="F364" t="s">
        <v>155</v>
      </c>
      <c r="K364" t="s">
        <v>1000</v>
      </c>
      <c r="L364" s="24"/>
      <c r="M364" s="24"/>
      <c r="N364" s="24">
        <v>43440.462245289353</v>
      </c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>
        <v>45177.510038495369</v>
      </c>
      <c r="Z364" s="24"/>
      <c r="AA364" s="24"/>
      <c r="AB364" s="24"/>
      <c r="AC364" s="24"/>
      <c r="AD364" s="24"/>
      <c r="AE364" s="24"/>
      <c r="AF364" s="24"/>
      <c r="AG364" s="24">
        <v>46160.377809062498</v>
      </c>
    </row>
    <row r="365" spans="1:33" x14ac:dyDescent="0.3">
      <c r="A365" t="s">
        <v>1207</v>
      </c>
      <c r="D365" s="24">
        <v>43440.479710648149</v>
      </c>
      <c r="E365" t="s">
        <v>90</v>
      </c>
      <c r="F365" t="s">
        <v>155</v>
      </c>
      <c r="K365" t="s">
        <v>1000</v>
      </c>
      <c r="L365" s="24"/>
      <c r="M365" s="24"/>
      <c r="N365" s="24">
        <v>43763.562256412035</v>
      </c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>
        <v>45177.51003179398</v>
      </c>
      <c r="Z365" s="24"/>
      <c r="AA365" s="24"/>
      <c r="AB365" s="24"/>
      <c r="AC365" s="24"/>
      <c r="AD365" s="24"/>
      <c r="AE365" s="24"/>
      <c r="AF365" s="24"/>
      <c r="AG365" s="24">
        <v>46160.377809062498</v>
      </c>
    </row>
    <row r="366" spans="1:33" x14ac:dyDescent="0.3">
      <c r="A366" t="s">
        <v>1208</v>
      </c>
      <c r="D366" s="24">
        <v>43434.547893518517</v>
      </c>
      <c r="E366" t="s">
        <v>90</v>
      </c>
      <c r="F366" t="s">
        <v>155</v>
      </c>
      <c r="K366" t="s">
        <v>1000</v>
      </c>
      <c r="L366" s="24"/>
      <c r="M366" s="24"/>
      <c r="N366" s="24">
        <v>43815.473867581015</v>
      </c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>
        <v>45177.510024953706</v>
      </c>
      <c r="Z366" s="24"/>
      <c r="AA366" s="24"/>
      <c r="AB366" s="24"/>
      <c r="AC366" s="24"/>
      <c r="AD366" s="24"/>
      <c r="AE366" s="24"/>
      <c r="AF366" s="24"/>
      <c r="AG366" s="24">
        <v>46160.377809062498</v>
      </c>
    </row>
    <row r="367" spans="1:33" x14ac:dyDescent="0.3">
      <c r="A367" t="s">
        <v>1209</v>
      </c>
      <c r="D367" s="24">
        <v>43183.748599537037</v>
      </c>
      <c r="E367" t="s">
        <v>90</v>
      </c>
      <c r="F367" t="s">
        <v>155</v>
      </c>
      <c r="K367" t="s">
        <v>1000</v>
      </c>
      <c r="L367" s="24">
        <v>44004.492481469904</v>
      </c>
      <c r="M367" s="24"/>
      <c r="N367" s="24">
        <v>44348.328824270837</v>
      </c>
      <c r="O367" s="24"/>
      <c r="P367" s="24"/>
      <c r="Q367" s="24">
        <v>43922.503890046297</v>
      </c>
      <c r="R367" s="24">
        <v>44015.593009374999</v>
      </c>
      <c r="S367" s="24">
        <v>43930.445615787037</v>
      </c>
      <c r="T367" s="24"/>
      <c r="U367" s="24"/>
      <c r="V367" s="24"/>
      <c r="W367" s="24"/>
      <c r="X367" s="24"/>
      <c r="Y367" s="24">
        <v>45177.510017048611</v>
      </c>
      <c r="Z367" s="24"/>
      <c r="AA367" s="24"/>
      <c r="AB367" s="24"/>
      <c r="AC367" s="24"/>
      <c r="AD367" s="24">
        <v>44270.34975912037</v>
      </c>
      <c r="AE367" s="24"/>
      <c r="AF367" s="24"/>
      <c r="AG367" s="24">
        <v>46160.377809062498</v>
      </c>
    </row>
    <row r="368" spans="1:33" x14ac:dyDescent="0.3">
      <c r="A368" t="s">
        <v>1210</v>
      </c>
      <c r="D368" s="24">
        <v>43656.547650462962</v>
      </c>
      <c r="E368" t="s">
        <v>90</v>
      </c>
      <c r="F368" t="s">
        <v>155</v>
      </c>
      <c r="K368" t="s">
        <v>1000</v>
      </c>
      <c r="L368" s="24"/>
      <c r="M368" s="24"/>
      <c r="N368" s="24">
        <v>43763.561734849536</v>
      </c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>
        <v>45177.510003599535</v>
      </c>
      <c r="Z368" s="24"/>
      <c r="AA368" s="24"/>
      <c r="AB368" s="24"/>
      <c r="AC368" s="24"/>
      <c r="AD368" s="24"/>
      <c r="AE368" s="24"/>
      <c r="AF368" s="24"/>
      <c r="AG368" s="24">
        <v>46160.377809062498</v>
      </c>
    </row>
    <row r="369" spans="1:33" x14ac:dyDescent="0.3">
      <c r="A369" t="s">
        <v>1211</v>
      </c>
      <c r="D369" s="24">
        <v>43661.561874999999</v>
      </c>
      <c r="E369" t="s">
        <v>90</v>
      </c>
      <c r="F369" t="s">
        <v>155</v>
      </c>
      <c r="K369" t="s">
        <v>1000</v>
      </c>
      <c r="L369" s="24"/>
      <c r="M369" s="24"/>
      <c r="N369" s="24">
        <v>44391.624748506947</v>
      </c>
      <c r="O369" s="24"/>
      <c r="P369" s="24"/>
      <c r="Q369" s="24">
        <v>45215.663269999997</v>
      </c>
      <c r="R369" s="24">
        <v>44727.466640578707</v>
      </c>
      <c r="S369" s="24"/>
      <c r="T369" s="24"/>
      <c r="U369" s="24"/>
      <c r="V369" s="24"/>
      <c r="W369" s="24"/>
      <c r="X369" s="24"/>
      <c r="Y369" s="24">
        <v>45215.663349224538</v>
      </c>
      <c r="Z369" s="24"/>
      <c r="AA369" s="24"/>
      <c r="AB369" s="24"/>
      <c r="AC369" s="24"/>
      <c r="AD369" s="24">
        <v>44391.622140439817</v>
      </c>
      <c r="AE369" s="24"/>
      <c r="AF369" s="24"/>
      <c r="AG369" s="24">
        <v>46160.377809062498</v>
      </c>
    </row>
    <row r="370" spans="1:33" x14ac:dyDescent="0.3">
      <c r="A370" t="s">
        <v>1212</v>
      </c>
      <c r="D370" s="24">
        <v>43153.640520833331</v>
      </c>
      <c r="E370" t="s">
        <v>90</v>
      </c>
      <c r="F370" t="s">
        <v>155</v>
      </c>
      <c r="K370" t="s">
        <v>1000</v>
      </c>
      <c r="L370" s="24"/>
      <c r="M370" s="24"/>
      <c r="N370" s="24">
        <v>43440.46076898148</v>
      </c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>
        <v>45177.509984282406</v>
      </c>
      <c r="Z370" s="24"/>
      <c r="AA370" s="24"/>
      <c r="AB370" s="24"/>
      <c r="AC370" s="24"/>
      <c r="AD370" s="24"/>
      <c r="AE370" s="24"/>
      <c r="AF370" s="24"/>
      <c r="AG370" s="24">
        <v>46160.377809062498</v>
      </c>
    </row>
    <row r="371" spans="1:33" x14ac:dyDescent="0.3">
      <c r="A371" t="s">
        <v>1213</v>
      </c>
      <c r="D371" s="24">
        <v>43385.381041666667</v>
      </c>
      <c r="E371" t="s">
        <v>90</v>
      </c>
      <c r="F371" t="s">
        <v>155</v>
      </c>
      <c r="K371" t="s">
        <v>1000</v>
      </c>
      <c r="L371" s="24"/>
      <c r="M371" s="24"/>
      <c r="N371" s="24">
        <v>43552.556526539352</v>
      </c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>
        <v>45177.509975706016</v>
      </c>
      <c r="Z371" s="24"/>
      <c r="AA371" s="24"/>
      <c r="AB371" s="24"/>
      <c r="AC371" s="24"/>
      <c r="AD371" s="24"/>
      <c r="AE371" s="24"/>
      <c r="AF371" s="24"/>
      <c r="AG371" s="24">
        <v>46160.377809062498</v>
      </c>
    </row>
    <row r="372" spans="1:33" x14ac:dyDescent="0.3">
      <c r="A372" t="s">
        <v>1214</v>
      </c>
      <c r="D372" s="24">
        <v>43656.544351851851</v>
      </c>
      <c r="E372" t="s">
        <v>90</v>
      </c>
      <c r="F372" t="s">
        <v>155</v>
      </c>
      <c r="K372" t="s">
        <v>1000</v>
      </c>
      <c r="L372" s="24"/>
      <c r="M372" s="24"/>
      <c r="N372" s="24">
        <v>43788.683124039351</v>
      </c>
      <c r="O372" s="24"/>
      <c r="P372" s="24"/>
      <c r="Q372" s="24">
        <v>43675.529831215281</v>
      </c>
      <c r="R372" s="24"/>
      <c r="S372" s="24"/>
      <c r="T372" s="24"/>
      <c r="U372" s="24"/>
      <c r="V372" s="24"/>
      <c r="W372" s="24"/>
      <c r="X372" s="24"/>
      <c r="Y372" s="24">
        <v>45177.509968483799</v>
      </c>
      <c r="Z372" s="24"/>
      <c r="AA372" s="24"/>
      <c r="AB372" s="24"/>
      <c r="AC372" s="24"/>
      <c r="AD372" s="24"/>
      <c r="AE372" s="24"/>
      <c r="AF372" s="24"/>
      <c r="AG372" s="24">
        <v>46160.377809062498</v>
      </c>
    </row>
    <row r="373" spans="1:33" x14ac:dyDescent="0.3">
      <c r="A373" t="s">
        <v>1215</v>
      </c>
      <c r="D373" s="24">
        <v>43661.555104166669</v>
      </c>
      <c r="E373" t="s">
        <v>90</v>
      </c>
      <c r="F373" t="s">
        <v>155</v>
      </c>
      <c r="K373" t="s">
        <v>1000</v>
      </c>
      <c r="L373" s="24"/>
      <c r="M373" s="24"/>
      <c r="N373" s="24">
        <v>44391.625070624999</v>
      </c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>
        <v>45177.509957071758</v>
      </c>
      <c r="Z373" s="24"/>
      <c r="AA373" s="24"/>
      <c r="AB373" s="24"/>
      <c r="AC373" s="24"/>
      <c r="AD373" s="24">
        <v>44391.620788263892</v>
      </c>
      <c r="AE373" s="24"/>
      <c r="AF373" s="24"/>
      <c r="AG373" s="24">
        <v>46160.377809062498</v>
      </c>
    </row>
    <row r="374" spans="1:33" x14ac:dyDescent="0.3">
      <c r="A374" t="s">
        <v>1216</v>
      </c>
      <c r="D374" s="24">
        <v>43183.741666666669</v>
      </c>
      <c r="E374" t="s">
        <v>90</v>
      </c>
      <c r="F374" t="s">
        <v>155</v>
      </c>
      <c r="K374" t="s">
        <v>1000</v>
      </c>
      <c r="L374" s="24"/>
      <c r="M374" s="24"/>
      <c r="N374" s="24">
        <v>43921.626603935183</v>
      </c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>
        <v>45177.509945625003</v>
      </c>
      <c r="Z374" s="24"/>
      <c r="AA374" s="24"/>
      <c r="AB374" s="24"/>
      <c r="AC374" s="24"/>
      <c r="AD374" s="24"/>
      <c r="AE374" s="24"/>
      <c r="AF374" s="24"/>
      <c r="AG374" s="24">
        <v>46160.377809062498</v>
      </c>
    </row>
    <row r="375" spans="1:33" x14ac:dyDescent="0.3">
      <c r="A375" t="s">
        <v>1217</v>
      </c>
      <c r="D375" s="24">
        <v>43183.75099537037</v>
      </c>
      <c r="E375" t="s">
        <v>90</v>
      </c>
      <c r="F375" t="s">
        <v>155</v>
      </c>
      <c r="K375" t="s">
        <v>1000</v>
      </c>
      <c r="L375" s="24"/>
      <c r="M375" s="24"/>
      <c r="N375" s="24">
        <v>43440.463247534724</v>
      </c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>
        <v>45177.50993547454</v>
      </c>
      <c r="Z375" s="24"/>
      <c r="AA375" s="24"/>
      <c r="AB375" s="24"/>
      <c r="AC375" s="24"/>
      <c r="AD375" s="24"/>
      <c r="AE375" s="24"/>
      <c r="AF375" s="24"/>
      <c r="AG375" s="24">
        <v>46160.377809062498</v>
      </c>
    </row>
    <row r="376" spans="1:33" x14ac:dyDescent="0.3">
      <c r="A376" t="s">
        <v>1218</v>
      </c>
      <c r="D376" s="24">
        <v>43207.490393518521</v>
      </c>
      <c r="E376" t="s">
        <v>90</v>
      </c>
      <c r="F376" t="s">
        <v>155</v>
      </c>
      <c r="K376" t="s">
        <v>1000</v>
      </c>
      <c r="L376" s="24"/>
      <c r="M376" s="24"/>
      <c r="N376" s="24">
        <v>43440.461869641207</v>
      </c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>
        <v>45177.509924004633</v>
      </c>
      <c r="Z376" s="24"/>
      <c r="AA376" s="24"/>
      <c r="AB376" s="24"/>
      <c r="AC376" s="24"/>
      <c r="AD376" s="24"/>
      <c r="AE376" s="24"/>
      <c r="AF376" s="24"/>
      <c r="AG376" s="24">
        <v>46160.377809062498</v>
      </c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EDC72-0148-48E2-A0BB-0D2C2FD66F06}">
  <sheetPr>
    <tabColor theme="7" tint="0.39997558519241921"/>
  </sheetPr>
  <dimension ref="B2:J19"/>
  <sheetViews>
    <sheetView zoomScale="80" zoomScaleNormal="80" workbookViewId="0">
      <selection activeCell="K42" sqref="K42"/>
    </sheetView>
  </sheetViews>
  <sheetFormatPr baseColWidth="10" defaultColWidth="11.44140625" defaultRowHeight="14.4" x14ac:dyDescent="0.3"/>
  <cols>
    <col min="1" max="1" width="11.44140625" style="6"/>
    <col min="2" max="2" width="14.88671875" style="6" customWidth="1"/>
    <col min="3" max="16384" width="11.44140625" style="6"/>
  </cols>
  <sheetData>
    <row r="2" spans="2:10" x14ac:dyDescent="0.3">
      <c r="B2" s="19" t="s">
        <v>0</v>
      </c>
      <c r="C2" s="19" t="e" cm="1">
        <f t="array" ref="C2">TRANSPOSE(#REF!)</f>
        <v>#REF!</v>
      </c>
      <c r="D2" s="19"/>
      <c r="E2" s="19"/>
      <c r="F2" s="19"/>
      <c r="G2" s="19"/>
      <c r="H2" s="19"/>
      <c r="I2" s="19"/>
      <c r="J2" s="19"/>
    </row>
    <row r="3" spans="2:10" x14ac:dyDescent="0.3">
      <c r="B3" s="20" t="str" cm="1">
        <f t="array" ref="B3:B4">_xlfn._xlws.FILTER(jiraProjectsTable[Squad],ISTEXT(jiraProjectsTable[Squad]),"")</f>
        <v>Squad_2</v>
      </c>
      <c r="C3" s="47">
        <v>8</v>
      </c>
      <c r="D3" s="47">
        <v>8</v>
      </c>
      <c r="E3" s="47">
        <v>9</v>
      </c>
      <c r="F3" s="47">
        <v>8</v>
      </c>
      <c r="G3" s="47">
        <v>7</v>
      </c>
      <c r="H3" s="47">
        <v>7</v>
      </c>
      <c r="I3" s="47">
        <v>7</v>
      </c>
      <c r="J3" s="47">
        <v>7</v>
      </c>
    </row>
    <row r="4" spans="2:10" x14ac:dyDescent="0.3">
      <c r="B4" s="20" t="str">
        <v>Squad_1</v>
      </c>
      <c r="C4" s="47">
        <v>9</v>
      </c>
      <c r="D4" s="47">
        <v>9</v>
      </c>
      <c r="E4" s="47">
        <v>9</v>
      </c>
      <c r="F4" s="47">
        <v>10</v>
      </c>
      <c r="G4" s="47">
        <v>9</v>
      </c>
      <c r="H4" s="47">
        <v>9</v>
      </c>
      <c r="I4" s="47">
        <v>9</v>
      </c>
      <c r="J4" s="47">
        <v>9</v>
      </c>
    </row>
    <row r="5" spans="2:10" x14ac:dyDescent="0.3">
      <c r="B5" s="20"/>
      <c r="C5" s="47"/>
      <c r="D5" s="47"/>
      <c r="E5" s="47"/>
      <c r="F5" s="47"/>
      <c r="G5" s="47"/>
      <c r="H5" s="47"/>
      <c r="I5" s="47"/>
      <c r="J5" s="47"/>
    </row>
    <row r="6" spans="2:10" x14ac:dyDescent="0.3">
      <c r="B6" s="20"/>
      <c r="C6" s="47"/>
      <c r="D6" s="47"/>
      <c r="E6" s="47"/>
      <c r="F6" s="47"/>
      <c r="G6" s="47"/>
      <c r="H6" s="47"/>
      <c r="I6" s="47"/>
      <c r="J6" s="47"/>
    </row>
    <row r="7" spans="2:10" x14ac:dyDescent="0.3">
      <c r="B7" s="20"/>
      <c r="C7" s="47"/>
      <c r="D7" s="47"/>
      <c r="E7" s="47"/>
      <c r="F7" s="47"/>
      <c r="G7" s="47"/>
      <c r="H7" s="23"/>
      <c r="I7" s="23"/>
      <c r="J7" s="23"/>
    </row>
    <row r="8" spans="2:10" x14ac:dyDescent="0.3">
      <c r="B8" s="20"/>
      <c r="C8" s="47"/>
      <c r="D8" s="47"/>
      <c r="E8" s="47"/>
      <c r="F8" s="47"/>
      <c r="G8" s="47"/>
      <c r="H8" s="47"/>
      <c r="I8" s="47"/>
      <c r="J8" s="47"/>
    </row>
    <row r="9" spans="2:10" x14ac:dyDescent="0.3">
      <c r="B9" s="20"/>
      <c r="C9" s="47"/>
      <c r="D9" s="47"/>
      <c r="E9" s="47"/>
      <c r="F9" s="47"/>
      <c r="G9" s="47"/>
      <c r="H9" s="47"/>
      <c r="I9" s="47"/>
      <c r="J9" s="47"/>
    </row>
    <row r="10" spans="2:10" x14ac:dyDescent="0.3">
      <c r="B10" s="20"/>
      <c r="C10" s="21"/>
      <c r="D10" s="21"/>
      <c r="E10" s="21"/>
      <c r="F10" s="21"/>
      <c r="G10" s="21"/>
      <c r="H10" s="21"/>
      <c r="I10" s="21"/>
      <c r="J10" s="21"/>
    </row>
    <row r="11" spans="2:10" x14ac:dyDescent="0.3">
      <c r="B11" s="20"/>
      <c r="C11" s="21"/>
      <c r="D11" s="21"/>
      <c r="E11" s="21"/>
      <c r="F11" s="21"/>
      <c r="G11" s="21"/>
      <c r="H11" s="21"/>
      <c r="I11" s="21"/>
      <c r="J11" s="21"/>
    </row>
    <row r="12" spans="2:10" x14ac:dyDescent="0.3">
      <c r="B12" s="20"/>
      <c r="C12" s="21"/>
      <c r="D12" s="21"/>
      <c r="E12" s="21"/>
      <c r="F12" s="21"/>
      <c r="G12" s="21"/>
      <c r="H12" s="21"/>
      <c r="I12" s="21"/>
      <c r="J12" s="21"/>
    </row>
    <row r="13" spans="2:10" x14ac:dyDescent="0.3">
      <c r="B13" s="20"/>
      <c r="C13" s="21"/>
      <c r="D13" s="21"/>
      <c r="E13" s="21"/>
      <c r="F13" s="21"/>
      <c r="G13" s="21"/>
      <c r="H13" s="21"/>
      <c r="I13" s="21"/>
      <c r="J13" s="21"/>
    </row>
    <row r="14" spans="2:10" x14ac:dyDescent="0.3">
      <c r="B14" s="20"/>
      <c r="C14" s="21"/>
      <c r="D14" s="21"/>
      <c r="E14" s="21"/>
      <c r="F14" s="21"/>
      <c r="G14" s="21"/>
      <c r="H14" s="21"/>
      <c r="I14" s="21"/>
      <c r="J14" s="21"/>
    </row>
    <row r="15" spans="2:10" x14ac:dyDescent="0.3">
      <c r="B15" s="20"/>
      <c r="C15" s="21"/>
      <c r="D15" s="21"/>
      <c r="E15" s="21"/>
      <c r="F15" s="21"/>
      <c r="G15" s="21"/>
      <c r="H15" s="21"/>
      <c r="I15" s="21"/>
      <c r="J15" s="21"/>
    </row>
    <row r="16" spans="2:10" x14ac:dyDescent="0.3">
      <c r="B16" s="20"/>
      <c r="C16" s="22"/>
      <c r="D16" s="22"/>
      <c r="E16" s="22"/>
      <c r="F16" s="22"/>
      <c r="G16" s="22"/>
      <c r="H16" s="22"/>
      <c r="I16" s="22"/>
      <c r="J16" s="22"/>
    </row>
    <row r="17" spans="2:10" x14ac:dyDescent="0.3">
      <c r="B17" s="20"/>
      <c r="C17" s="22"/>
      <c r="D17" s="22"/>
      <c r="E17" s="22"/>
      <c r="F17" s="22"/>
      <c r="G17" s="22"/>
      <c r="H17" s="22"/>
      <c r="I17" s="22"/>
      <c r="J17" s="22"/>
    </row>
    <row r="18" spans="2:10" x14ac:dyDescent="0.3">
      <c r="B18" s="20"/>
      <c r="C18" s="22"/>
      <c r="D18" s="22"/>
      <c r="E18" s="22"/>
      <c r="F18" s="22"/>
      <c r="G18" s="22"/>
      <c r="H18" s="22"/>
      <c r="I18" s="22"/>
      <c r="J18" s="22"/>
    </row>
    <row r="19" spans="2:10" x14ac:dyDescent="0.3">
      <c r="B19" s="20"/>
      <c r="C19" s="22"/>
      <c r="D19" s="22"/>
      <c r="E19" s="22"/>
      <c r="F19" s="22"/>
      <c r="G19" s="22"/>
      <c r="H19" s="22"/>
      <c r="I19" s="22"/>
      <c r="J19" s="22"/>
    </row>
  </sheetData>
  <phoneticPr fontId="1" type="noConversion"/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B0344-2886-4CD6-B566-F1BC713B6CAF}">
  <sheetPr>
    <tabColor theme="7" tint="0.39997558519241921"/>
  </sheetPr>
  <dimension ref="A1"/>
  <sheetViews>
    <sheetView workbookViewId="0">
      <selection activeCell="E17" sqref="E17"/>
    </sheetView>
  </sheetViews>
  <sheetFormatPr baseColWidth="10" defaultRowHeight="14.4" x14ac:dyDescent="0.3"/>
  <cols>
    <col min="1" max="1" width="15.44140625" bestFit="1" customWidth="1"/>
    <col min="2" max="2" width="17.33203125" bestFit="1" customWidth="1"/>
    <col min="3" max="3" width="25.5546875" bestFit="1" customWidth="1"/>
    <col min="4" max="4" width="30.5546875" bestFit="1" customWidth="1"/>
    <col min="5" max="5" width="16.6640625" bestFit="1" customWidth="1"/>
    <col min="6" max="7" width="52.44140625" bestFit="1" customWidth="1"/>
  </cols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4b9ade4-847b-4455-ae1c-0da7bf137040">
      <Terms xmlns="http://schemas.microsoft.com/office/infopath/2007/PartnerControls"/>
    </lcf76f155ced4ddcb4097134ff3c332f>
    <SharedWithUsers xmlns="12cf8cab-9779-4bc7-ba69-f278cbd506ef">
      <UserInfo>
        <DisplayName/>
        <AccountId xsi:nil="true"/>
        <AccountType/>
      </UserInfo>
    </SharedWithUsers>
    <TaxCatchAll xmlns="12cf8cab-9779-4bc7-ba69-f278cbd506ef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4FA49B59892B147A6A645FA97DF00F8" ma:contentTypeVersion="14" ma:contentTypeDescription="Ein neues Dokument erstellen." ma:contentTypeScope="" ma:versionID="04eb2cefb0408ab63f5a6feb8f0194cf">
  <xsd:schema xmlns:xsd="http://www.w3.org/2001/XMLSchema" xmlns:xs="http://www.w3.org/2001/XMLSchema" xmlns:p="http://schemas.microsoft.com/office/2006/metadata/properties" xmlns:ns2="64b9ade4-847b-4455-ae1c-0da7bf137040" xmlns:ns3="12cf8cab-9779-4bc7-ba69-f278cbd506ef" targetNamespace="http://schemas.microsoft.com/office/2006/metadata/properties" ma:root="true" ma:fieldsID="b2a459280ae0c8a16e91cbb4e403f6c3" ns2:_="" ns3:_="">
    <xsd:import namespace="64b9ade4-847b-4455-ae1c-0da7bf137040"/>
    <xsd:import namespace="12cf8cab-9779-4bc7-ba69-f278cbd506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b9ade4-847b-4455-ae1c-0da7bf137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ildmarkierungen" ma:readOnly="false" ma:fieldId="{5cf76f15-5ced-4ddc-b409-7134ff3c332f}" ma:taxonomyMulti="true" ma:sspId="bc7cd8e4-056a-4b9a-a096-56d591af49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cf8cab-9779-4bc7-ba69-f278cbd506e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fc6ec4d-d398-4716-aaea-91c5cbf10603}" ma:internalName="TaxCatchAll" ma:showField="CatchAllData" ma:web="12cf8cab-9779-4bc7-ba69-f278cbd506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CDBC1D-08B2-4AED-A0A1-13BE5A3027A4}">
  <ds:schemaRefs>
    <ds:schemaRef ds:uri="544a2e6d-02d9-48f3-bb3b-cc80f552905d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e68fc6af-4976-4174-92f6-7b58c503e6d6"/>
    <ds:schemaRef ds:uri="http://www.w3.org/XML/1998/namespace"/>
    <ds:schemaRef ds:uri="http://purl.org/dc/dcmitype/"/>
    <ds:schemaRef ds:uri="64b9ade4-847b-4455-ae1c-0da7bf137040"/>
    <ds:schemaRef ds:uri="12cf8cab-9779-4bc7-ba69-f278cbd506ef"/>
  </ds:schemaRefs>
</ds:datastoreItem>
</file>

<file path=customXml/itemProps2.xml><?xml version="1.0" encoding="utf-8"?>
<ds:datastoreItem xmlns:ds="http://schemas.openxmlformats.org/officeDocument/2006/customXml" ds:itemID="{258E9816-5F29-43D7-8D96-2549C0C19DC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724ACA1-81E3-4D15-8BFD-3F44373C96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b9ade4-847b-4455-ae1c-0da7bf137040"/>
    <ds:schemaRef ds:uri="12cf8cab-9779-4bc7-ba69-f278cbd506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16F19C7-CBEC-437A-ABDC-0E9A40BB327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2</vt:i4>
      </vt:variant>
    </vt:vector>
  </HeadingPairs>
  <TitlesOfParts>
    <vt:vector size="10" baseType="lpstr">
      <vt:lpstr>LeadTime_CS</vt:lpstr>
      <vt:lpstr>Happiness Faktor</vt:lpstr>
      <vt:lpstr>JiraProjects</vt:lpstr>
      <vt:lpstr>JiraBlockermanagement</vt:lpstr>
      <vt:lpstr>JiraStories</vt:lpstr>
      <vt:lpstr>JiraEpics</vt:lpstr>
      <vt:lpstr>SquadDaten</vt:lpstr>
      <vt:lpstr>CACHE_BlockedFieldHistory</vt:lpstr>
      <vt:lpstr>jiraModifierCell</vt:lpstr>
      <vt:lpstr>SquadDaten</vt:lpstr>
    </vt:vector>
  </TitlesOfParts>
  <Manager/>
  <Company>AXA Technology Services Germany GmbH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marcus.wissendorf@axa.de</dc:creator>
  <cp:keywords/>
  <dc:description/>
  <cp:lastModifiedBy>Oliver Wolter</cp:lastModifiedBy>
  <cp:revision/>
  <dcterms:created xsi:type="dcterms:W3CDTF">2012-11-22T13:11:48Z</dcterms:created>
  <dcterms:modified xsi:type="dcterms:W3CDTF">2026-06-15T20:20:08Z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9a31d27-fde0-4398-972b-f8b6a4f7f109_Enabled">
    <vt:lpwstr>true</vt:lpwstr>
  </property>
  <property fmtid="{D5CDD505-2E9C-101B-9397-08002B2CF9AE}" pid="3" name="MSIP_Label_f9a31d27-fde0-4398-972b-f8b6a4f7f109_SetDate">
    <vt:lpwstr>2022-10-28T13:56:02Z</vt:lpwstr>
  </property>
  <property fmtid="{D5CDD505-2E9C-101B-9397-08002B2CF9AE}" pid="4" name="MSIP_Label_f9a31d27-fde0-4398-972b-f8b6a4f7f109_Method">
    <vt:lpwstr>Standard</vt:lpwstr>
  </property>
  <property fmtid="{D5CDD505-2E9C-101B-9397-08002B2CF9AE}" pid="5" name="MSIP_Label_f9a31d27-fde0-4398-972b-f8b6a4f7f109_Name">
    <vt:lpwstr>INTERN_Sublabel</vt:lpwstr>
  </property>
  <property fmtid="{D5CDD505-2E9C-101B-9397-08002B2CF9AE}" pid="6" name="MSIP_Label_f9a31d27-fde0-4398-972b-f8b6a4f7f109_SiteId">
    <vt:lpwstr>396b38cc-aa65-492b-bb0e-3d94ed25a97b</vt:lpwstr>
  </property>
  <property fmtid="{D5CDD505-2E9C-101B-9397-08002B2CF9AE}" pid="7" name="MSIP_Label_f9a31d27-fde0-4398-972b-f8b6a4f7f109_ActionId">
    <vt:lpwstr>ab8ee3ed-2ff6-45c3-a183-29bd08633fcb</vt:lpwstr>
  </property>
  <property fmtid="{D5CDD505-2E9C-101B-9397-08002B2CF9AE}" pid="8" name="MSIP_Label_f9a31d27-fde0-4398-972b-f8b6a4f7f109_ContentBits">
    <vt:lpwstr>2</vt:lpwstr>
  </property>
  <property fmtid="{D5CDD505-2E9C-101B-9397-08002B2CF9AE}" pid="9" name="ContentTypeId">
    <vt:lpwstr>0x010100A4FA49B59892B147A6A645FA97DF00F8</vt:lpwstr>
  </property>
  <property fmtid="{D5CDD505-2E9C-101B-9397-08002B2CF9AE}" pid="10" name="MediaServiceImageTags">
    <vt:lpwstr/>
  </property>
  <property fmtid="{D5CDD505-2E9C-101B-9397-08002B2CF9AE}" pid="11" name="ComplianceAssetId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