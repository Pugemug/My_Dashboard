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D:\Git\My_Dashboard\tests\fixtures\"/>
    </mc:Choice>
  </mc:AlternateContent>
  <xr:revisionPtr revIDLastSave="0" documentId="13_ncr:1_{14A98382-6069-4468-A793-5C9B7B456B2F}" xr6:coauthVersionLast="47" xr6:coauthVersionMax="47" xr10:uidLastSave="{00000000-0000-0000-0000-000000000000}"/>
  <bookViews>
    <workbookView xWindow="2760" yWindow="5964" windowWidth="34560" windowHeight="18600" tabRatio="784" firstSheet="1" activeTab="1" xr2:uid="{00000000-000D-0000-FFFF-FFFF00000000}"/>
  </bookViews>
  <sheets>
    <sheet name="LeadTime_CS" sheetId="78" state="hidden" r:id="rId1"/>
    <sheet name="Happiness Faktor" sheetId="98" r:id="rId2"/>
    <sheet name="JiraProjects" sheetId="63" r:id="rId3"/>
    <sheet name="JiraBlockermanagement" sheetId="96" r:id="rId4"/>
    <sheet name="JiraStories" sheetId="95" r:id="rId5"/>
    <sheet name="JiraEpics" sheetId="94" r:id="rId6"/>
    <sheet name="SquadDaten" sheetId="73" r:id="rId7"/>
    <sheet name="CACHE_BlockedFieldHistory" sheetId="97" state="hidden" r:id="rId8"/>
  </sheets>
  <externalReferences>
    <externalReference r:id="rId9"/>
  </externalReferences>
  <definedNames>
    <definedName name="ExterneDaten_1" localSheetId="5" hidden="1">JiraEpics!$A$1:$AG$2</definedName>
    <definedName name="ExterneDaten_2" localSheetId="4" hidden="1">JiraStories!$A$1:$DS$2</definedName>
    <definedName name="ExterneDaten_3" localSheetId="3" hidden="1">JiraBlockermanagement!$A$1:$P$2</definedName>
    <definedName name="jiraModifierCell" localSheetId="1">[1]!jiraProjectsTable[Modifier]</definedName>
    <definedName name="jiraModifierCell" localSheetId="0">#REF!</definedName>
    <definedName name="jiraModifierCell">jiraProjectsTable[Modifier]</definedName>
    <definedName name="jiraProjectCell" localSheetId="1">[1]Dashboard!$C$3</definedName>
    <definedName name="jiraProjectCell" localSheetId="0">#REF!</definedName>
    <definedName name="jiraProjectCell">#REF!</definedName>
    <definedName name="SquadDaten" localSheetId="1">[1]SquadDaten!$B$2:$J$19</definedName>
    <definedName name="SquadDaten" localSheetId="0">#REF!</definedName>
    <definedName name="SquadDaten">SquadDaten!$B$2:$J$19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98" l="1" a="1"/>
  <c r="D3" i="98" s="1"/>
  <c r="B16" i="98"/>
  <c r="B15" i="98"/>
  <c r="B14" i="98"/>
  <c r="B13" i="98"/>
  <c r="B12" i="98"/>
  <c r="B11" i="98"/>
  <c r="B10" i="98"/>
  <c r="B9" i="98"/>
  <c r="B8" i="98"/>
  <c r="B7" i="98"/>
  <c r="B6" i="98"/>
  <c r="B5" i="98"/>
  <c r="B4" i="98"/>
  <c r="C2" i="73" a="1"/>
  <c r="C2" i="73" s="1"/>
  <c r="C10" i="98" l="1"/>
  <c r="C15" i="98"/>
  <c r="C9" i="98"/>
  <c r="C14" i="98"/>
  <c r="C8" i="98"/>
  <c r="C6" i="98"/>
  <c r="C7" i="98"/>
  <c r="C13" i="98"/>
  <c r="C12" i="98"/>
  <c r="C11" i="98"/>
  <c r="C5" i="98"/>
  <c r="C16" i="98"/>
  <c r="C4" i="98"/>
  <c r="B3" i="73" a="1"/>
  <c r="B3" i="73" s="1"/>
  <c r="BZ2" i="78"/>
  <c r="BU2" i="78"/>
  <c r="BP2" i="78"/>
  <c r="BK2" i="78"/>
  <c r="BF2" i="78"/>
  <c r="BA2" i="78"/>
  <c r="AV2" i="78"/>
  <c r="AQ2" i="78"/>
  <c r="AL2" i="78"/>
  <c r="AG2" i="78"/>
  <c r="AB2" i="78"/>
  <c r="W2" i="78"/>
  <c r="R2" i="78"/>
  <c r="M2" i="78"/>
  <c r="H2" i="78"/>
  <c r="C2" i="78"/>
  <c r="B16" i="78" l="1"/>
  <c r="B8" i="78"/>
  <c r="B15" i="78"/>
  <c r="B7" i="78"/>
  <c r="B14" i="78"/>
  <c r="B6" i="78"/>
  <c r="B13" i="78"/>
  <c r="B5" i="78"/>
  <c r="B12" i="78"/>
  <c r="B11" i="78"/>
  <c r="B10" i="78"/>
  <c r="B9" i="78"/>
  <c r="B4" i="78"/>
  <c r="BZ6" i="78" l="1" a="1"/>
  <c r="BZ6" i="78" s="1"/>
  <c r="BN6" i="78" a="1"/>
  <c r="BN6" i="78" s="1"/>
  <c r="BH6" i="78" a="1"/>
  <c r="BH6" i="78" s="1"/>
  <c r="BB6" i="78" a="1"/>
  <c r="BB6" i="78" s="1"/>
  <c r="AW6" i="78" a="1"/>
  <c r="AW6" i="78" s="1"/>
  <c r="AQ6" i="78" a="1"/>
  <c r="AQ6" i="78" s="1"/>
  <c r="AF6" i="78" a="1"/>
  <c r="AF6" i="78" s="1"/>
  <c r="Z6" i="78" a="1"/>
  <c r="Z6" i="78" s="1"/>
  <c r="T6" i="78" a="1"/>
  <c r="T6" i="78" s="1"/>
  <c r="I6" i="78" a="1"/>
  <c r="I6" i="78" s="1"/>
  <c r="D6" i="78" a="1"/>
  <c r="D6" i="78" s="1"/>
  <c r="BY6" i="78" a="1"/>
  <c r="BY6" i="78" s="1"/>
  <c r="BS6" i="78" a="1"/>
  <c r="BS6" i="78" s="1"/>
  <c r="BG6" i="78" a="1"/>
  <c r="BG6" i="78" s="1"/>
  <c r="AP6" i="78" a="1"/>
  <c r="AP6" i="78" s="1"/>
  <c r="AK6" i="78" a="1"/>
  <c r="AK6" i="78" s="1"/>
  <c r="O6" i="78" a="1"/>
  <c r="O6" i="78" s="1"/>
  <c r="CD6" i="78" a="1"/>
  <c r="CD6" i="78" s="1"/>
  <c r="BR6" i="78" a="1"/>
  <c r="BR6" i="78" s="1"/>
  <c r="BM6" i="78" a="1"/>
  <c r="BM6" i="78" s="1"/>
  <c r="BF6" i="78" a="1"/>
  <c r="BF6" i="78" s="1"/>
  <c r="BA6" i="78" a="1"/>
  <c r="BA6" i="78" s="1"/>
  <c r="AV6" i="78" a="1"/>
  <c r="AV6" i="78" s="1"/>
  <c r="AO6" i="78" a="1"/>
  <c r="AO6" i="78" s="1"/>
  <c r="AJ6" i="78" a="1"/>
  <c r="AJ6" i="78" s="1"/>
  <c r="AE6" i="78" a="1"/>
  <c r="AE6" i="78" s="1"/>
  <c r="Y6" i="78" a="1"/>
  <c r="Y6" i="78" s="1"/>
  <c r="S6" i="78" a="1"/>
  <c r="S6" i="78" s="1"/>
  <c r="N6" i="78" a="1"/>
  <c r="N6" i="78" s="1"/>
  <c r="H6" i="78" a="1"/>
  <c r="H6" i="78" s="1"/>
  <c r="C6" i="78" a="1"/>
  <c r="C6" i="78" s="1"/>
  <c r="CC6" i="78" a="1"/>
  <c r="CC6" i="78" s="1"/>
  <c r="BX6" i="78" a="1"/>
  <c r="BX6" i="78" s="1"/>
  <c r="BL6" i="78" a="1"/>
  <c r="BL6" i="78" s="1"/>
  <c r="AZ6" i="78" a="1"/>
  <c r="AZ6" i="78" s="1"/>
  <c r="AD6" i="78" a="1"/>
  <c r="AD6" i="78" s="1"/>
  <c r="R6" i="78" a="1"/>
  <c r="R6" i="78" s="1"/>
  <c r="M6" i="78" a="1"/>
  <c r="M6" i="78" s="1"/>
  <c r="BW6" i="78" a="1"/>
  <c r="BW6" i="78" s="1"/>
  <c r="BQ6" i="78" a="1"/>
  <c r="BQ6" i="78" s="1"/>
  <c r="BK6" i="78" a="1"/>
  <c r="BK6" i="78" s="1"/>
  <c r="BE6" i="78" a="1"/>
  <c r="BE6" i="78" s="1"/>
  <c r="AU6" i="78" a="1"/>
  <c r="AU6" i="78" s="1"/>
  <c r="AN6" i="78" a="1"/>
  <c r="AN6" i="78" s="1"/>
  <c r="AI6" i="78" a="1"/>
  <c r="AI6" i="78" s="1"/>
  <c r="AC6" i="78" a="1"/>
  <c r="AC6" i="78" s="1"/>
  <c r="X6" i="78" a="1"/>
  <c r="X6" i="78" s="1"/>
  <c r="G6" i="78" a="1"/>
  <c r="G6" i="78" s="1"/>
  <c r="CB6" i="78" a="1"/>
  <c r="CB6" i="78" s="1"/>
  <c r="BV6" i="78" a="1"/>
  <c r="BV6" i="78" s="1"/>
  <c r="BP6" i="78" a="1"/>
  <c r="BP6" i="78" s="1"/>
  <c r="BJ6" i="78" a="1"/>
  <c r="BJ6" i="78" s="1"/>
  <c r="AY6" i="78" a="1"/>
  <c r="AY6" i="78" s="1"/>
  <c r="AT6" i="78" a="1"/>
  <c r="AT6" i="78" s="1"/>
  <c r="AH6" i="78" a="1"/>
  <c r="AH6" i="78" s="1"/>
  <c r="W6" i="78" a="1"/>
  <c r="W6" i="78" s="1"/>
  <c r="Q6" i="78" a="1"/>
  <c r="Q6" i="78" s="1"/>
  <c r="L6" i="78" a="1"/>
  <c r="L6" i="78" s="1"/>
  <c r="BU6" i="78" a="1"/>
  <c r="BU6" i="78" s="1"/>
  <c r="BI6" i="78" a="1"/>
  <c r="BI6" i="78" s="1"/>
  <c r="BD6" i="78" a="1"/>
  <c r="BD6" i="78" s="1"/>
  <c r="AX6" i="78" a="1"/>
  <c r="AX6" i="78" s="1"/>
  <c r="AS6" i="78" a="1"/>
  <c r="AS6" i="78" s="1"/>
  <c r="AM6" i="78" a="1"/>
  <c r="AM6" i="78" s="1"/>
  <c r="AB6" i="78" a="1"/>
  <c r="AB6" i="78" s="1"/>
  <c r="V6" i="78" a="1"/>
  <c r="V6" i="78" s="1"/>
  <c r="K6" i="78" a="1"/>
  <c r="K6" i="78" s="1"/>
  <c r="CA6" i="78" a="1"/>
  <c r="CA6" i="78" s="1"/>
  <c r="BT6" i="78" a="1"/>
  <c r="BT6" i="78" s="1"/>
  <c r="BO6" i="78" a="1"/>
  <c r="BO6" i="78" s="1"/>
  <c r="BC6" i="78" a="1"/>
  <c r="BC6" i="78" s="1"/>
  <c r="AR6" i="78" a="1"/>
  <c r="AR6" i="78" s="1"/>
  <c r="AL6" i="78" a="1"/>
  <c r="AL6" i="78" s="1"/>
  <c r="AG6" i="78" a="1"/>
  <c r="AG6" i="78" s="1"/>
  <c r="AA6" i="78" a="1"/>
  <c r="AA6" i="78" s="1"/>
  <c r="U6" i="78" a="1"/>
  <c r="U6" i="78" s="1"/>
  <c r="P6" i="78" a="1"/>
  <c r="P6" i="78" s="1"/>
  <c r="J6" i="78" a="1"/>
  <c r="J6" i="78" s="1"/>
  <c r="F6" i="78" a="1"/>
  <c r="F6" i="78" s="1"/>
  <c r="E6" i="78" a="1"/>
  <c r="E6" i="78" s="1"/>
  <c r="BX14" i="78" a="1"/>
  <c r="BX14" i="78" s="1"/>
  <c r="BQ14" i="78" a="1"/>
  <c r="BQ14" i="78" s="1"/>
  <c r="BJ14" i="78" a="1"/>
  <c r="BJ14" i="78" s="1"/>
  <c r="BC14" i="78" a="1"/>
  <c r="BC14" i="78" s="1"/>
  <c r="AV14" i="78" a="1"/>
  <c r="AV14" i="78" s="1"/>
  <c r="AN14" i="78" a="1"/>
  <c r="AN14" i="78" s="1"/>
  <c r="AG14" i="78" a="1"/>
  <c r="AG14" i="78" s="1"/>
  <c r="Z14" i="78" a="1"/>
  <c r="Z14" i="78" s="1"/>
  <c r="S14" i="78" a="1"/>
  <c r="S14" i="78" s="1"/>
  <c r="K14" i="78" a="1"/>
  <c r="K14" i="78" s="1"/>
  <c r="D14" i="78" a="1"/>
  <c r="D14" i="78" s="1"/>
  <c r="BW14" i="78" a="1"/>
  <c r="BW14" i="78" s="1"/>
  <c r="BP14" i="78" a="1"/>
  <c r="BP14" i="78" s="1"/>
  <c r="BI14" i="78" a="1"/>
  <c r="BI14" i="78" s="1"/>
  <c r="BB14" i="78" a="1"/>
  <c r="BB14" i="78" s="1"/>
  <c r="AU14" i="78" a="1"/>
  <c r="AU14" i="78" s="1"/>
  <c r="AF14" i="78" a="1"/>
  <c r="AF14" i="78" s="1"/>
  <c r="Y14" i="78" a="1"/>
  <c r="Y14" i="78" s="1"/>
  <c r="R14" i="78" a="1"/>
  <c r="R14" i="78" s="1"/>
  <c r="J14" i="78" a="1"/>
  <c r="J14" i="78" s="1"/>
  <c r="C14" i="78" a="1"/>
  <c r="C14" i="78" s="1"/>
  <c r="CD14" i="78" a="1"/>
  <c r="CD14" i="78" s="1"/>
  <c r="BV14" i="78" a="1"/>
  <c r="BV14" i="78" s="1"/>
  <c r="BO14" i="78" a="1"/>
  <c r="BO14" i="78" s="1"/>
  <c r="BH14" i="78" a="1"/>
  <c r="BH14" i="78" s="1"/>
  <c r="BA14" i="78" a="1"/>
  <c r="BA14" i="78" s="1"/>
  <c r="AT14" i="78" a="1"/>
  <c r="AT14" i="78" s="1"/>
  <c r="AM14" i="78" a="1"/>
  <c r="AM14" i="78" s="1"/>
  <c r="X14" i="78" a="1"/>
  <c r="X14" i="78" s="1"/>
  <c r="Q14" i="78" a="1"/>
  <c r="Q14" i="78" s="1"/>
  <c r="I14" i="78" a="1"/>
  <c r="I14" i="78" s="1"/>
  <c r="CC14" i="78" a="1"/>
  <c r="CC14" i="78" s="1"/>
  <c r="BU14" i="78" a="1"/>
  <c r="BU14" i="78" s="1"/>
  <c r="BN14" i="78" a="1"/>
  <c r="BN14" i="78" s="1"/>
  <c r="BG14" i="78" a="1"/>
  <c r="BG14" i="78" s="1"/>
  <c r="AZ14" i="78" a="1"/>
  <c r="AZ14" i="78" s="1"/>
  <c r="AS14" i="78" a="1"/>
  <c r="AS14" i="78" s="1"/>
  <c r="AL14" i="78" a="1"/>
  <c r="AL14" i="78" s="1"/>
  <c r="AE14" i="78" a="1"/>
  <c r="AE14" i="78" s="1"/>
  <c r="P14" i="78" a="1"/>
  <c r="P14" i="78" s="1"/>
  <c r="H14" i="78" a="1"/>
  <c r="H14" i="78" s="1"/>
  <c r="CB14" i="78" a="1"/>
  <c r="CB14" i="78" s="1"/>
  <c r="BT14" i="78" a="1"/>
  <c r="BT14" i="78" s="1"/>
  <c r="BM14" i="78" a="1"/>
  <c r="BM14" i="78" s="1"/>
  <c r="BF14" i="78" a="1"/>
  <c r="BF14" i="78" s="1"/>
  <c r="AR14" i="78" a="1"/>
  <c r="AR14" i="78" s="1"/>
  <c r="AK14" i="78" a="1"/>
  <c r="AK14" i="78" s="1"/>
  <c r="AD14" i="78" a="1"/>
  <c r="AD14" i="78" s="1"/>
  <c r="W14" i="78" a="1"/>
  <c r="W14" i="78" s="1"/>
  <c r="O14" i="78" a="1"/>
  <c r="O14" i="78" s="1"/>
  <c r="CA14" i="78" a="1"/>
  <c r="CA14" i="78" s="1"/>
  <c r="BL14" i="78" a="1"/>
  <c r="BL14" i="78" s="1"/>
  <c r="BE14" i="78" a="1"/>
  <c r="BE14" i="78" s="1"/>
  <c r="AY14" i="78" a="1"/>
  <c r="AY14" i="78" s="1"/>
  <c r="AQ14" i="78" a="1"/>
  <c r="AQ14" i="78" s="1"/>
  <c r="AJ14" i="78" a="1"/>
  <c r="AJ14" i="78" s="1"/>
  <c r="AC14" i="78" a="1"/>
  <c r="AC14" i="78" s="1"/>
  <c r="V14" i="78" a="1"/>
  <c r="V14" i="78" s="1"/>
  <c r="N14" i="78" a="1"/>
  <c r="N14" i="78" s="1"/>
  <c r="G14" i="78" a="1"/>
  <c r="G14" i="78" s="1"/>
  <c r="BZ14" i="78" a="1"/>
  <c r="BZ14" i="78" s="1"/>
  <c r="BS14" i="78" a="1"/>
  <c r="BS14" i="78" s="1"/>
  <c r="BD14" i="78" a="1"/>
  <c r="BD14" i="78" s="1"/>
  <c r="AX14" i="78" a="1"/>
  <c r="AX14" i="78" s="1"/>
  <c r="AP14" i="78" a="1"/>
  <c r="AP14" i="78" s="1"/>
  <c r="AI14" i="78" a="1"/>
  <c r="AI14" i="78" s="1"/>
  <c r="AB14" i="78" a="1"/>
  <c r="AB14" i="78" s="1"/>
  <c r="U14" i="78" a="1"/>
  <c r="U14" i="78" s="1"/>
  <c r="M14" i="78" a="1"/>
  <c r="M14" i="78" s="1"/>
  <c r="F14" i="78" a="1"/>
  <c r="F14" i="78" s="1"/>
  <c r="BY14" i="78" a="1"/>
  <c r="BY14" i="78" s="1"/>
  <c r="BR14" i="78" a="1"/>
  <c r="BR14" i="78" s="1"/>
  <c r="BK14" i="78" a="1"/>
  <c r="BK14" i="78" s="1"/>
  <c r="AW14" i="78" a="1"/>
  <c r="AW14" i="78" s="1"/>
  <c r="AO14" i="78" a="1"/>
  <c r="AO14" i="78" s="1"/>
  <c r="AH14" i="78" a="1"/>
  <c r="AH14" i="78" s="1"/>
  <c r="AA14" i="78" a="1"/>
  <c r="AA14" i="78" s="1"/>
  <c r="T14" i="78" a="1"/>
  <c r="T14" i="78" s="1"/>
  <c r="L14" i="78" a="1"/>
  <c r="L14" i="78" s="1"/>
  <c r="E14" i="78" a="1"/>
  <c r="E14" i="78" s="1"/>
  <c r="BX13" i="78" a="1"/>
  <c r="BX13" i="78" s="1"/>
  <c r="BQ13" i="78" a="1"/>
  <c r="BQ13" i="78" s="1"/>
  <c r="BI13" i="78" a="1"/>
  <c r="BI13" i="78" s="1"/>
  <c r="BB13" i="78" a="1"/>
  <c r="BB13" i="78" s="1"/>
  <c r="AT13" i="78" a="1"/>
  <c r="AT13" i="78" s="1"/>
  <c r="AM13" i="78" a="1"/>
  <c r="AM13" i="78" s="1"/>
  <c r="AF13" i="78" a="1"/>
  <c r="AF13" i="78" s="1"/>
  <c r="X13" i="78" a="1"/>
  <c r="X13" i="78" s="1"/>
  <c r="Q13" i="78" a="1"/>
  <c r="Q13" i="78" s="1"/>
  <c r="I13" i="78" a="1"/>
  <c r="I13" i="78" s="1"/>
  <c r="C13" i="78" a="1"/>
  <c r="C13" i="78" s="1"/>
  <c r="BW13" i="78" a="1"/>
  <c r="BW13" i="78" s="1"/>
  <c r="BP13" i="78" a="1"/>
  <c r="BP13" i="78" s="1"/>
  <c r="BH13" i="78" a="1"/>
  <c r="BH13" i="78" s="1"/>
  <c r="BA13" i="78" a="1"/>
  <c r="BA13" i="78" s="1"/>
  <c r="AS13" i="78" a="1"/>
  <c r="AS13" i="78" s="1"/>
  <c r="AL13" i="78" a="1"/>
  <c r="AL13" i="78" s="1"/>
  <c r="CD13" i="78" a="1"/>
  <c r="CD13" i="78" s="1"/>
  <c r="BV13" i="78" a="1"/>
  <c r="BV13" i="78" s="1"/>
  <c r="BO13" i="78" a="1"/>
  <c r="BO13" i="78" s="1"/>
  <c r="BG13" i="78" a="1"/>
  <c r="BG13" i="78" s="1"/>
  <c r="AZ13" i="78" a="1"/>
  <c r="AZ13" i="78" s="1"/>
  <c r="AR13" i="78" a="1"/>
  <c r="AR13" i="78" s="1"/>
  <c r="AK13" i="78" a="1"/>
  <c r="AK13" i="78" s="1"/>
  <c r="AD13" i="78" a="1"/>
  <c r="AD13" i="78" s="1"/>
  <c r="W13" i="78" a="1"/>
  <c r="W13" i="78" s="1"/>
  <c r="O13" i="78" a="1"/>
  <c r="O13" i="78" s="1"/>
  <c r="CC13" i="78" a="1"/>
  <c r="CC13" i="78" s="1"/>
  <c r="BU13" i="78" a="1"/>
  <c r="BU13" i="78" s="1"/>
  <c r="BN13" i="78" a="1"/>
  <c r="BN13" i="78" s="1"/>
  <c r="BF13" i="78" a="1"/>
  <c r="BF13" i="78" s="1"/>
  <c r="AY13" i="78" a="1"/>
  <c r="AY13" i="78" s="1"/>
  <c r="AQ13" i="78" a="1"/>
  <c r="AQ13" i="78" s="1"/>
  <c r="AJ13" i="78" a="1"/>
  <c r="AJ13" i="78" s="1"/>
  <c r="AC13" i="78" a="1"/>
  <c r="AC13" i="78" s="1"/>
  <c r="V13" i="78" a="1"/>
  <c r="V13" i="78" s="1"/>
  <c r="N13" i="78" a="1"/>
  <c r="N13" i="78" s="1"/>
  <c r="G13" i="78" a="1"/>
  <c r="G13" i="78" s="1"/>
  <c r="CB13" i="78" a="1"/>
  <c r="CB13" i="78" s="1"/>
  <c r="BT13" i="78" a="1"/>
  <c r="BT13" i="78" s="1"/>
  <c r="BM13" i="78" a="1"/>
  <c r="BM13" i="78" s="1"/>
  <c r="BE13" i="78" a="1"/>
  <c r="BE13" i="78" s="1"/>
  <c r="AX13" i="78" a="1"/>
  <c r="AX13" i="78" s="1"/>
  <c r="AP13" i="78" a="1"/>
  <c r="AP13" i="78" s="1"/>
  <c r="AB13" i="78" a="1"/>
  <c r="AB13" i="78" s="1"/>
  <c r="U13" i="78" a="1"/>
  <c r="U13" i="78" s="1"/>
  <c r="M13" i="78" a="1"/>
  <c r="M13" i="78" s="1"/>
  <c r="F13" i="78" a="1"/>
  <c r="F13" i="78" s="1"/>
  <c r="CA13" i="78" a="1"/>
  <c r="CA13" i="78" s="1"/>
  <c r="BL13" i="78" a="1"/>
  <c r="BL13" i="78" s="1"/>
  <c r="BD13" i="78" a="1"/>
  <c r="BD13" i="78" s="1"/>
  <c r="AW13" i="78" a="1"/>
  <c r="AW13" i="78" s="1"/>
  <c r="AO13" i="78" a="1"/>
  <c r="AO13" i="78" s="1"/>
  <c r="AI13" i="78" a="1"/>
  <c r="AI13" i="78" s="1"/>
  <c r="AA13" i="78" a="1"/>
  <c r="AA13" i="78" s="1"/>
  <c r="T13" i="78" a="1"/>
  <c r="T13" i="78" s="1"/>
  <c r="L13" i="78" a="1"/>
  <c r="L13" i="78" s="1"/>
  <c r="E13" i="78" a="1"/>
  <c r="E13" i="78" s="1"/>
  <c r="BZ13" i="78" a="1"/>
  <c r="BZ13" i="78" s="1"/>
  <c r="BS13" i="78" a="1"/>
  <c r="BS13" i="78" s="1"/>
  <c r="BK13" i="78" a="1"/>
  <c r="BK13" i="78" s="1"/>
  <c r="AV13" i="78" a="1"/>
  <c r="AV13" i="78" s="1"/>
  <c r="AN13" i="78" a="1"/>
  <c r="AN13" i="78" s="1"/>
  <c r="AH13" i="78" a="1"/>
  <c r="AH13" i="78" s="1"/>
  <c r="Z13" i="78" a="1"/>
  <c r="Z13" i="78" s="1"/>
  <c r="S13" i="78" a="1"/>
  <c r="S13" i="78" s="1"/>
  <c r="K13" i="78" a="1"/>
  <c r="K13" i="78" s="1"/>
  <c r="D13" i="78" a="1"/>
  <c r="D13" i="78" s="1"/>
  <c r="BY13" i="78" a="1"/>
  <c r="BY13" i="78" s="1"/>
  <c r="BR13" i="78" a="1"/>
  <c r="BR13" i="78" s="1"/>
  <c r="BJ13" i="78" a="1"/>
  <c r="BJ13" i="78" s="1"/>
  <c r="BC13" i="78" a="1"/>
  <c r="BC13" i="78" s="1"/>
  <c r="AU13" i="78" a="1"/>
  <c r="AU13" i="78" s="1"/>
  <c r="AG13" i="78" a="1"/>
  <c r="AG13" i="78" s="1"/>
  <c r="Y13" i="78" a="1"/>
  <c r="Y13" i="78" s="1"/>
  <c r="R13" i="78" a="1"/>
  <c r="R13" i="78" s="1"/>
  <c r="J13" i="78" a="1"/>
  <c r="J13" i="78" s="1"/>
  <c r="AE13" i="78" a="1"/>
  <c r="AE13" i="78" s="1"/>
  <c r="P13" i="78" a="1"/>
  <c r="P13" i="78" s="1"/>
  <c r="H13" i="78" a="1"/>
  <c r="H13" i="78" s="1"/>
  <c r="CA4" i="78" a="1"/>
  <c r="CA4" i="78" s="1"/>
  <c r="BS4" i="78" a="1"/>
  <c r="BS4" i="78" s="1"/>
  <c r="BK4" i="78" a="1"/>
  <c r="BK4" i="78" s="1"/>
  <c r="BC4" i="78" a="1"/>
  <c r="BC4" i="78" s="1"/>
  <c r="AU4" i="78" a="1"/>
  <c r="AU4" i="78" s="1"/>
  <c r="AM4" i="78" a="1"/>
  <c r="AM4" i="78" s="1"/>
  <c r="AE4" i="78" a="1"/>
  <c r="AE4" i="78" s="1"/>
  <c r="CD4" i="78" a="1"/>
  <c r="CD4" i="78" s="1"/>
  <c r="BV4" i="78" a="1"/>
  <c r="BV4" i="78" s="1"/>
  <c r="BM4" i="78" a="1"/>
  <c r="BM4" i="78" s="1"/>
  <c r="BD4" i="78" a="1"/>
  <c r="BD4" i="78" s="1"/>
  <c r="AT4" i="78" a="1"/>
  <c r="AT4" i="78" s="1"/>
  <c r="AK4" i="78" a="1"/>
  <c r="AK4" i="78" s="1"/>
  <c r="AB4" i="78" a="1"/>
  <c r="AB4" i="78" s="1"/>
  <c r="T4" i="78" a="1"/>
  <c r="T4" i="78" s="1"/>
  <c r="K4" i="78" a="1"/>
  <c r="K4" i="78" s="1"/>
  <c r="C4" i="78" a="1"/>
  <c r="C4" i="78" s="1"/>
  <c r="J4" i="78" a="1"/>
  <c r="J4" i="78" s="1"/>
  <c r="CC4" i="78" a="1"/>
  <c r="CC4" i="78" s="1"/>
  <c r="BU4" i="78" a="1"/>
  <c r="BU4" i="78" s="1"/>
  <c r="BL4" i="78" a="1"/>
  <c r="BL4" i="78" s="1"/>
  <c r="BB4" i="78" a="1"/>
  <c r="BB4" i="78" s="1"/>
  <c r="AS4" i="78" a="1"/>
  <c r="AS4" i="78" s="1"/>
  <c r="AJ4" i="78" a="1"/>
  <c r="AJ4" i="78" s="1"/>
  <c r="AA4" i="78" a="1"/>
  <c r="AA4" i="78" s="1"/>
  <c r="CB4" i="78" a="1"/>
  <c r="CB4" i="78" s="1"/>
  <c r="BT4" i="78" a="1"/>
  <c r="BT4" i="78" s="1"/>
  <c r="BJ4" i="78" a="1"/>
  <c r="BJ4" i="78" s="1"/>
  <c r="BA4" i="78" a="1"/>
  <c r="BA4" i="78" s="1"/>
  <c r="AR4" i="78" a="1"/>
  <c r="AR4" i="78" s="1"/>
  <c r="AI4" i="78" a="1"/>
  <c r="AI4" i="78" s="1"/>
  <c r="Z4" i="78" a="1"/>
  <c r="Z4" i="78" s="1"/>
  <c r="BR4" i="78" a="1"/>
  <c r="BR4" i="78" s="1"/>
  <c r="BI4" i="78" a="1"/>
  <c r="BI4" i="78" s="1"/>
  <c r="AZ4" i="78" a="1"/>
  <c r="AZ4" i="78" s="1"/>
  <c r="AQ4" i="78" a="1"/>
  <c r="AQ4" i="78" s="1"/>
  <c r="AH4" i="78" a="1"/>
  <c r="AH4" i="78" s="1"/>
  <c r="Y4" i="78" a="1"/>
  <c r="Y4" i="78" s="1"/>
  <c r="P4" i="78" a="1"/>
  <c r="P4" i="78" s="1"/>
  <c r="H4" i="78" a="1"/>
  <c r="H4" i="78" s="1"/>
  <c r="G4" i="78" a="1"/>
  <c r="G4" i="78" s="1"/>
  <c r="BZ4" i="78" a="1"/>
  <c r="BZ4" i="78" s="1"/>
  <c r="BQ4" i="78" a="1"/>
  <c r="BQ4" i="78" s="1"/>
  <c r="BH4" i="78" a="1"/>
  <c r="BH4" i="78" s="1"/>
  <c r="AY4" i="78" a="1"/>
  <c r="AY4" i="78" s="1"/>
  <c r="AP4" i="78" a="1"/>
  <c r="AP4" i="78" s="1"/>
  <c r="AG4" i="78" a="1"/>
  <c r="AG4" i="78" s="1"/>
  <c r="X4" i="78" a="1"/>
  <c r="X4" i="78" s="1"/>
  <c r="O4" i="78" a="1"/>
  <c r="O4" i="78" s="1"/>
  <c r="I4" i="78" a="1"/>
  <c r="I4" i="78" s="1"/>
  <c r="BY4" i="78" a="1"/>
  <c r="BY4" i="78" s="1"/>
  <c r="BP4" i="78" a="1"/>
  <c r="BP4" i="78" s="1"/>
  <c r="BG4" i="78" a="1"/>
  <c r="BG4" i="78" s="1"/>
  <c r="AX4" i="78" a="1"/>
  <c r="AX4" i="78" s="1"/>
  <c r="AO4" i="78" a="1"/>
  <c r="AO4" i="78" s="1"/>
  <c r="AF4" i="78" a="1"/>
  <c r="AF4" i="78" s="1"/>
  <c r="W4" i="78" a="1"/>
  <c r="W4" i="78" s="1"/>
  <c r="N4" i="78" a="1"/>
  <c r="N4" i="78" s="1"/>
  <c r="F4" i="78" a="1"/>
  <c r="F4" i="78" s="1"/>
  <c r="Q4" i="78" a="1"/>
  <c r="Q4" i="78" s="1"/>
  <c r="BX4" i="78" a="1"/>
  <c r="BX4" i="78" s="1"/>
  <c r="BO4" i="78" a="1"/>
  <c r="BO4" i="78" s="1"/>
  <c r="BF4" i="78" a="1"/>
  <c r="BF4" i="78" s="1"/>
  <c r="AW4" i="78" a="1"/>
  <c r="AW4" i="78" s="1"/>
  <c r="AN4" i="78" a="1"/>
  <c r="AN4" i="78" s="1"/>
  <c r="AD4" i="78" a="1"/>
  <c r="AD4" i="78" s="1"/>
  <c r="V4" i="78" a="1"/>
  <c r="V4" i="78" s="1"/>
  <c r="M4" i="78" a="1"/>
  <c r="M4" i="78" s="1"/>
  <c r="E4" i="78" a="1"/>
  <c r="E4" i="78" s="1"/>
  <c r="BE4" i="78" a="1"/>
  <c r="BE4" i="78" s="1"/>
  <c r="AL4" i="78" a="1"/>
  <c r="AL4" i="78" s="1"/>
  <c r="U4" i="78" a="1"/>
  <c r="U4" i="78" s="1"/>
  <c r="D4" i="78" a="1"/>
  <c r="D4" i="78" s="1"/>
  <c r="BW4" i="78" a="1"/>
  <c r="BW4" i="78" s="1"/>
  <c r="BN4" i="78" a="1"/>
  <c r="BN4" i="78" s="1"/>
  <c r="AV4" i="78" a="1"/>
  <c r="AV4" i="78" s="1"/>
  <c r="AC4" i="78" a="1"/>
  <c r="AC4" i="78" s="1"/>
  <c r="L4" i="78" a="1"/>
  <c r="L4" i="78" s="1"/>
  <c r="R4" i="78" a="1"/>
  <c r="R4" i="78" s="1"/>
  <c r="CA9" i="78" a="1"/>
  <c r="CA9" i="78" s="1"/>
  <c r="BU9" i="78" a="1"/>
  <c r="BU9" i="78" s="1"/>
  <c r="BO9" i="78" a="1"/>
  <c r="BO9" i="78" s="1"/>
  <c r="BI9" i="78" a="1"/>
  <c r="BI9" i="78" s="1"/>
  <c r="AW9" i="78" a="1"/>
  <c r="AW9" i="78" s="1"/>
  <c r="AK9" i="78" a="1"/>
  <c r="AK9" i="78" s="1"/>
  <c r="AE9" i="78" a="1"/>
  <c r="AE9" i="78" s="1"/>
  <c r="S9" i="78" a="1"/>
  <c r="S9" i="78" s="1"/>
  <c r="M9" i="78" a="1"/>
  <c r="M9" i="78" s="1"/>
  <c r="BZ9" i="78" a="1"/>
  <c r="BZ9" i="78" s="1"/>
  <c r="BT9" i="78" a="1"/>
  <c r="BT9" i="78" s="1"/>
  <c r="BH9" i="78" a="1"/>
  <c r="BH9" i="78" s="1"/>
  <c r="BC9" i="78" a="1"/>
  <c r="BC9" i="78" s="1"/>
  <c r="AV9" i="78" a="1"/>
  <c r="AV9" i="78" s="1"/>
  <c r="AQ9" i="78" a="1"/>
  <c r="AQ9" i="78" s="1"/>
  <c r="AJ9" i="78" a="1"/>
  <c r="AJ9" i="78" s="1"/>
  <c r="AD9" i="78" a="1"/>
  <c r="AD9" i="78" s="1"/>
  <c r="X9" i="78" a="1"/>
  <c r="X9" i="78" s="1"/>
  <c r="R9" i="78" a="1"/>
  <c r="R9" i="78" s="1"/>
  <c r="L9" i="78" a="1"/>
  <c r="L9" i="78" s="1"/>
  <c r="F9" i="78" a="1"/>
  <c r="F9" i="78" s="1"/>
  <c r="BY9" i="78" a="1"/>
  <c r="BY9" i="78" s="1"/>
  <c r="BS9" i="78" a="1"/>
  <c r="BS9" i="78" s="1"/>
  <c r="BN9" i="78" a="1"/>
  <c r="BN9" i="78" s="1"/>
  <c r="BG9" i="78" a="1"/>
  <c r="BG9" i="78" s="1"/>
  <c r="BB9" i="78" a="1"/>
  <c r="BB9" i="78" s="1"/>
  <c r="AP9" i="78" a="1"/>
  <c r="AP9" i="78" s="1"/>
  <c r="AC9" i="78" a="1"/>
  <c r="AC9" i="78" s="1"/>
  <c r="Q9" i="78" a="1"/>
  <c r="Q9" i="78" s="1"/>
  <c r="BM9" i="78" a="1"/>
  <c r="BM9" i="78" s="1"/>
  <c r="BA9" i="78" a="1"/>
  <c r="BA9" i="78" s="1"/>
  <c r="AU9" i="78" a="1"/>
  <c r="AU9" i="78" s="1"/>
  <c r="AO9" i="78" a="1"/>
  <c r="AO9" i="78" s="1"/>
  <c r="AI9" i="78" a="1"/>
  <c r="AI9" i="78" s="1"/>
  <c r="AB9" i="78" a="1"/>
  <c r="AB9" i="78" s="1"/>
  <c r="W9" i="78" a="1"/>
  <c r="W9" i="78" s="1"/>
  <c r="P9" i="78" a="1"/>
  <c r="P9" i="78" s="1"/>
  <c r="K9" i="78" a="1"/>
  <c r="K9" i="78" s="1"/>
  <c r="E9" i="78" a="1"/>
  <c r="E9" i="78" s="1"/>
  <c r="BX9" i="78" a="1"/>
  <c r="BX9" i="78" s="1"/>
  <c r="BR9" i="78" a="1"/>
  <c r="BR9" i="78" s="1"/>
  <c r="BF9" i="78" a="1"/>
  <c r="BF9" i="78" s="1"/>
  <c r="AT9" i="78" a="1"/>
  <c r="AT9" i="78" s="1"/>
  <c r="AN9" i="78" a="1"/>
  <c r="AN9" i="78" s="1"/>
  <c r="AA9" i="78" a="1"/>
  <c r="AA9" i="78" s="1"/>
  <c r="V9" i="78" a="1"/>
  <c r="V9" i="78" s="1"/>
  <c r="J9" i="78" a="1"/>
  <c r="J9" i="78" s="1"/>
  <c r="D9" i="78" a="1"/>
  <c r="D9" i="78" s="1"/>
  <c r="CD9" i="78" a="1"/>
  <c r="CD9" i="78" s="1"/>
  <c r="BQ9" i="78" a="1"/>
  <c r="BQ9" i="78" s="1"/>
  <c r="BL9" i="78" a="1"/>
  <c r="BL9" i="78" s="1"/>
  <c r="BE9" i="78" a="1"/>
  <c r="BE9" i="78" s="1"/>
  <c r="AZ9" i="78" a="1"/>
  <c r="AZ9" i="78" s="1"/>
  <c r="AS9" i="78" a="1"/>
  <c r="AS9" i="78" s="1"/>
  <c r="AM9" i="78" a="1"/>
  <c r="AM9" i="78" s="1"/>
  <c r="AH9" i="78" a="1"/>
  <c r="AH9" i="78" s="1"/>
  <c r="U9" i="78" a="1"/>
  <c r="U9" i="78" s="1"/>
  <c r="O9" i="78" a="1"/>
  <c r="O9" i="78" s="1"/>
  <c r="I9" i="78" a="1"/>
  <c r="I9" i="78" s="1"/>
  <c r="C9" i="78" a="1"/>
  <c r="C9" i="78" s="1"/>
  <c r="CC9" i="78" a="1"/>
  <c r="CC9" i="78" s="1"/>
  <c r="BW9" i="78" a="1"/>
  <c r="BW9" i="78" s="1"/>
  <c r="BP9" i="78" a="1"/>
  <c r="BP9" i="78" s="1"/>
  <c r="BK9" i="78" a="1"/>
  <c r="BK9" i="78" s="1"/>
  <c r="AY9" i="78" a="1"/>
  <c r="AY9" i="78" s="1"/>
  <c r="AG9" i="78" a="1"/>
  <c r="AG9" i="78" s="1"/>
  <c r="Z9" i="78" a="1"/>
  <c r="Z9" i="78" s="1"/>
  <c r="H9" i="78" a="1"/>
  <c r="H9" i="78" s="1"/>
  <c r="CB9" i="78" a="1"/>
  <c r="CB9" i="78" s="1"/>
  <c r="BV9" i="78" a="1"/>
  <c r="BV9" i="78" s="1"/>
  <c r="BJ9" i="78" a="1"/>
  <c r="BJ9" i="78" s="1"/>
  <c r="BD9" i="78" a="1"/>
  <c r="BD9" i="78" s="1"/>
  <c r="AX9" i="78" a="1"/>
  <c r="AX9" i="78" s="1"/>
  <c r="AR9" i="78" a="1"/>
  <c r="AR9" i="78" s="1"/>
  <c r="AL9" i="78" a="1"/>
  <c r="AL9" i="78" s="1"/>
  <c r="AF9" i="78" a="1"/>
  <c r="AF9" i="78" s="1"/>
  <c r="Y9" i="78" a="1"/>
  <c r="Y9" i="78" s="1"/>
  <c r="T9" i="78" a="1"/>
  <c r="T9" i="78" s="1"/>
  <c r="N9" i="78" a="1"/>
  <c r="N9" i="78" s="1"/>
  <c r="G9" i="78" a="1"/>
  <c r="G9" i="78" s="1"/>
  <c r="BZ7" i="78" a="1"/>
  <c r="BZ7" i="78" s="1"/>
  <c r="BT7" i="78" a="1"/>
  <c r="BT7" i="78" s="1"/>
  <c r="BM7" i="78" a="1"/>
  <c r="BM7" i="78" s="1"/>
  <c r="BG7" i="78" a="1"/>
  <c r="BG7" i="78" s="1"/>
  <c r="BA7" i="78" a="1"/>
  <c r="BA7" i="78" s="1"/>
  <c r="AT7" i="78" a="1"/>
  <c r="AT7" i="78" s="1"/>
  <c r="AH7" i="78" a="1"/>
  <c r="AH7" i="78" s="1"/>
  <c r="AB7" i="78" a="1"/>
  <c r="AB7" i="78" s="1"/>
  <c r="O7" i="78" a="1"/>
  <c r="O7" i="78" s="1"/>
  <c r="I7" i="78" a="1"/>
  <c r="I7" i="78" s="1"/>
  <c r="BY7" i="78" a="1"/>
  <c r="BY7" i="78" s="1"/>
  <c r="BS7" i="78" a="1"/>
  <c r="BS7" i="78" s="1"/>
  <c r="BF7" i="78" a="1"/>
  <c r="BF7" i="78" s="1"/>
  <c r="AZ7" i="78" a="1"/>
  <c r="AZ7" i="78" s="1"/>
  <c r="AS7" i="78" a="1"/>
  <c r="AS7" i="78" s="1"/>
  <c r="AN7" i="78" a="1"/>
  <c r="AN7" i="78" s="1"/>
  <c r="AG7" i="78" a="1"/>
  <c r="AG7" i="78" s="1"/>
  <c r="AA7" i="78" a="1"/>
  <c r="AA7" i="78" s="1"/>
  <c r="U7" i="78" a="1"/>
  <c r="U7" i="78" s="1"/>
  <c r="N7" i="78" a="1"/>
  <c r="N7" i="78" s="1"/>
  <c r="C7" i="78" a="1"/>
  <c r="C7" i="78" s="1"/>
  <c r="BX7" i="78" a="1"/>
  <c r="BX7" i="78" s="1"/>
  <c r="BR7" i="78" a="1"/>
  <c r="BR7" i="78" s="1"/>
  <c r="BL7" i="78" a="1"/>
  <c r="BL7" i="78" s="1"/>
  <c r="BE7" i="78" a="1"/>
  <c r="BE7" i="78" s="1"/>
  <c r="AY7" i="78" a="1"/>
  <c r="AY7" i="78" s="1"/>
  <c r="AM7" i="78" a="1"/>
  <c r="AM7" i="78" s="1"/>
  <c r="Z7" i="78" a="1"/>
  <c r="Z7" i="78" s="1"/>
  <c r="T7" i="78" a="1"/>
  <c r="T7" i="78" s="1"/>
  <c r="M7" i="78" a="1"/>
  <c r="M7" i="78" s="1"/>
  <c r="H7" i="78" a="1"/>
  <c r="H7" i="78" s="1"/>
  <c r="CD7" i="78" a="1"/>
  <c r="CD7" i="78" s="1"/>
  <c r="BW7" i="78" a="1"/>
  <c r="BW7" i="78" s="1"/>
  <c r="BQ7" i="78" a="1"/>
  <c r="BQ7" i="78" s="1"/>
  <c r="BD7" i="78" a="1"/>
  <c r="BD7" i="78" s="1"/>
  <c r="AX7" i="78" a="1"/>
  <c r="AX7" i="78" s="1"/>
  <c r="AR7" i="78" a="1"/>
  <c r="AR7" i="78" s="1"/>
  <c r="AL7" i="78" a="1"/>
  <c r="AL7" i="78" s="1"/>
  <c r="AF7" i="78" a="1"/>
  <c r="AF7" i="78" s="1"/>
  <c r="Y7" i="78" a="1"/>
  <c r="Y7" i="78" s="1"/>
  <c r="S7" i="78" a="1"/>
  <c r="S7" i="78" s="1"/>
  <c r="G7" i="78" a="1"/>
  <c r="G7" i="78" s="1"/>
  <c r="BV7" i="78" a="1"/>
  <c r="BV7" i="78" s="1"/>
  <c r="BP7" i="78" a="1"/>
  <c r="BP7" i="78" s="1"/>
  <c r="BK7" i="78" a="1"/>
  <c r="BK7" i="78" s="1"/>
  <c r="AQ7" i="78" a="1"/>
  <c r="AQ7" i="78" s="1"/>
  <c r="AK7" i="78" a="1"/>
  <c r="AK7" i="78" s="1"/>
  <c r="X7" i="78" a="1"/>
  <c r="X7" i="78" s="1"/>
  <c r="R7" i="78" a="1"/>
  <c r="R7" i="78" s="1"/>
  <c r="L7" i="78" a="1"/>
  <c r="L7" i="78" s="1"/>
  <c r="F7" i="78" a="1"/>
  <c r="F7" i="78" s="1"/>
  <c r="CC7" i="78" a="1"/>
  <c r="CC7" i="78" s="1"/>
  <c r="BJ7" i="78" a="1"/>
  <c r="BJ7" i="78" s="1"/>
  <c r="BC7" i="78" a="1"/>
  <c r="BC7" i="78" s="1"/>
  <c r="AW7" i="78" a="1"/>
  <c r="AW7" i="78" s="1"/>
  <c r="AP7" i="78" a="1"/>
  <c r="AP7" i="78" s="1"/>
  <c r="AJ7" i="78" a="1"/>
  <c r="AJ7" i="78" s="1"/>
  <c r="AE7" i="78" a="1"/>
  <c r="AE7" i="78" s="1"/>
  <c r="K7" i="78" a="1"/>
  <c r="K7" i="78" s="1"/>
  <c r="CB7" i="78" a="1"/>
  <c r="CB7" i="78" s="1"/>
  <c r="BU7" i="78" a="1"/>
  <c r="BU7" i="78" s="1"/>
  <c r="BO7" i="78" a="1"/>
  <c r="BO7" i="78" s="1"/>
  <c r="BI7" i="78" a="1"/>
  <c r="BI7" i="78" s="1"/>
  <c r="BB7" i="78" a="1"/>
  <c r="BB7" i="78" s="1"/>
  <c r="AV7" i="78" a="1"/>
  <c r="AV7" i="78" s="1"/>
  <c r="AD7" i="78" a="1"/>
  <c r="AD7" i="78" s="1"/>
  <c r="W7" i="78" a="1"/>
  <c r="W7" i="78" s="1"/>
  <c r="Q7" i="78" a="1"/>
  <c r="Q7" i="78" s="1"/>
  <c r="J7" i="78" a="1"/>
  <c r="J7" i="78" s="1"/>
  <c r="E7" i="78" a="1"/>
  <c r="E7" i="78" s="1"/>
  <c r="CA7" i="78" a="1"/>
  <c r="CA7" i="78" s="1"/>
  <c r="BN7" i="78" a="1"/>
  <c r="BN7" i="78" s="1"/>
  <c r="BH7" i="78" a="1"/>
  <c r="BH7" i="78" s="1"/>
  <c r="AU7" i="78" a="1"/>
  <c r="AU7" i="78" s="1"/>
  <c r="AO7" i="78" a="1"/>
  <c r="AO7" i="78" s="1"/>
  <c r="AI7" i="78" a="1"/>
  <c r="AI7" i="78" s="1"/>
  <c r="AC7" i="78" a="1"/>
  <c r="AC7" i="78" s="1"/>
  <c r="V7" i="78" a="1"/>
  <c r="V7" i="78" s="1"/>
  <c r="P7" i="78" a="1"/>
  <c r="P7" i="78" s="1"/>
  <c r="D7" i="78" a="1"/>
  <c r="D7" i="78" s="1"/>
  <c r="CC10" i="78" a="1"/>
  <c r="CC10" i="78" s="1"/>
  <c r="BQ10" i="78" a="1"/>
  <c r="BQ10" i="78" s="1"/>
  <c r="CB10" i="78" a="1"/>
  <c r="CB10" i="78" s="1"/>
  <c r="BU10" i="78" a="1"/>
  <c r="BU10" i="78" s="1"/>
  <c r="BP10" i="78" a="1"/>
  <c r="BP10" i="78" s="1"/>
  <c r="BJ10" i="78" a="1"/>
  <c r="BJ10" i="78" s="1"/>
  <c r="BD10" i="78" a="1"/>
  <c r="BD10" i="78" s="1"/>
  <c r="AR10" i="78" a="1"/>
  <c r="AR10" i="78" s="1"/>
  <c r="AM10" i="78" a="1"/>
  <c r="AM10" i="78" s="1"/>
  <c r="AF10" i="78" a="1"/>
  <c r="AF10" i="78" s="1"/>
  <c r="U10" i="78" a="1"/>
  <c r="U10" i="78" s="1"/>
  <c r="CA10" i="78" a="1"/>
  <c r="CA10" i="78" s="1"/>
  <c r="BO10" i="78" a="1"/>
  <c r="BO10" i="78" s="1"/>
  <c r="BI10" i="78" a="1"/>
  <c r="BI10" i="78" s="1"/>
  <c r="BC10" i="78" a="1"/>
  <c r="BC10" i="78" s="1"/>
  <c r="AX10" i="78" a="1"/>
  <c r="AX10" i="78" s="1"/>
  <c r="AQ10" i="78" a="1"/>
  <c r="AQ10" i="78" s="1"/>
  <c r="BZ10" i="78" a="1"/>
  <c r="BZ10" i="78" s="1"/>
  <c r="BT10" i="78" a="1"/>
  <c r="BT10" i="78" s="1"/>
  <c r="BN10" i="78" a="1"/>
  <c r="BN10" i="78" s="1"/>
  <c r="AW10" i="78" a="1"/>
  <c r="AW10" i="78" s="1"/>
  <c r="AK10" i="78" a="1"/>
  <c r="AK10" i="78" s="1"/>
  <c r="AE10" i="78" a="1"/>
  <c r="AE10" i="78" s="1"/>
  <c r="Z10" i="78" a="1"/>
  <c r="Z10" i="78" s="1"/>
  <c r="BX10" i="78" a="1"/>
  <c r="BX10" i="78" s="1"/>
  <c r="BS10" i="78" a="1"/>
  <c r="BS10" i="78" s="1"/>
  <c r="BL10" i="78" a="1"/>
  <c r="BL10" i="78" s="1"/>
  <c r="BA10" i="78" a="1"/>
  <c r="BA10" i="78" s="1"/>
  <c r="AV10" i="78" a="1"/>
  <c r="AV10" i="78" s="1"/>
  <c r="AO10" i="78" a="1"/>
  <c r="AO10" i="78" s="1"/>
  <c r="AJ10" i="78" a="1"/>
  <c r="AJ10" i="78" s="1"/>
  <c r="AD10" i="78" a="1"/>
  <c r="AD10" i="78" s="1"/>
  <c r="X10" i="78" a="1"/>
  <c r="X10" i="78" s="1"/>
  <c r="K10" i="78" a="1"/>
  <c r="K10" i="78" s="1"/>
  <c r="E10" i="78" a="1"/>
  <c r="E10" i="78" s="1"/>
  <c r="CD10" i="78" a="1"/>
  <c r="CD10" i="78" s="1"/>
  <c r="BW10" i="78" a="1"/>
  <c r="BW10" i="78" s="1"/>
  <c r="BR10" i="78" a="1"/>
  <c r="BR10" i="78" s="1"/>
  <c r="BG10" i="78" a="1"/>
  <c r="BG10" i="78" s="1"/>
  <c r="AZ10" i="78" a="1"/>
  <c r="AZ10" i="78" s="1"/>
  <c r="AU10" i="78" a="1"/>
  <c r="AU10" i="78" s="1"/>
  <c r="AI10" i="78" a="1"/>
  <c r="AI10" i="78" s="1"/>
  <c r="AC10" i="78" a="1"/>
  <c r="AC10" i="78" s="1"/>
  <c r="BH10" i="78" a="1"/>
  <c r="BH10" i="78" s="1"/>
  <c r="AS10" i="78" a="1"/>
  <c r="AS10" i="78" s="1"/>
  <c r="V10" i="78" a="1"/>
  <c r="V10" i="78" s="1"/>
  <c r="N10" i="78" a="1"/>
  <c r="N10" i="78" s="1"/>
  <c r="G10" i="78" a="1"/>
  <c r="G10" i="78" s="1"/>
  <c r="BY10" i="78" a="1"/>
  <c r="BY10" i="78" s="1"/>
  <c r="BF10" i="78" a="1"/>
  <c r="BF10" i="78" s="1"/>
  <c r="AP10" i="78" a="1"/>
  <c r="AP10" i="78" s="1"/>
  <c r="T10" i="78" a="1"/>
  <c r="T10" i="78" s="1"/>
  <c r="M10" i="78" a="1"/>
  <c r="M10" i="78" s="1"/>
  <c r="F10" i="78" a="1"/>
  <c r="F10" i="78" s="1"/>
  <c r="BV10" i="78" a="1"/>
  <c r="BV10" i="78" s="1"/>
  <c r="BE10" i="78" a="1"/>
  <c r="BE10" i="78" s="1"/>
  <c r="AN10" i="78" a="1"/>
  <c r="AN10" i="78" s="1"/>
  <c r="L10" i="78" a="1"/>
  <c r="L10" i="78" s="1"/>
  <c r="BB10" i="78" a="1"/>
  <c r="BB10" i="78" s="1"/>
  <c r="AB10" i="78" a="1"/>
  <c r="AB10" i="78" s="1"/>
  <c r="S10" i="78" a="1"/>
  <c r="S10" i="78" s="1"/>
  <c r="D10" i="78" a="1"/>
  <c r="D10" i="78" s="1"/>
  <c r="AL10" i="78" a="1"/>
  <c r="AL10" i="78" s="1"/>
  <c r="AA10" i="78" a="1"/>
  <c r="AA10" i="78" s="1"/>
  <c r="R10" i="78" a="1"/>
  <c r="R10" i="78" s="1"/>
  <c r="J10" i="78" a="1"/>
  <c r="J10" i="78" s="1"/>
  <c r="C10" i="78" a="1"/>
  <c r="C10" i="78" s="1"/>
  <c r="BM10" i="78" a="1"/>
  <c r="BM10" i="78" s="1"/>
  <c r="AY10" i="78" a="1"/>
  <c r="AY10" i="78" s="1"/>
  <c r="Y10" i="78" a="1"/>
  <c r="Y10" i="78" s="1"/>
  <c r="Q10" i="78" a="1"/>
  <c r="Q10" i="78" s="1"/>
  <c r="I10" i="78" a="1"/>
  <c r="I10" i="78" s="1"/>
  <c r="BK10" i="78" a="1"/>
  <c r="BK10" i="78" s="1"/>
  <c r="AH10" i="78" a="1"/>
  <c r="AH10" i="78" s="1"/>
  <c r="W10" i="78" a="1"/>
  <c r="W10" i="78" s="1"/>
  <c r="P10" i="78" a="1"/>
  <c r="P10" i="78" s="1"/>
  <c r="AT10" i="78" a="1"/>
  <c r="AT10" i="78" s="1"/>
  <c r="AG10" i="78" a="1"/>
  <c r="AG10" i="78" s="1"/>
  <c r="O10" i="78" a="1"/>
  <c r="O10" i="78" s="1"/>
  <c r="H10" i="78" a="1"/>
  <c r="H10" i="78" s="1"/>
  <c r="CA15" i="78" a="1"/>
  <c r="CA15" i="78" s="1"/>
  <c r="BL15" i="78" a="1"/>
  <c r="BL15" i="78" s="1"/>
  <c r="BD15" i="78" a="1"/>
  <c r="BD15" i="78" s="1"/>
  <c r="AW15" i="78" a="1"/>
  <c r="AW15" i="78" s="1"/>
  <c r="AP15" i="78" a="1"/>
  <c r="AP15" i="78" s="1"/>
  <c r="AH15" i="78" a="1"/>
  <c r="AH15" i="78" s="1"/>
  <c r="Z15" i="78" a="1"/>
  <c r="Z15" i="78" s="1"/>
  <c r="S15" i="78" a="1"/>
  <c r="S15" i="78" s="1"/>
  <c r="L15" i="78" a="1"/>
  <c r="L15" i="78" s="1"/>
  <c r="D15" i="78" a="1"/>
  <c r="D15" i="78" s="1"/>
  <c r="BZ15" i="78" a="1"/>
  <c r="BZ15" i="78" s="1"/>
  <c r="BS15" i="78" a="1"/>
  <c r="BS15" i="78" s="1"/>
  <c r="BK15" i="78" a="1"/>
  <c r="BK15" i="78" s="1"/>
  <c r="AV15" i="78" a="1"/>
  <c r="AV15" i="78" s="1"/>
  <c r="AO15" i="78" a="1"/>
  <c r="AO15" i="78" s="1"/>
  <c r="AG15" i="78" a="1"/>
  <c r="AG15" i="78" s="1"/>
  <c r="Y15" i="78" a="1"/>
  <c r="Y15" i="78" s="1"/>
  <c r="R15" i="78" a="1"/>
  <c r="R15" i="78" s="1"/>
  <c r="K15" i="78" a="1"/>
  <c r="K15" i="78" s="1"/>
  <c r="C15" i="78" a="1"/>
  <c r="C15" i="78" s="1"/>
  <c r="BY15" i="78" a="1"/>
  <c r="BY15" i="78" s="1"/>
  <c r="BR15" i="78" a="1"/>
  <c r="BR15" i="78" s="1"/>
  <c r="BJ15" i="78" a="1"/>
  <c r="BJ15" i="78" s="1"/>
  <c r="BC15" i="78" a="1"/>
  <c r="BC15" i="78" s="1"/>
  <c r="AN15" i="78" a="1"/>
  <c r="AN15" i="78" s="1"/>
  <c r="AF15" i="78" a="1"/>
  <c r="AF15" i="78" s="1"/>
  <c r="X15" i="78" a="1"/>
  <c r="X15" i="78" s="1"/>
  <c r="Q15" i="78" a="1"/>
  <c r="Q15" i="78" s="1"/>
  <c r="J15" i="78" a="1"/>
  <c r="J15" i="78" s="1"/>
  <c r="BX15" i="78" a="1"/>
  <c r="BX15" i="78" s="1"/>
  <c r="BQ15" i="78" a="1"/>
  <c r="BQ15" i="78" s="1"/>
  <c r="BI15" i="78" a="1"/>
  <c r="BI15" i="78" s="1"/>
  <c r="BB15" i="78" a="1"/>
  <c r="BB15" i="78" s="1"/>
  <c r="AU15" i="78" a="1"/>
  <c r="AU15" i="78" s="1"/>
  <c r="AM15" i="78" a="1"/>
  <c r="AM15" i="78" s="1"/>
  <c r="AE15" i="78" a="1"/>
  <c r="AE15" i="78" s="1"/>
  <c r="P15" i="78" a="1"/>
  <c r="P15" i="78" s="1"/>
  <c r="I15" i="78" a="1"/>
  <c r="I15" i="78" s="1"/>
  <c r="CD15" i="78" a="1"/>
  <c r="CD15" i="78" s="1"/>
  <c r="BW15" i="78" a="1"/>
  <c r="BW15" i="78" s="1"/>
  <c r="BP15" i="78" a="1"/>
  <c r="BP15" i="78" s="1"/>
  <c r="BH15" i="78" a="1"/>
  <c r="BH15" i="78" s="1"/>
  <c r="BA15" i="78" a="1"/>
  <c r="BA15" i="78" s="1"/>
  <c r="AT15" i="78" a="1"/>
  <c r="AT15" i="78" s="1"/>
  <c r="AL15" i="78" a="1"/>
  <c r="AL15" i="78" s="1"/>
  <c r="AD15" i="78" a="1"/>
  <c r="AD15" i="78" s="1"/>
  <c r="W15" i="78" a="1"/>
  <c r="W15" i="78" s="1"/>
  <c r="H15" i="78" a="1"/>
  <c r="H15" i="78" s="1"/>
  <c r="CC15" i="78" a="1"/>
  <c r="CC15" i="78" s="1"/>
  <c r="BV15" i="78" a="1"/>
  <c r="BV15" i="78" s="1"/>
  <c r="BO15" i="78" a="1"/>
  <c r="BO15" i="78" s="1"/>
  <c r="BG15" i="78" a="1"/>
  <c r="BG15" i="78" s="1"/>
  <c r="AZ15" i="78" a="1"/>
  <c r="AZ15" i="78" s="1"/>
  <c r="AS15" i="78" a="1"/>
  <c r="AS15" i="78" s="1"/>
  <c r="AK15" i="78" a="1"/>
  <c r="AK15" i="78" s="1"/>
  <c r="AC15" i="78" a="1"/>
  <c r="AC15" i="78" s="1"/>
  <c r="V15" i="78" a="1"/>
  <c r="V15" i="78" s="1"/>
  <c r="O15" i="78" a="1"/>
  <c r="O15" i="78" s="1"/>
  <c r="G15" i="78" a="1"/>
  <c r="G15" i="78" s="1"/>
  <c r="CB15" i="78" a="1"/>
  <c r="CB15" i="78" s="1"/>
  <c r="BU15" i="78" a="1"/>
  <c r="BU15" i="78" s="1"/>
  <c r="BN15" i="78" a="1"/>
  <c r="BN15" i="78" s="1"/>
  <c r="BF15" i="78" a="1"/>
  <c r="BF15" i="78" s="1"/>
  <c r="AY15" i="78" a="1"/>
  <c r="AY15" i="78" s="1"/>
  <c r="AR15" i="78" a="1"/>
  <c r="AR15" i="78" s="1"/>
  <c r="AJ15" i="78" a="1"/>
  <c r="AJ15" i="78" s="1"/>
  <c r="AB15" i="78" a="1"/>
  <c r="AB15" i="78" s="1"/>
  <c r="U15" i="78" a="1"/>
  <c r="U15" i="78" s="1"/>
  <c r="N15" i="78" a="1"/>
  <c r="N15" i="78" s="1"/>
  <c r="F15" i="78" a="1"/>
  <c r="F15" i="78" s="1"/>
  <c r="BT15" i="78" a="1"/>
  <c r="BT15" i="78" s="1"/>
  <c r="BM15" i="78" a="1"/>
  <c r="BM15" i="78" s="1"/>
  <c r="BE15" i="78" a="1"/>
  <c r="BE15" i="78" s="1"/>
  <c r="AX15" i="78" a="1"/>
  <c r="AX15" i="78" s="1"/>
  <c r="AQ15" i="78" a="1"/>
  <c r="AQ15" i="78" s="1"/>
  <c r="AI15" i="78" a="1"/>
  <c r="AI15" i="78" s="1"/>
  <c r="AA15" i="78" a="1"/>
  <c r="AA15" i="78" s="1"/>
  <c r="T15" i="78" a="1"/>
  <c r="T15" i="78" s="1"/>
  <c r="M15" i="78" a="1"/>
  <c r="M15" i="78" s="1"/>
  <c r="E15" i="78" a="1"/>
  <c r="E15" i="78" s="1"/>
  <c r="CA11" i="78" a="1"/>
  <c r="CA11" i="78" s="1"/>
  <c r="BV11" i="78" a="1"/>
  <c r="BV11" i="78" s="1"/>
  <c r="BI11" i="78" a="1"/>
  <c r="BI11" i="78" s="1"/>
  <c r="BD11" i="78" a="1"/>
  <c r="BD11" i="78" s="1"/>
  <c r="AW11" i="78" a="1"/>
  <c r="AW11" i="78" s="1"/>
  <c r="AK11" i="78" a="1"/>
  <c r="AK11" i="78" s="1"/>
  <c r="AF11" i="78" a="1"/>
  <c r="AF11" i="78" s="1"/>
  <c r="Y11" i="78" a="1"/>
  <c r="Y11" i="78" s="1"/>
  <c r="S11" i="78" a="1"/>
  <c r="S11" i="78" s="1"/>
  <c r="BY11" i="78" a="1"/>
  <c r="BY11" i="78" s="1"/>
  <c r="BT11" i="78" a="1"/>
  <c r="BT11" i="78" s="1"/>
  <c r="BH11" i="78" a="1"/>
  <c r="BH11" i="78" s="1"/>
  <c r="BB11" i="78" a="1"/>
  <c r="BB11" i="78" s="1"/>
  <c r="AP11" i="78" a="1"/>
  <c r="AP11" i="78" s="1"/>
  <c r="AD11" i="78" a="1"/>
  <c r="AD11" i="78" s="1"/>
  <c r="X11" i="78" a="1"/>
  <c r="X11" i="78" s="1"/>
  <c r="Q11" i="78" a="1"/>
  <c r="Q11" i="78" s="1"/>
  <c r="E11" i="78" a="1"/>
  <c r="E11" i="78" s="1"/>
  <c r="BS11" i="78" a="1"/>
  <c r="BS11" i="78" s="1"/>
  <c r="BN11" i="78" a="1"/>
  <c r="BN11" i="78" s="1"/>
  <c r="BG11" i="78" a="1"/>
  <c r="BG11" i="78" s="1"/>
  <c r="BA11" i="78" a="1"/>
  <c r="BA11" i="78" s="1"/>
  <c r="AU11" i="78" a="1"/>
  <c r="AU11" i="78" s="1"/>
  <c r="AO11" i="78" a="1"/>
  <c r="AO11" i="78" s="1"/>
  <c r="AI11" i="78" a="1"/>
  <c r="AI11" i="78" s="1"/>
  <c r="AC11" i="78" a="1"/>
  <c r="AC11" i="78" s="1"/>
  <c r="W11" i="78" a="1"/>
  <c r="W11" i="78" s="1"/>
  <c r="P11" i="78" a="1"/>
  <c r="P11" i="78" s="1"/>
  <c r="K11" i="78" a="1"/>
  <c r="K11" i="78" s="1"/>
  <c r="D11" i="78" a="1"/>
  <c r="D11" i="78" s="1"/>
  <c r="BX11" i="78" a="1"/>
  <c r="BX11" i="78" s="1"/>
  <c r="BM11" i="78" a="1"/>
  <c r="BM11" i="78" s="1"/>
  <c r="AT11" i="78" a="1"/>
  <c r="AT11" i="78" s="1"/>
  <c r="AN11" i="78" a="1"/>
  <c r="AN11" i="78" s="1"/>
  <c r="AB11" i="78" a="1"/>
  <c r="AB11" i="78" s="1"/>
  <c r="V11" i="78" a="1"/>
  <c r="V11" i="78" s="1"/>
  <c r="J11" i="78" a="1"/>
  <c r="J11" i="78" s="1"/>
  <c r="CD11" i="78" a="1"/>
  <c r="CD11" i="78" s="1"/>
  <c r="BR11" i="78" a="1"/>
  <c r="BR11" i="78" s="1"/>
  <c r="BL11" i="78" a="1"/>
  <c r="BL11" i="78" s="1"/>
  <c r="BF11" i="78" a="1"/>
  <c r="BF11" i="78" s="1"/>
  <c r="AZ11" i="78" a="1"/>
  <c r="AZ11" i="78" s="1"/>
  <c r="AS11" i="78" a="1"/>
  <c r="AS11" i="78" s="1"/>
  <c r="AM11" i="78" a="1"/>
  <c r="AM11" i="78" s="1"/>
  <c r="AH11" i="78" a="1"/>
  <c r="AH11" i="78" s="1"/>
  <c r="AA11" i="78" a="1"/>
  <c r="AA11" i="78" s="1"/>
  <c r="U11" i="78" a="1"/>
  <c r="U11" i="78" s="1"/>
  <c r="O11" i="78" a="1"/>
  <c r="O11" i="78" s="1"/>
  <c r="CC11" i="78" a="1"/>
  <c r="CC11" i="78" s="1"/>
  <c r="BW11" i="78" a="1"/>
  <c r="BW11" i="78" s="1"/>
  <c r="BQ11" i="78" a="1"/>
  <c r="BQ11" i="78" s="1"/>
  <c r="BK11" i="78" a="1"/>
  <c r="BK11" i="78" s="1"/>
  <c r="BE11" i="78" a="1"/>
  <c r="BE11" i="78" s="1"/>
  <c r="AY11" i="78" a="1"/>
  <c r="AY11" i="78" s="1"/>
  <c r="AG11" i="78" a="1"/>
  <c r="AG11" i="78" s="1"/>
  <c r="N11" i="78" a="1"/>
  <c r="N11" i="78" s="1"/>
  <c r="H11" i="78" a="1"/>
  <c r="H11" i="78" s="1"/>
  <c r="CB11" i="78" a="1"/>
  <c r="CB11" i="78" s="1"/>
  <c r="BP11" i="78" a="1"/>
  <c r="BP11" i="78" s="1"/>
  <c r="BJ11" i="78" a="1"/>
  <c r="BJ11" i="78" s="1"/>
  <c r="AX11" i="78" a="1"/>
  <c r="AX11" i="78" s="1"/>
  <c r="AR11" i="78" a="1"/>
  <c r="AR11" i="78" s="1"/>
  <c r="AL11" i="78" a="1"/>
  <c r="AL11" i="78" s="1"/>
  <c r="Z11" i="78" a="1"/>
  <c r="Z11" i="78" s="1"/>
  <c r="T11" i="78" a="1"/>
  <c r="T11" i="78" s="1"/>
  <c r="M11" i="78" a="1"/>
  <c r="M11" i="78" s="1"/>
  <c r="G11" i="78" a="1"/>
  <c r="G11" i="78" s="1"/>
  <c r="AJ11" i="78" a="1"/>
  <c r="AJ11" i="78" s="1"/>
  <c r="BZ11" i="78" a="1"/>
  <c r="BZ11" i="78" s="1"/>
  <c r="AE11" i="78" a="1"/>
  <c r="AE11" i="78" s="1"/>
  <c r="BU11" i="78" a="1"/>
  <c r="BU11" i="78" s="1"/>
  <c r="BO11" i="78" a="1"/>
  <c r="BO11" i="78" s="1"/>
  <c r="R11" i="78" a="1"/>
  <c r="R11" i="78" s="1"/>
  <c r="L11" i="78" a="1"/>
  <c r="L11" i="78" s="1"/>
  <c r="BC11" i="78" a="1"/>
  <c r="BC11" i="78" s="1"/>
  <c r="I11" i="78" a="1"/>
  <c r="I11" i="78" s="1"/>
  <c r="AV11" i="78" a="1"/>
  <c r="AV11" i="78" s="1"/>
  <c r="F11" i="78" a="1"/>
  <c r="F11" i="78" s="1"/>
  <c r="AQ11" i="78" a="1"/>
  <c r="AQ11" i="78" s="1"/>
  <c r="C11" i="78" a="1"/>
  <c r="C11" i="78" s="1"/>
  <c r="CC8" i="78" a="1"/>
  <c r="CC8" i="78" s="1"/>
  <c r="BV8" i="78" a="1"/>
  <c r="BV8" i="78" s="1"/>
  <c r="BP8" i="78" a="1"/>
  <c r="BP8" i="78" s="1"/>
  <c r="BJ8" i="78" a="1"/>
  <c r="BJ8" i="78" s="1"/>
  <c r="BD8" i="78" a="1"/>
  <c r="BD8" i="78" s="1"/>
  <c r="AW8" i="78" a="1"/>
  <c r="AW8" i="78" s="1"/>
  <c r="AQ8" i="78" a="1"/>
  <c r="AQ8" i="78" s="1"/>
  <c r="AK8" i="78" a="1"/>
  <c r="AK8" i="78" s="1"/>
  <c r="AE8" i="78" a="1"/>
  <c r="AE8" i="78" s="1"/>
  <c r="Q8" i="78" a="1"/>
  <c r="Q8" i="78" s="1"/>
  <c r="K8" i="78" a="1"/>
  <c r="K8" i="78" s="1"/>
  <c r="E8" i="78" a="1"/>
  <c r="E8" i="78" s="1"/>
  <c r="CB8" i="78" a="1"/>
  <c r="CB8" i="78" s="1"/>
  <c r="BU8" i="78" a="1"/>
  <c r="BU8" i="78" s="1"/>
  <c r="BO8" i="78" a="1"/>
  <c r="BO8" i="78" s="1"/>
  <c r="BI8" i="78" a="1"/>
  <c r="BI8" i="78" s="1"/>
  <c r="BC8" i="78" a="1"/>
  <c r="BC8" i="78" s="1"/>
  <c r="AP8" i="78" a="1"/>
  <c r="AP8" i="78" s="1"/>
  <c r="AJ8" i="78" a="1"/>
  <c r="AJ8" i="78" s="1"/>
  <c r="AD8" i="78" a="1"/>
  <c r="AD8" i="78" s="1"/>
  <c r="X8" i="78" a="1"/>
  <c r="X8" i="78" s="1"/>
  <c r="J8" i="78" a="1"/>
  <c r="J8" i="78" s="1"/>
  <c r="D8" i="78" a="1"/>
  <c r="D8" i="78" s="1"/>
  <c r="CA8" i="78" a="1"/>
  <c r="CA8" i="78" s="1"/>
  <c r="BN8" i="78" a="1"/>
  <c r="BN8" i="78" s="1"/>
  <c r="BH8" i="78" a="1"/>
  <c r="BH8" i="78" s="1"/>
  <c r="BB8" i="78" a="1"/>
  <c r="BB8" i="78" s="1"/>
  <c r="AV8" i="78" a="1"/>
  <c r="AV8" i="78" s="1"/>
  <c r="AO8" i="78" a="1"/>
  <c r="AO8" i="78" s="1"/>
  <c r="AI8" i="78" a="1"/>
  <c r="AI8" i="78" s="1"/>
  <c r="AC8" i="78" a="1"/>
  <c r="AC8" i="78" s="1"/>
  <c r="W8" i="78" a="1"/>
  <c r="W8" i="78" s="1"/>
  <c r="P8" i="78" a="1"/>
  <c r="P8" i="78" s="1"/>
  <c r="I8" i="78" a="1"/>
  <c r="I8" i="78" s="1"/>
  <c r="C8" i="78" a="1"/>
  <c r="C8" i="78" s="1"/>
  <c r="BT8" i="78" a="1"/>
  <c r="BT8" i="78" s="1"/>
  <c r="BG8" i="78" a="1"/>
  <c r="BG8" i="78" s="1"/>
  <c r="BA8" i="78" a="1"/>
  <c r="BA8" i="78" s="1"/>
  <c r="AH8" i="78" a="1"/>
  <c r="AH8" i="78" s="1"/>
  <c r="AB8" i="78" a="1"/>
  <c r="AB8" i="78" s="1"/>
  <c r="V8" i="78" a="1"/>
  <c r="V8" i="78" s="1"/>
  <c r="H8" i="78" a="1"/>
  <c r="H8" i="78" s="1"/>
  <c r="BZ8" i="78" a="1"/>
  <c r="BZ8" i="78" s="1"/>
  <c r="BM8" i="78" a="1"/>
  <c r="BM8" i="78" s="1"/>
  <c r="BF8" i="78" a="1"/>
  <c r="BF8" i="78" s="1"/>
  <c r="AZ8" i="78" a="1"/>
  <c r="AZ8" i="78" s="1"/>
  <c r="AU8" i="78" a="1"/>
  <c r="AU8" i="78" s="1"/>
  <c r="AN8" i="78" a="1"/>
  <c r="AN8" i="78" s="1"/>
  <c r="AA8" i="78" a="1"/>
  <c r="AA8" i="78" s="1"/>
  <c r="U8" i="78" a="1"/>
  <c r="U8" i="78" s="1"/>
  <c r="O8" i="78" a="1"/>
  <c r="O8" i="78" s="1"/>
  <c r="BY8" i="78" a="1"/>
  <c r="BY8" i="78" s="1"/>
  <c r="BS8" i="78" a="1"/>
  <c r="BS8" i="78" s="1"/>
  <c r="BL8" i="78" a="1"/>
  <c r="BL8" i="78" s="1"/>
  <c r="AY8" i="78" a="1"/>
  <c r="AY8" i="78" s="1"/>
  <c r="AT8" i="78" a="1"/>
  <c r="AT8" i="78" s="1"/>
  <c r="AG8" i="78" a="1"/>
  <c r="AG8" i="78" s="1"/>
  <c r="Z8" i="78" a="1"/>
  <c r="Z8" i="78" s="1"/>
  <c r="T8" i="78" a="1"/>
  <c r="T8" i="78" s="1"/>
  <c r="N8" i="78" a="1"/>
  <c r="N8" i="78" s="1"/>
  <c r="G8" i="78" a="1"/>
  <c r="G8" i="78" s="1"/>
  <c r="BX8" i="78" a="1"/>
  <c r="BX8" i="78" s="1"/>
  <c r="BR8" i="78" a="1"/>
  <c r="BR8" i="78" s="1"/>
  <c r="BE8" i="78" a="1"/>
  <c r="BE8" i="78" s="1"/>
  <c r="AX8" i="78" a="1"/>
  <c r="AX8" i="78" s="1"/>
  <c r="AS8" i="78" a="1"/>
  <c r="AS8" i="78" s="1"/>
  <c r="AM8" i="78" a="1"/>
  <c r="AM8" i="78" s="1"/>
  <c r="AF8" i="78" a="1"/>
  <c r="AF8" i="78" s="1"/>
  <c r="S8" i="78" a="1"/>
  <c r="S8" i="78" s="1"/>
  <c r="M8" i="78" a="1"/>
  <c r="M8" i="78" s="1"/>
  <c r="F8" i="78" a="1"/>
  <c r="F8" i="78" s="1"/>
  <c r="CD8" i="78" a="1"/>
  <c r="CD8" i="78" s="1"/>
  <c r="BW8" i="78" a="1"/>
  <c r="BW8" i="78" s="1"/>
  <c r="BQ8" i="78" a="1"/>
  <c r="BQ8" i="78" s="1"/>
  <c r="BK8" i="78" a="1"/>
  <c r="BK8" i="78" s="1"/>
  <c r="AR8" i="78" a="1"/>
  <c r="AR8" i="78" s="1"/>
  <c r="AL8" i="78" a="1"/>
  <c r="AL8" i="78" s="1"/>
  <c r="Y8" i="78" a="1"/>
  <c r="Y8" i="78" s="1"/>
  <c r="R8" i="78" a="1"/>
  <c r="R8" i="78" s="1"/>
  <c r="L8" i="78" a="1"/>
  <c r="L8" i="78" s="1"/>
  <c r="BW12" i="78" a="1"/>
  <c r="BW12" i="78" s="1"/>
  <c r="BP12" i="78" a="1"/>
  <c r="BP12" i="78" s="1"/>
  <c r="BI12" i="78" a="1"/>
  <c r="BI12" i="78" s="1"/>
  <c r="BD12" i="78" a="1"/>
  <c r="BD12" i="78" s="1"/>
  <c r="AX12" i="78" a="1"/>
  <c r="AX12" i="78" s="1"/>
  <c r="AQ12" i="78" a="1"/>
  <c r="AQ12" i="78" s="1"/>
  <c r="AD12" i="78" a="1"/>
  <c r="AD12" i="78" s="1"/>
  <c r="Y12" i="78" a="1"/>
  <c r="Y12" i="78" s="1"/>
  <c r="L12" i="78" a="1"/>
  <c r="L12" i="78" s="1"/>
  <c r="E12" i="78" a="1"/>
  <c r="E12" i="78" s="1"/>
  <c r="CC12" i="78" a="1"/>
  <c r="CC12" i="78" s="1"/>
  <c r="BU12" i="78" a="1"/>
  <c r="BU12" i="78" s="1"/>
  <c r="BN12" i="78" a="1"/>
  <c r="BN12" i="78" s="1"/>
  <c r="BH12" i="78" a="1"/>
  <c r="BH12" i="78" s="1"/>
  <c r="BB12" i="78" a="1"/>
  <c r="BB12" i="78" s="1"/>
  <c r="AV12" i="78" a="1"/>
  <c r="AV12" i="78" s="1"/>
  <c r="AP12" i="78" a="1"/>
  <c r="AP12" i="78" s="1"/>
  <c r="W12" i="78" a="1"/>
  <c r="W12" i="78" s="1"/>
  <c r="Q12" i="78" a="1"/>
  <c r="Q12" i="78" s="1"/>
  <c r="D12" i="78" a="1"/>
  <c r="D12" i="78" s="1"/>
  <c r="CB12" i="78" a="1"/>
  <c r="CB12" i="78" s="1"/>
  <c r="BT12" i="78" a="1"/>
  <c r="BT12" i="78" s="1"/>
  <c r="BM12" i="78" a="1"/>
  <c r="BM12" i="78" s="1"/>
  <c r="BA12" i="78" a="1"/>
  <c r="BA12" i="78" s="1"/>
  <c r="AU12" i="78" a="1"/>
  <c r="AU12" i="78" s="1"/>
  <c r="AO12" i="78" a="1"/>
  <c r="AO12" i="78" s="1"/>
  <c r="AI12" i="78" a="1"/>
  <c r="AI12" i="78" s="1"/>
  <c r="AB12" i="78" a="1"/>
  <c r="AB12" i="78" s="1"/>
  <c r="V12" i="78" a="1"/>
  <c r="V12" i="78" s="1"/>
  <c r="P12" i="78" a="1"/>
  <c r="P12" i="78" s="1"/>
  <c r="J12" i="78" a="1"/>
  <c r="J12" i="78" s="1"/>
  <c r="CA12" i="78" a="1"/>
  <c r="CA12" i="78" s="1"/>
  <c r="BL12" i="78" a="1"/>
  <c r="BL12" i="78" s="1"/>
  <c r="BG12" i="78" a="1"/>
  <c r="BG12" i="78" s="1"/>
  <c r="AZ12" i="78" a="1"/>
  <c r="AZ12" i="78" s="1"/>
  <c r="AT12" i="78" a="1"/>
  <c r="AT12" i="78" s="1"/>
  <c r="AN12" i="78" a="1"/>
  <c r="AN12" i="78" s="1"/>
  <c r="AH12" i="78" a="1"/>
  <c r="AH12" i="78" s="1"/>
  <c r="U12" i="78" a="1"/>
  <c r="U12" i="78" s="1"/>
  <c r="O12" i="78" a="1"/>
  <c r="O12" i="78" s="1"/>
  <c r="I12" i="78" a="1"/>
  <c r="I12" i="78" s="1"/>
  <c r="C12" i="78" a="1"/>
  <c r="C12" i="78" s="1"/>
  <c r="BZ12" i="78" a="1"/>
  <c r="BZ12" i="78" s="1"/>
  <c r="BS12" i="78" a="1"/>
  <c r="BS12" i="78" s="1"/>
  <c r="BK12" i="78" a="1"/>
  <c r="BK12" i="78" s="1"/>
  <c r="AS12" i="78" a="1"/>
  <c r="AS12" i="78" s="1"/>
  <c r="AM12" i="78" a="1"/>
  <c r="AM12" i="78" s="1"/>
  <c r="AG12" i="78" a="1"/>
  <c r="AG12" i="78" s="1"/>
  <c r="AA12" i="78" a="1"/>
  <c r="AA12" i="78" s="1"/>
  <c r="T12" i="78" a="1"/>
  <c r="T12" i="78" s="1"/>
  <c r="N12" i="78" a="1"/>
  <c r="N12" i="78" s="1"/>
  <c r="H12" i="78" a="1"/>
  <c r="H12" i="78" s="1"/>
  <c r="BY12" i="78" a="1"/>
  <c r="BY12" i="78" s="1"/>
  <c r="BR12" i="78" a="1"/>
  <c r="BR12" i="78" s="1"/>
  <c r="BF12" i="78" a="1"/>
  <c r="BF12" i="78" s="1"/>
  <c r="AY12" i="78" a="1"/>
  <c r="AY12" i="78" s="1"/>
  <c r="AL12" i="78" a="1"/>
  <c r="AL12" i="78" s="1"/>
  <c r="AF12" i="78" a="1"/>
  <c r="AF12" i="78" s="1"/>
  <c r="M12" i="78" a="1"/>
  <c r="M12" i="78" s="1"/>
  <c r="G12" i="78" a="1"/>
  <c r="G12" i="78" s="1"/>
  <c r="BX12" i="78" a="1"/>
  <c r="BX12" i="78" s="1"/>
  <c r="BQ12" i="78" a="1"/>
  <c r="BQ12" i="78" s="1"/>
  <c r="BJ12" i="78" a="1"/>
  <c r="BJ12" i="78" s="1"/>
  <c r="BE12" i="78" a="1"/>
  <c r="BE12" i="78" s="1"/>
  <c r="AR12" i="78" a="1"/>
  <c r="AR12" i="78" s="1"/>
  <c r="AK12" i="78" a="1"/>
  <c r="AK12" i="78" s="1"/>
  <c r="AE12" i="78" a="1"/>
  <c r="AE12" i="78" s="1"/>
  <c r="Z12" i="78" a="1"/>
  <c r="Z12" i="78" s="1"/>
  <c r="S12" i="78" a="1"/>
  <c r="S12" i="78" s="1"/>
  <c r="F12" i="78" a="1"/>
  <c r="F12" i="78" s="1"/>
  <c r="BC12" i="78" a="1"/>
  <c r="BC12" i="78" s="1"/>
  <c r="AW12" i="78" a="1"/>
  <c r="AW12" i="78" s="1"/>
  <c r="AJ12" i="78" a="1"/>
  <c r="AJ12" i="78" s="1"/>
  <c r="CD12" i="78" a="1"/>
  <c r="CD12" i="78" s="1"/>
  <c r="AC12" i="78" a="1"/>
  <c r="AC12" i="78" s="1"/>
  <c r="BV12" i="78" a="1"/>
  <c r="BV12" i="78" s="1"/>
  <c r="X12" i="78" a="1"/>
  <c r="X12" i="78" s="1"/>
  <c r="BO12" i="78" a="1"/>
  <c r="BO12" i="78" s="1"/>
  <c r="R12" i="78" a="1"/>
  <c r="R12" i="78" s="1"/>
  <c r="K12" i="78" a="1"/>
  <c r="K12" i="78" s="1"/>
  <c r="CA16" i="78" a="1"/>
  <c r="CA16" i="78" s="1"/>
  <c r="BL16" i="78" a="1"/>
  <c r="BL16" i="78" s="1"/>
  <c r="BE16" i="78" a="1"/>
  <c r="BE16" i="78" s="1"/>
  <c r="AY16" i="78" a="1"/>
  <c r="AY16" i="78" s="1"/>
  <c r="AQ16" i="78" a="1"/>
  <c r="AQ16" i="78" s="1"/>
  <c r="AJ16" i="78" a="1"/>
  <c r="AJ16" i="78" s="1"/>
  <c r="AC16" i="78" a="1"/>
  <c r="AC16" i="78" s="1"/>
  <c r="U16" i="78" a="1"/>
  <c r="U16" i="78" s="1"/>
  <c r="M16" i="78" a="1"/>
  <c r="M16" i="78" s="1"/>
  <c r="F16" i="78" a="1"/>
  <c r="F16" i="78" s="1"/>
  <c r="BZ16" i="78" a="1"/>
  <c r="BZ16" i="78" s="1"/>
  <c r="BS16" i="78" a="1"/>
  <c r="BS16" i="78" s="1"/>
  <c r="BD16" i="78" a="1"/>
  <c r="BD16" i="78" s="1"/>
  <c r="AX16" i="78" a="1"/>
  <c r="AX16" i="78" s="1"/>
  <c r="AP16" i="78" a="1"/>
  <c r="AP16" i="78" s="1"/>
  <c r="AI16" i="78" a="1"/>
  <c r="AI16" i="78" s="1"/>
  <c r="AB16" i="78" a="1"/>
  <c r="AB16" i="78" s="1"/>
  <c r="T16" i="78" a="1"/>
  <c r="T16" i="78" s="1"/>
  <c r="L16" i="78" a="1"/>
  <c r="L16" i="78" s="1"/>
  <c r="E16" i="78" a="1"/>
  <c r="E16" i="78" s="1"/>
  <c r="BY16" i="78" a="1"/>
  <c r="BY16" i="78" s="1"/>
  <c r="BR16" i="78" a="1"/>
  <c r="BR16" i="78" s="1"/>
  <c r="BK16" i="78" a="1"/>
  <c r="BK16" i="78" s="1"/>
  <c r="AW16" i="78" a="1"/>
  <c r="AW16" i="78" s="1"/>
  <c r="AO16" i="78" a="1"/>
  <c r="AO16" i="78" s="1"/>
  <c r="AH16" i="78" a="1"/>
  <c r="AH16" i="78" s="1"/>
  <c r="AA16" i="78" a="1"/>
  <c r="AA16" i="78" s="1"/>
  <c r="S16" i="78" a="1"/>
  <c r="S16" i="78" s="1"/>
  <c r="K16" i="78" a="1"/>
  <c r="K16" i="78" s="1"/>
  <c r="D16" i="78" a="1"/>
  <c r="D16" i="78" s="1"/>
  <c r="BX16" i="78" a="1"/>
  <c r="BX16" i="78" s="1"/>
  <c r="BQ16" i="78" a="1"/>
  <c r="BQ16" i="78" s="1"/>
  <c r="BJ16" i="78" a="1"/>
  <c r="BJ16" i="78" s="1"/>
  <c r="BC16" i="78" a="1"/>
  <c r="BC16" i="78" s="1"/>
  <c r="AV16" i="78" a="1"/>
  <c r="AV16" i="78" s="1"/>
  <c r="AN16" i="78" a="1"/>
  <c r="AN16" i="78" s="1"/>
  <c r="AG16" i="78" a="1"/>
  <c r="AG16" i="78" s="1"/>
  <c r="Z16" i="78" a="1"/>
  <c r="Z16" i="78" s="1"/>
  <c r="R16" i="78" a="1"/>
  <c r="R16" i="78" s="1"/>
  <c r="J16" i="78" a="1"/>
  <c r="J16" i="78" s="1"/>
  <c r="C16" i="78" a="1"/>
  <c r="C16" i="78" s="1"/>
  <c r="BW16" i="78" a="1"/>
  <c r="BW16" i="78" s="1"/>
  <c r="BP16" i="78" a="1"/>
  <c r="BP16" i="78" s="1"/>
  <c r="BI16" i="78" a="1"/>
  <c r="BI16" i="78" s="1"/>
  <c r="BB16" i="78" a="1"/>
  <c r="BB16" i="78" s="1"/>
  <c r="AU16" i="78" a="1"/>
  <c r="AU16" i="78" s="1"/>
  <c r="AF16" i="78" a="1"/>
  <c r="AF16" i="78" s="1"/>
  <c r="Y16" i="78" a="1"/>
  <c r="Y16" i="78" s="1"/>
  <c r="Q16" i="78" a="1"/>
  <c r="Q16" i="78" s="1"/>
  <c r="I16" i="78" a="1"/>
  <c r="I16" i="78" s="1"/>
  <c r="CD16" i="78" a="1"/>
  <c r="CD16" i="78" s="1"/>
  <c r="BV16" i="78" a="1"/>
  <c r="BV16" i="78" s="1"/>
  <c r="BO16" i="78" a="1"/>
  <c r="BO16" i="78" s="1"/>
  <c r="BH16" i="78" a="1"/>
  <c r="BH16" i="78" s="1"/>
  <c r="BA16" i="78" a="1"/>
  <c r="BA16" i="78" s="1"/>
  <c r="AT16" i="78" a="1"/>
  <c r="AT16" i="78" s="1"/>
  <c r="AM16" i="78" a="1"/>
  <c r="AM16" i="78" s="1"/>
  <c r="X16" i="78" a="1"/>
  <c r="X16" i="78" s="1"/>
  <c r="P16" i="78" a="1"/>
  <c r="P16" i="78" s="1"/>
  <c r="H16" i="78" a="1"/>
  <c r="H16" i="78" s="1"/>
  <c r="CC16" i="78" a="1"/>
  <c r="CC16" i="78" s="1"/>
  <c r="BU16" i="78" a="1"/>
  <c r="BU16" i="78" s="1"/>
  <c r="BN16" i="78" a="1"/>
  <c r="BN16" i="78" s="1"/>
  <c r="BG16" i="78" a="1"/>
  <c r="BG16" i="78" s="1"/>
  <c r="AZ16" i="78" a="1"/>
  <c r="AZ16" i="78" s="1"/>
  <c r="AS16" i="78" a="1"/>
  <c r="AS16" i="78" s="1"/>
  <c r="AL16" i="78" a="1"/>
  <c r="AL16" i="78" s="1"/>
  <c r="AE16" i="78" a="1"/>
  <c r="AE16" i="78" s="1"/>
  <c r="W16" i="78" a="1"/>
  <c r="W16" i="78" s="1"/>
  <c r="O16" i="78" a="1"/>
  <c r="O16" i="78" s="1"/>
  <c r="CB16" i="78" a="1"/>
  <c r="CB16" i="78" s="1"/>
  <c r="BT16" i="78" a="1"/>
  <c r="BT16" i="78" s="1"/>
  <c r="BM16" i="78" a="1"/>
  <c r="BM16" i="78" s="1"/>
  <c r="BF16" i="78" a="1"/>
  <c r="BF16" i="78" s="1"/>
  <c r="AR16" i="78" a="1"/>
  <c r="AR16" i="78" s="1"/>
  <c r="AK16" i="78" a="1"/>
  <c r="AK16" i="78" s="1"/>
  <c r="AD16" i="78" a="1"/>
  <c r="AD16" i="78" s="1"/>
  <c r="V16" i="78" a="1"/>
  <c r="V16" i="78" s="1"/>
  <c r="N16" i="78" a="1"/>
  <c r="N16" i="78" s="1"/>
  <c r="G16" i="78" a="1"/>
  <c r="G16" i="78" s="1"/>
  <c r="BZ5" i="78" a="1"/>
  <c r="BZ5" i="78" s="1"/>
  <c r="BO5" i="78" a="1"/>
  <c r="BO5" i="78" s="1"/>
  <c r="BJ5" i="78" a="1"/>
  <c r="BJ5" i="78" s="1"/>
  <c r="BD5" i="78" a="1"/>
  <c r="BD5" i="78" s="1"/>
  <c r="AY5" i="78" a="1"/>
  <c r="AY5" i="78" s="1"/>
  <c r="AT5" i="78" a="1"/>
  <c r="AT5" i="78" s="1"/>
  <c r="AI5" i="78" a="1"/>
  <c r="AI5" i="78" s="1"/>
  <c r="AD5" i="78" a="1"/>
  <c r="AD5" i="78" s="1"/>
  <c r="BY5" i="78" a="1"/>
  <c r="BY5" i="78" s="1"/>
  <c r="BT5" i="78" a="1"/>
  <c r="BT5" i="78" s="1"/>
  <c r="BN5" i="78" a="1"/>
  <c r="BN5" i="78" s="1"/>
  <c r="BI5" i="78" a="1"/>
  <c r="BI5" i="78" s="1"/>
  <c r="CD5" i="78" a="1"/>
  <c r="CD5" i="78" s="1"/>
  <c r="BS5" i="78" a="1"/>
  <c r="BS5" i="78" s="1"/>
  <c r="BC5" i="78" a="1"/>
  <c r="BC5" i="78" s="1"/>
  <c r="AB5" i="78" a="1"/>
  <c r="AB5" i="78" s="1"/>
  <c r="V5" i="78" a="1"/>
  <c r="V5" i="78" s="1"/>
  <c r="J5" i="78" a="1"/>
  <c r="J5" i="78" s="1"/>
  <c r="E5" i="78" a="1"/>
  <c r="E5" i="78" s="1"/>
  <c r="BX5" i="78" a="1"/>
  <c r="BX5" i="78" s="1"/>
  <c r="BR5" i="78" a="1"/>
  <c r="BR5" i="78" s="1"/>
  <c r="BM5" i="78" a="1"/>
  <c r="BM5" i="78" s="1"/>
  <c r="BH5" i="78" a="1"/>
  <c r="BH5" i="78" s="1"/>
  <c r="BB5" i="78" a="1"/>
  <c r="BB5" i="78" s="1"/>
  <c r="AW5" i="78" a="1"/>
  <c r="AW5" i="78" s="1"/>
  <c r="AR5" i="78" a="1"/>
  <c r="AR5" i="78" s="1"/>
  <c r="AM5" i="78" a="1"/>
  <c r="AM5" i="78" s="1"/>
  <c r="CB5" i="78" a="1"/>
  <c r="CB5" i="78" s="1"/>
  <c r="BV5" i="78" a="1"/>
  <c r="BV5" i="78" s="1"/>
  <c r="BQ5" i="78" a="1"/>
  <c r="BQ5" i="78" s="1"/>
  <c r="BL5" i="78" a="1"/>
  <c r="BL5" i="78" s="1"/>
  <c r="BF5" i="78" a="1"/>
  <c r="BF5" i="78" s="1"/>
  <c r="BA5" i="78" a="1"/>
  <c r="BA5" i="78" s="1"/>
  <c r="AV5" i="78" a="1"/>
  <c r="AV5" i="78" s="1"/>
  <c r="AP5" i="78" a="1"/>
  <c r="AP5" i="78" s="1"/>
  <c r="AK5" i="78" a="1"/>
  <c r="AK5" i="78" s="1"/>
  <c r="AF5" i="78" a="1"/>
  <c r="AF5" i="78" s="1"/>
  <c r="BG5" i="78" a="1"/>
  <c r="BG5" i="78" s="1"/>
  <c r="AL5" i="78" a="1"/>
  <c r="AL5" i="78" s="1"/>
  <c r="AC5" i="78" a="1"/>
  <c r="AC5" i="78" s="1"/>
  <c r="O5" i="78" a="1"/>
  <c r="O5" i="78" s="1"/>
  <c r="BU5" i="78" a="1"/>
  <c r="BU5" i="78" s="1"/>
  <c r="BE5" i="78" a="1"/>
  <c r="BE5" i="78" s="1"/>
  <c r="AJ5" i="78" a="1"/>
  <c r="AJ5" i="78" s="1"/>
  <c r="AA5" i="78" a="1"/>
  <c r="AA5" i="78" s="1"/>
  <c r="U5" i="78" a="1"/>
  <c r="U5" i="78" s="1"/>
  <c r="N5" i="78" a="1"/>
  <c r="N5" i="78" s="1"/>
  <c r="H5" i="78" a="1"/>
  <c r="H5" i="78" s="1"/>
  <c r="AU5" i="78" a="1"/>
  <c r="AU5" i="78" s="1"/>
  <c r="Z5" i="78" a="1"/>
  <c r="Z5" i="78" s="1"/>
  <c r="T5" i="78" a="1"/>
  <c r="T5" i="78" s="1"/>
  <c r="M5" i="78" a="1"/>
  <c r="M5" i="78" s="1"/>
  <c r="BP5" i="78" a="1"/>
  <c r="BP5" i="78" s="1"/>
  <c r="AS5" i="78" a="1"/>
  <c r="AS5" i="78" s="1"/>
  <c r="AH5" i="78" a="1"/>
  <c r="AH5" i="78" s="1"/>
  <c r="S5" i="78" a="1"/>
  <c r="S5" i="78" s="1"/>
  <c r="G5" i="78" a="1"/>
  <c r="G5" i="78" s="1"/>
  <c r="CC5" i="78" a="1"/>
  <c r="CC5" i="78" s="1"/>
  <c r="AQ5" i="78" a="1"/>
  <c r="AQ5" i="78" s="1"/>
  <c r="AG5" i="78" a="1"/>
  <c r="AG5" i="78" s="1"/>
  <c r="Y5" i="78" a="1"/>
  <c r="Y5" i="78" s="1"/>
  <c r="R5" i="78" a="1"/>
  <c r="R5" i="78" s="1"/>
  <c r="L5" i="78" a="1"/>
  <c r="L5" i="78" s="1"/>
  <c r="F5" i="78" a="1"/>
  <c r="F5" i="78" s="1"/>
  <c r="AZ5" i="78" a="1"/>
  <c r="AZ5" i="78" s="1"/>
  <c r="X5" i="78" a="1"/>
  <c r="X5" i="78" s="1"/>
  <c r="K5" i="78" a="1"/>
  <c r="K5" i="78" s="1"/>
  <c r="D5" i="78" a="1"/>
  <c r="D5" i="78" s="1"/>
  <c r="CA5" i="78" a="1"/>
  <c r="CA5" i="78" s="1"/>
  <c r="AO5" i="78" a="1"/>
  <c r="AO5" i="78" s="1"/>
  <c r="Q5" i="78" a="1"/>
  <c r="Q5" i="78" s="1"/>
  <c r="BW5" i="78" a="1"/>
  <c r="BW5" i="78" s="1"/>
  <c r="BK5" i="78" a="1"/>
  <c r="BK5" i="78" s="1"/>
  <c r="AX5" i="78" a="1"/>
  <c r="AX5" i="78" s="1"/>
  <c r="AN5" i="78" a="1"/>
  <c r="AN5" i="78" s="1"/>
  <c r="AE5" i="78" a="1"/>
  <c r="AE5" i="78" s="1"/>
  <c r="W5" i="78" a="1"/>
  <c r="W5" i="78" s="1"/>
  <c r="P5" i="78" a="1"/>
  <c r="P5" i="78" s="1"/>
  <c r="I5" i="78" a="1"/>
  <c r="I5" i="78" s="1"/>
  <c r="C5" i="78" a="1"/>
  <c r="C5" i="7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59F06B-0310-4544-BB28-9E60C8464C45}" keepAlive="1" name="Abfrage - JiraBlockermanagement(1)" description="Verbindung mit der Abfrage 'JiraBlockermanagement' in der Arbeitsmappe." type="5" refreshedVersion="8" background="1" saveData="1">
    <dbPr connection="Provider=Microsoft.Mashup.OleDb.1;Data Source=$Workbook$;Location=JiraBlockermanagement;Extended Properties=&quot;&quot;" command="SELECT * FROM [JiraBlockermanagement]"/>
  </connection>
  <connection id="2" xr16:uid="{9BD96DC6-B0B0-42E1-83DF-35960A8F0ED5}" keepAlive="1" name="Abfrage - JiraEpics(1)" description="Verbindung mit der Abfrage 'JiraEpics' in der Arbeitsmappe." type="5" refreshedVersion="8" background="1" saveData="1">
    <dbPr connection="Provider=Microsoft.Mashup.OleDb.1;Data Source=$Workbook$;Location=JiraEpics;Extended Properties=&quot;&quot;" command="SELECT * FROM [JiraEpics]"/>
  </connection>
  <connection id="3" xr16:uid="{2B243604-344E-4D6B-A21C-1920D1564DF6}" keepAlive="1" name="Abfrage - JiraStories" description="Verbindung mit der Abfrage 'JiraStories' in der Arbeitsmappe." type="5" refreshedVersion="8" background="1" saveData="1">
    <dbPr connection="Provider=Microsoft.Mashup.OleDb.1;Data Source=$Workbook$;Location=JiraStories;Extended Properties=&quot;&quot;" command="SELECT * FROM [JiraStories]"/>
  </connection>
  <connection id="4" xr16:uid="{E6809B53-6686-4988-AEF0-37FF74EE430F}" keepAlive="1" name="Abfrage - SRC_Jira_Base_Epics" description="Verbindung mit der Abfrage 'SRC_Jira_Base_Epics' in der Arbeitsmappe." type="5" refreshedVersion="0" saveData="1">
    <dbPr connection="Provider=Microsoft.Mashup.OleDb.1;Data Source=$Workbook$;Location=SRC_Jira_Base_Epics;Extended Properties=&quot;&quot;" command="SELECT * FROM [SRC_Jira_Base_Epics]"/>
    <extLst>
      <ext xmlns:x15="http://schemas.microsoft.com/office/spreadsheetml/2010/11/main" uri="{DE250136-89BD-433C-8126-D09CA5730AF9}">
        <x15:connection id="" excludeFromRefreshAll="1"/>
      </ext>
    </extLst>
  </connection>
  <connection id="5" xr16:uid="{6B415C05-C239-4889-8658-DE55C7AE170F}" keepAlive="1" name="Abfrage - SRC_Jira_Base_Projects" description="Verbindung mit der Abfrage 'SRC_Jira_Base_Projects' in der Arbeitsmappe." type="5" refreshedVersion="0" saveData="1">
    <dbPr connection="Provider=Microsoft.Mashup.OleDb.1;Data Source=$Workbook$;Location=SRC_Jira_Base_Projects;Extended Properties=&quot;&quot;" command="SELECT * FROM [SRC_Jira_Base_Projects]"/>
    <extLst>
      <ext xmlns:x15="http://schemas.microsoft.com/office/spreadsheetml/2010/11/main" uri="{DE250136-89BD-433C-8126-D09CA5730AF9}">
        <x15:connection id="" excludeFromRefreshAll="1"/>
      </ext>
    </extLst>
  </connection>
  <connection id="6" xr16:uid="{EF9DFEF1-D2CC-4E43-B0C5-AF7CD8F09DD8}" keepAlive="1" name="Abfrage - SRC_Jira_History_Epics_ByProject" description="Verbindung mit der Abfrage 'SRC_Jira_History_Epics_ByProject' in der Arbeitsmappe." type="5" refreshedVersion="0" saveData="1">
    <dbPr connection="Provider=Microsoft.Mashup.OleDb.1;Data Source=$Workbook$;Location=SRC_Jira_History_Epics_ByProject;Extended Properties=&quot;&quot;" command="SELECT * FROM [SRC_Jira_History_Epics_ByProject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765AF8BA-392F-4819-97BE-FE215398A77D}" keepAlive="1" name="Abfrage - SRC_Jira_History_Stories_ByProject" description="Verbindung mit der Abfrage 'SRC_Jira_History_Stories_ByProject' in der Arbeitsmappe." type="5" refreshedVersion="0" saveData="1">
    <dbPr connection="Provider=Microsoft.Mashup.OleDb.1;Data Source=$Workbook$;Location=SRC_Jira_History_Stories_ByProject;Extended Properties=&quot;&quot;" command="SELECT * FROM [SRC_Jira_History_Stories_ByProject]"/>
    <extLst>
      <ext xmlns:x15="http://schemas.microsoft.com/office/spreadsheetml/2010/11/main" uri="{DE250136-89BD-433C-8126-D09CA5730AF9}">
        <x15:connection id="" excludeFromRefreshAll="1"/>
      </ext>
    </extLst>
  </connection>
  <connection id="8" xr16:uid="{24556A64-B361-42BE-A383-CC0FE67D23F6}" keepAlive="1" name="Abfrage - STG_Blocked_FieldHistory" description="Verbindung mit der Abfrage 'STG_Blocked_FieldHistory' in der Arbeitsmappe." type="5" refreshedVersion="0" saveData="1">
    <dbPr connection="Provider=Microsoft.Mashup.OleDb.1;Data Source=$Workbook$;Location=STG_Blocked_FieldHistory;Extended Properties=&quot;&quot;" command="SELECT * FROM [STG_Blocked_FieldHistory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91D8C813-7C76-4809-9BBC-A1F8CF5DE659}" keepAlive="1" name="Abfrage - STG_Epics_Base" description="Verbindung mit der Abfrage 'STG_Epics_Base' in der Arbeitsmappe." type="5" refreshedVersion="0" saveData="1">
    <dbPr connection="Provider=Microsoft.Mashup.OleDb.1;Data Source=$Workbook$;Location=STG_Epics_Base;Extended Properties=&quot;&quot;" command="SELECT * FROM [STG_Epics_Base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B1BBD908-B42B-45A5-80D6-26A328032E5F}" keepAlive="1" name="Abfrage - STG_Epics_StatusHistory" description="Verbindung mit der Abfrage 'STG_Epics_StatusHistory' in der Arbeitsmappe." type="5" refreshedVersion="0" saveData="1">
    <dbPr connection="Provider=Microsoft.Mashup.OleDb.1;Data Source=$Workbook$;Location=STG_Epics_StatusHistory;Extended Properties=&quot;&quot;" command="SELECT * FROM [STG_Epic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0678BCA9-3F5E-4FB9-8B04-36CE9C77B208}" keepAlive="1" name="Abfrage - STG_Epics_StatusPivot" description="Verbindung mit der Abfrage 'STG_Epics_StatusPivot' in der Arbeitsmappe." type="5" refreshedVersion="0" saveData="1">
    <dbPr connection="Provider=Microsoft.Mashup.OleDb.1;Data Source=$Workbook$;Location=STG_Epics_StatusPivot;Extended Properties=&quot;&quot;" command="SELECT * FROM [STG_Epics_StatusPivot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D13ACD59-3E64-440D-A5A2-DD1A2BB54827}" keepAlive="1" name="Abfrage - STG_Issues_BaseUnion" description="Verbindung mit der Abfrage 'STG_Issues_BaseUnion' in der Arbeitsmappe." type="5" refreshedVersion="0" saveData="1">
    <dbPr connection="Provider=Microsoft.Mashup.OleDb.1;Data Source=$Workbook$;Location=STG_Issues_BaseUnion;Extended Properties=&quot;&quot;" command="SELECT * FROM [STG_Issues_BaseUnion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2E78B813-8EAA-4E18-B2D3-E7DB9C070EC9}" keepAlive="1" name="Abfrage - STG_Issues_BlockedFieldHistory" description="Verbindung mit der Abfrage 'STG_Issues_BlockedFieldHistory' in der Arbeitsmappe." type="5" refreshedVersion="0" saveData="1">
    <dbPr connection="Provider=Microsoft.Mashup.OleDb.1;Data Source=$Workbook$;Location=STG_Issues_BlockedFieldHistory;Extended Properties=&quot;&quot;" command="SELECT * FROM [STG_Issues_BlockedFieldHistory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75F77690-8070-4EAE-8B2F-B644BF687250}" keepAlive="1" name="Abfrage - STG_Issues_BlockedHistory" description="Verbindung mit der Abfrage 'STG_Issues_BlockedHistory' in der Arbeitsmappe." type="5" refreshedVersion="8" background="1" saveData="1">
    <dbPr connection="Provider=Microsoft.Mashup.OleDb.1;Data Source=$Workbook$;Location=STG_Issues_BlockedHistory;Extended Properties=&quot;&quot;" command="SELECT * FROM [STG_Issues_BlockedHistory]"/>
  </connection>
  <connection id="15" xr16:uid="{CDFFCE5C-8324-4940-8264-E56745F0D563}" keepAlive="1" name="Abfrage - STG_Issues_ChangelogFlat" description="Verbindung mit der Abfrage 'STG_Issues_ChangelogFlat' in der Arbeitsmappe." type="5" refreshedVersion="0" saveData="1">
    <dbPr connection="Provider=Microsoft.Mashup.OleDb.1;Data Source=$Workbook$;Location=STG_Issues_ChangelogFlat;Extended Properties=&quot;&quot;" command="SELECT * FROM [STG_Issues_ChangelogFlat]"/>
    <extLst>
      <ext xmlns:x15="http://schemas.microsoft.com/office/spreadsheetml/2010/11/main" uri="{DE250136-89BD-433C-8126-D09CA5730AF9}">
        <x15:connection id="" excludeFromRefreshAll="1"/>
      </ext>
    </extLst>
  </connection>
  <connection id="16" xr16:uid="{14572D00-F4E4-4F15-AC9E-BD863255C517}" keepAlive="1" name="Abfrage - STG_Issues_StatusHistory" description="Verbindung mit der Abfrage 'STG_Issues_StatusHistory' in der Arbeitsmappe." type="5" refreshedVersion="0" saveData="1">
    <dbPr connection="Provider=Microsoft.Mashup.OleDb.1;Data Source=$Workbook$;Location=STG_Issues_StatusHistory;Extended Properties=&quot;&quot;" command="SELECT * FROM [STG_Issue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ECBAD1F3-A8DF-40A0-B52A-FC07629649D2}" keepAlive="1" name="Abfrage - STG_Stories_Base" description="Verbindung mit der Abfrage 'STG_Stories_Base' in der Arbeitsmappe." type="5" refreshedVersion="0" saveData="1">
    <dbPr connection="Provider=Microsoft.Mashup.OleDb.1;Data Source=$Workbook$;Location=STG_Stories_Base;Extended Properties=&quot;&quot;" command="SELECT * FROM [STG_Stories_Base]"/>
    <extLst>
      <ext xmlns:x15="http://schemas.microsoft.com/office/spreadsheetml/2010/11/main" uri="{DE250136-89BD-433C-8126-D09CA5730AF9}">
        <x15:connection id="" excludeFromRefreshAll="1"/>
      </ext>
    </extLst>
  </connection>
  <connection id="18" xr16:uid="{58D6EDCD-2E80-48F6-B0C7-4ACD03F86740}" keepAlive="1" name="Abfrage - STG_Stories_StatusAgg" description="Verbindung mit der Abfrage 'STG_Stories_StatusAgg' in der Arbeitsmappe." type="5" refreshedVersion="0" saveData="1">
    <dbPr connection="Provider=Microsoft.Mashup.OleDb.1;Data Source=$Workbook$;Location=STG_Stories_StatusAgg;Extended Properties=&quot;&quot;" command="SELECT * FROM [STG_Stories_StatusAgg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6B5B9EF6-D972-4EE9-9F8B-0427832AF67A}" keepAlive="1" name="Abfrage - STG_Stories_StatusEntries" description="Verbindung mit der Abfrage 'STG_Stories_StatusEntries' in der Arbeitsmappe." type="5" refreshedVersion="0" saveData="1">
    <dbPr connection="Provider=Microsoft.Mashup.OleDb.1;Data Source=$Workbook$;Location=STG_Stories_StatusEntries;Extended Properties=&quot;&quot;" command="SELECT * FROM [STG_Stories_StatusEntries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29BCCEA8-B2A1-46ED-A9B1-603959267107}" keepAlive="1" name="Abfrage - STG_Stories_StatusHistory" description="Verbindung mit der Abfrage 'STG_Stories_StatusHistory' in der Arbeitsmappe." type="5" refreshedVersion="0" saveData="1">
    <dbPr connection="Provider=Microsoft.Mashup.OleDb.1;Data Source=$Workbook$;Location=STG_Stories_StatusHistory;Extended Properties=&quot;&quot;" command="SELECT * FROM [STG_Stories_StatusHistory]"/>
    <extLst>
      <ext xmlns:x15="http://schemas.microsoft.com/office/spreadsheetml/2010/11/main" uri="{DE250136-89BD-433C-8126-D09CA5730AF9}">
        <x15:connection id="" excludeFromRefreshAll="1"/>
      </ext>
    </extLst>
  </connection>
  <connection id="21" xr16:uid="{F86CD3F7-90CD-4CBD-992C-9F1CAA32DCAA}" keepAlive="1" name="Abfrage - STG_Stories_StatusLeaves" description="Verbindung mit der Abfrage 'STG_Stories_StatusLeaves' in der Arbeitsmappe." type="5" refreshedVersion="0" saveData="1">
    <dbPr connection="Provider=Microsoft.Mashup.OleDb.1;Data Source=$Workbook$;Location=STG_Stories_StatusLeaves;Extended Properties=&quot;&quot;" command="SELECT * FROM [STG_Stories_StatusLeaves]"/>
    <extLst>
      <ext xmlns:x15="http://schemas.microsoft.com/office/spreadsheetml/2010/11/main" uri="{DE250136-89BD-433C-8126-D09CA5730AF9}">
        <x15:connection id="" excludeFromRefreshAl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<sst xmlns="http://schemas.openxmlformats.org/spreadsheetml/2006/main" count="265" uniqueCount="235">
  <si>
    <t>Squad</t>
  </si>
  <si>
    <t>Akzeptanzkriterien</t>
  </si>
  <si>
    <t>Status</t>
  </si>
  <si>
    <t>Datum</t>
  </si>
  <si>
    <t>ausgewähltes Squad</t>
  </si>
  <si>
    <t>Max</t>
  </si>
  <si>
    <t>Min</t>
  </si>
  <si>
    <t>25% Percentil</t>
  </si>
  <si>
    <t>Median</t>
  </si>
  <si>
    <t>85% Percentil1</t>
  </si>
  <si>
    <t>Max1</t>
  </si>
  <si>
    <t>Min1</t>
  </si>
  <si>
    <t>25% Percentil1</t>
  </si>
  <si>
    <t>Median1</t>
  </si>
  <si>
    <t>85% Percentil2</t>
  </si>
  <si>
    <t>Max2</t>
  </si>
  <si>
    <t>Min2</t>
  </si>
  <si>
    <t>25% Percentil2</t>
  </si>
  <si>
    <t>Median2</t>
  </si>
  <si>
    <t>85% Percentil3</t>
  </si>
  <si>
    <t>Max3</t>
  </si>
  <si>
    <t>Min3</t>
  </si>
  <si>
    <t>25% Percentil3</t>
  </si>
  <si>
    <t>Median3</t>
  </si>
  <si>
    <t>85% Percentil4</t>
  </si>
  <si>
    <t>Max4</t>
  </si>
  <si>
    <t>Min4</t>
  </si>
  <si>
    <t>25% Percentil4</t>
  </si>
  <si>
    <t>Median4</t>
  </si>
  <si>
    <t>85% Percentil5</t>
  </si>
  <si>
    <t>Max5</t>
  </si>
  <si>
    <t>Min5</t>
  </si>
  <si>
    <t>25% Percentil5</t>
  </si>
  <si>
    <t>Median5</t>
  </si>
  <si>
    <t>85% Percentil6</t>
  </si>
  <si>
    <t>Max6</t>
  </si>
  <si>
    <t>Min6</t>
  </si>
  <si>
    <t>25% Percentil6</t>
  </si>
  <si>
    <t>Median6</t>
  </si>
  <si>
    <t>85% Percentil7</t>
  </si>
  <si>
    <t>Max7</t>
  </si>
  <si>
    <t>Min7</t>
  </si>
  <si>
    <t>25% Percentil7</t>
  </si>
  <si>
    <t>Median7</t>
  </si>
  <si>
    <t>85% Percentil8</t>
  </si>
  <si>
    <t>Max8</t>
  </si>
  <si>
    <t>Min8</t>
  </si>
  <si>
    <t>25% Percentil8</t>
  </si>
  <si>
    <t>Median8</t>
  </si>
  <si>
    <t>85% Percentil9</t>
  </si>
  <si>
    <t>Max9</t>
  </si>
  <si>
    <t>Min9</t>
  </si>
  <si>
    <t>25% Percentil9</t>
  </si>
  <si>
    <t>Median9</t>
  </si>
  <si>
    <t>85% Percentil10</t>
  </si>
  <si>
    <t>Max10</t>
  </si>
  <si>
    <t>Min10</t>
  </si>
  <si>
    <t>25% Percentil10</t>
  </si>
  <si>
    <t>Median10</t>
  </si>
  <si>
    <t>85% Percentil11</t>
  </si>
  <si>
    <t>Max11</t>
  </si>
  <si>
    <t>Min11</t>
  </si>
  <si>
    <t>25% Percentil11</t>
  </si>
  <si>
    <t>Median11</t>
  </si>
  <si>
    <t>85% Percentil12</t>
  </si>
  <si>
    <t>Max12</t>
  </si>
  <si>
    <t>Min12</t>
  </si>
  <si>
    <t>25% Percentil12</t>
  </si>
  <si>
    <t>Median12</t>
  </si>
  <si>
    <t>85% Percentil13</t>
  </si>
  <si>
    <t>Max13</t>
  </si>
  <si>
    <t>Min13</t>
  </si>
  <si>
    <t>25% Percentil13</t>
  </si>
  <si>
    <t>Median13</t>
  </si>
  <si>
    <t>85% Percentil14</t>
  </si>
  <si>
    <t>Max14</t>
  </si>
  <si>
    <t>Min14</t>
  </si>
  <si>
    <t>25% Percentil14</t>
  </si>
  <si>
    <t>Median14</t>
  </si>
  <si>
    <t>85% Percentil12222222226</t>
  </si>
  <si>
    <t>Max13333333337</t>
  </si>
  <si>
    <t>Min14444444448</t>
  </si>
  <si>
    <t>25% Percentil15555555559</t>
  </si>
  <si>
    <t>Median166666666610</t>
  </si>
  <si>
    <t>Open</t>
  </si>
  <si>
    <t>High</t>
  </si>
  <si>
    <t>Low</t>
  </si>
  <si>
    <t>Close</t>
  </si>
  <si>
    <t>In Progress</t>
  </si>
  <si>
    <t>Resolved</t>
  </si>
  <si>
    <t>CycleTime</t>
  </si>
  <si>
    <t>Project</t>
  </si>
  <si>
    <t>Modifier</t>
  </si>
  <si>
    <t>Jira-ID</t>
  </si>
  <si>
    <t>project.key</t>
  </si>
  <si>
    <t>project.name</t>
  </si>
  <si>
    <t>Issue-Type</t>
  </si>
  <si>
    <t>Created (Status New)</t>
  </si>
  <si>
    <t>Blockiert/Wartend</t>
  </si>
  <si>
    <t>Issue-Status</t>
  </si>
  <si>
    <t>Status-Kategorie</t>
  </si>
  <si>
    <t>New</t>
  </si>
  <si>
    <t>Analysed</t>
  </si>
  <si>
    <t>Resume</t>
  </si>
  <si>
    <t>Evaluated</t>
  </si>
  <si>
    <t>Refinement</t>
  </si>
  <si>
    <t>Ready4Progress</t>
  </si>
  <si>
    <t>Blocked</t>
  </si>
  <si>
    <t>Ready4QS</t>
  </si>
  <si>
    <t>Ready4Test</t>
  </si>
  <si>
    <t>In Test</t>
  </si>
  <si>
    <t>Ready4Review</t>
  </si>
  <si>
    <t>Ready4Production</t>
  </si>
  <si>
    <t>Ready4E2E-Test</t>
  </si>
  <si>
    <t>Blockiert/Wartend_Grund</t>
  </si>
  <si>
    <t>Blockiert/Wartend_Zustand</t>
  </si>
  <si>
    <t>TimeInStatusBlocked</t>
  </si>
  <si>
    <t>LeadTime</t>
  </si>
  <si>
    <t>TimeInWIP</t>
  </si>
  <si>
    <t>TimeInActualStatus</t>
  </si>
  <si>
    <t>LoadedFromJiraAt</t>
  </si>
  <si>
    <t>issues.key</t>
  </si>
  <si>
    <t>BlockedReason</t>
  </si>
  <si>
    <t>BlockedStart</t>
  </si>
  <si>
    <t>BlockedEnd</t>
  </si>
  <si>
    <t>BlockedDuration</t>
  </si>
  <si>
    <t>BlockedDurationHours</t>
  </si>
  <si>
    <t>Wie oft in Blocked</t>
  </si>
  <si>
    <t>BlockiertWartendSeit</t>
  </si>
  <si>
    <t>BlockedEndeHilfsSpalte</t>
  </si>
  <si>
    <t>Kurzbeschreibung</t>
  </si>
  <si>
    <t>Stage</t>
  </si>
  <si>
    <t>EPIC-Kategorie</t>
  </si>
  <si>
    <t>BlockedSeq</t>
  </si>
  <si>
    <t>Rejected</t>
  </si>
  <si>
    <t>UNCALLED</t>
  </si>
  <si>
    <t>To Do</t>
  </si>
  <si>
    <t>Done</t>
  </si>
  <si>
    <t>Analysed_first</t>
  </si>
  <si>
    <t>leaving_Analysed_first</t>
  </si>
  <si>
    <t>leaving_Analysed</t>
  </si>
  <si>
    <t>Analysed_Count</t>
  </si>
  <si>
    <t>Blocked_first</t>
  </si>
  <si>
    <t>leaving_Blocked_first</t>
  </si>
  <si>
    <t>leaving_Blocked</t>
  </si>
  <si>
    <t>Blocked_Count</t>
  </si>
  <si>
    <t>Evaluated_first</t>
  </si>
  <si>
    <t>leaving_Evaluated_first</t>
  </si>
  <si>
    <t>leaving_Evaluated</t>
  </si>
  <si>
    <t>Evaluated_Count</t>
  </si>
  <si>
    <t>In Progress_first</t>
  </si>
  <si>
    <t>leaving_In Progress_first</t>
  </si>
  <si>
    <t>leaving_In Progress</t>
  </si>
  <si>
    <t>In Progress_Count</t>
  </si>
  <si>
    <t>In QS</t>
  </si>
  <si>
    <t>In QS_first</t>
  </si>
  <si>
    <t>leaving_In QS_first</t>
  </si>
  <si>
    <t>leaving_In QS</t>
  </si>
  <si>
    <t>In QS_Count</t>
  </si>
  <si>
    <t>In Test_first</t>
  </si>
  <si>
    <t>leaving_In Test_first</t>
  </si>
  <si>
    <t>leaving_In Test</t>
  </si>
  <si>
    <t>In Test_Count</t>
  </si>
  <si>
    <t>New_first</t>
  </si>
  <si>
    <t>leaving_New_first</t>
  </si>
  <si>
    <t>leaving_New</t>
  </si>
  <si>
    <t>New_Count</t>
  </si>
  <si>
    <t>Open_first</t>
  </si>
  <si>
    <t>Open_Count</t>
  </si>
  <si>
    <t>Ready4E2E-Test_first</t>
  </si>
  <si>
    <t>leaving_Ready4E2E-Test_first</t>
  </si>
  <si>
    <t>leaving_Ready4E2E-Test</t>
  </si>
  <si>
    <t>Ready4E2E-Test_Count</t>
  </si>
  <si>
    <t>Ready4Production_first</t>
  </si>
  <si>
    <t>leaving_Ready4Production_first</t>
  </si>
  <si>
    <t>leaving_Ready4Production</t>
  </si>
  <si>
    <t>Ready4Production_Count</t>
  </si>
  <si>
    <t>Ready4Progress_first</t>
  </si>
  <si>
    <t>leaving_Ready4Progress_first</t>
  </si>
  <si>
    <t>leaving_Ready4Progress</t>
  </si>
  <si>
    <t>Ready4Progress_Count</t>
  </si>
  <si>
    <t>Ready4QS_first</t>
  </si>
  <si>
    <t>leaving_Ready4QS_first</t>
  </si>
  <si>
    <t>leaving_Ready4QS</t>
  </si>
  <si>
    <t>Ready4QS_Count</t>
  </si>
  <si>
    <t>Ready4Review_first</t>
  </si>
  <si>
    <t>leaving_Ready4Review_first</t>
  </si>
  <si>
    <t>leaving_Ready4Review</t>
  </si>
  <si>
    <t>Ready4Review_Count</t>
  </si>
  <si>
    <t>Refinement_first</t>
  </si>
  <si>
    <t>leaving_Refinement_first</t>
  </si>
  <si>
    <t>leaving_Refinement</t>
  </si>
  <si>
    <t>Refinement_Count</t>
  </si>
  <si>
    <t>Rejected_first</t>
  </si>
  <si>
    <t>Rejected_Count</t>
  </si>
  <si>
    <t>Resolved_first</t>
  </si>
  <si>
    <t>Resolved_Count</t>
  </si>
  <si>
    <t>Resume_first</t>
  </si>
  <si>
    <t>leaving_Resume_first</t>
  </si>
  <si>
    <t>leaving_Resume</t>
  </si>
  <si>
    <t>Resume_Count</t>
  </si>
  <si>
    <t>Ready4Test_first</t>
  </si>
  <si>
    <t>leaving_Ready4Test_first</t>
  </si>
  <si>
    <t>leaving_Ready4Test</t>
  </si>
  <si>
    <t>Ready4Test_Count</t>
  </si>
  <si>
    <t>Done_first</t>
  </si>
  <si>
    <t>Done_Count</t>
  </si>
  <si>
    <t>Review</t>
  </si>
  <si>
    <t>Review_first</t>
  </si>
  <si>
    <t>Review_Count</t>
  </si>
  <si>
    <t>To Do_first</t>
  </si>
  <si>
    <t>To Do_Count</t>
  </si>
  <si>
    <t>To be tested</t>
  </si>
  <si>
    <t>To be tested_first</t>
  </si>
  <si>
    <t>To be tested_Count</t>
  </si>
  <si>
    <t>Analyse</t>
  </si>
  <si>
    <t>Call For Ice</t>
  </si>
  <si>
    <t>Closed</t>
  </si>
  <si>
    <t>Commitment</t>
  </si>
  <si>
    <t>Ready for Dev</t>
  </si>
  <si>
    <t>Refined</t>
  </si>
  <si>
    <t>Reopened</t>
  </si>
  <si>
    <t>Story Mapping</t>
  </si>
  <si>
    <t>Validierung</t>
  </si>
  <si>
    <t>Warten</t>
  </si>
  <si>
    <t>Won't Do</t>
  </si>
  <si>
    <t>Won't Fix</t>
  </si>
  <si>
    <t>Selected</t>
  </si>
  <si>
    <t>Selected_first</t>
  </si>
  <si>
    <t>Selected_Count</t>
  </si>
  <si>
    <t>Validierung_first</t>
  </si>
  <si>
    <t>Validierung_Count</t>
  </si>
  <si>
    <t>Warten_first</t>
  </si>
  <si>
    <t>Warten_Count</t>
  </si>
  <si>
    <t>Skala 1-5 (1=niedrig; 5=hoch)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</si>
</sst>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/yy"/>
    <numFmt numFmtId="165" formatCode="dd/mm/yyyy\ hh:mm:ss"/>
    <numFmt numFmtId="166" formatCode="d/hh:mm:ss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medium">
        <color indexed="64"/>
      </right>
      <top style="thin">
        <color auto="1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164" fontId="0" fillId="2" borderId="3" xfId="0" applyNumberFormat="1" applyFill="1" applyBorder="1"/>
    <xf numFmtId="0" fontId="4" fillId="2" borderId="0" xfId="0" applyFont="1" applyFill="1"/>
    <xf numFmtId="0" fontId="5" fillId="2" borderId="0" xfId="0" applyFont="1" applyFill="1"/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6" fillId="0" borderId="1" xfId="0" applyFont="1" applyBorder="1" applyProtection="1">
      <protection locked="0"/>
    </xf>
    <xf numFmtId="22" fontId="0" fillId="0" borderId="0" xfId="0" applyNumberFormat="1"/>
    <xf numFmtId="0" fontId="7" fillId="2" borderId="0" xfId="0" applyFont="1" applyFill="1"/>
    <xf numFmtId="0" fontId="2" fillId="2" borderId="2" xfId="0" applyFont="1" applyFill="1" applyBorder="1" applyAlignment="1">
      <alignment horizontal="center"/>
    </xf>
    <xf numFmtId="0" fontId="0" fillId="2" borderId="2" xfId="0" applyFill="1" applyBorder="1"/>
    <xf numFmtId="0" fontId="2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2" borderId="13" xfId="0" applyFont="1" applyFill="1" applyBorder="1"/>
    <xf numFmtId="0" fontId="4" fillId="2" borderId="14" xfId="0" applyFont="1" applyFill="1" applyBorder="1"/>
    <xf numFmtId="0" fontId="3" fillId="2" borderId="15" xfId="0" applyFont="1" applyFill="1" applyBorder="1" applyAlignment="1">
      <alignment horizontal="center"/>
    </xf>
    <xf numFmtId="1" fontId="0" fillId="2" borderId="16" xfId="0" applyNumberFormat="1" applyFill="1" applyBorder="1"/>
    <xf numFmtId="1" fontId="0" fillId="5" borderId="5" xfId="0" applyNumberFormat="1" applyFill="1" applyBorder="1"/>
    <xf numFmtId="1" fontId="0" fillId="5" borderId="17" xfId="0" applyNumberFormat="1" applyFill="1" applyBorder="1"/>
    <xf numFmtId="1" fontId="0" fillId="5" borderId="16" xfId="0" applyNumberFormat="1" applyFill="1" applyBorder="1"/>
    <xf numFmtId="1" fontId="0" fillId="2" borderId="18" xfId="0" applyNumberFormat="1" applyFill="1" applyBorder="1"/>
    <xf numFmtId="1" fontId="0" fillId="5" borderId="19" xfId="0" applyNumberFormat="1" applyFill="1" applyBorder="1"/>
    <xf numFmtId="1" fontId="0" fillId="5" borderId="20" xfId="0" applyNumberFormat="1" applyFill="1" applyBorder="1"/>
    <xf numFmtId="1" fontId="0" fillId="5" borderId="18" xfId="0" applyNumberFormat="1" applyFill="1" applyBorder="1"/>
    <xf numFmtId="165" fontId="7" fillId="2" borderId="0" xfId="0" applyNumberFormat="1" applyFont="1" applyFill="1"/>
    <xf numFmtId="1" fontId="4" fillId="2" borderId="0" xfId="0" applyNumberFormat="1" applyFont="1" applyFill="1"/>
    <xf numFmtId="166" fontId="0" fillId="0" borderId="0" xfId="0" applyNumberFormat="1"/>
    <xf numFmtId="164" fontId="0" fillId="2" borderId="6" xfId="0" applyNumberFormat="1" applyFill="1" applyBorder="1"/>
    <xf numFmtId="164" fontId="0" fillId="2" borderId="4" xfId="0" applyNumberFormat="1" applyFill="1" applyBorder="1"/>
    <xf numFmtId="0" fontId="0" fillId="0" borderId="1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0" fillId="2" borderId="21" xfId="0" applyFill="1" applyBorder="1" applyAlignment="1">
      <alignment horizontal="left"/>
    </xf>
    <xf numFmtId="0" fontId="2" fillId="0" borderId="22" xfId="0" applyFont="1" applyBorder="1" applyAlignment="1">
      <alignment horizontal="center"/>
    </xf>
    <xf numFmtId="164" fontId="0" fillId="6" borderId="22" xfId="0" applyNumberFormat="1" applyFill="1" applyBorder="1"/>
    <xf numFmtId="0" fontId="0" fillId="6" borderId="22" xfId="0" applyFill="1" applyBorder="1"/>
    <xf numFmtId="0" fontId="0" fillId="6" borderId="22" xfId="0" applyFill="1" applyBorder="1" applyProtection="1">
      <protection locked="0"/>
    </xf>
    <xf numFmtId="164" fontId="0" fillId="0" borderId="0" xfId="0" applyNumberFormat="1"/>
    <xf numFmtId="164" fontId="0" fillId="6" borderId="0" xfId="0" applyNumberFormat="1" applyFill="1"/>
    <xf numFmtId="0" fontId="0" fillId="6" borderId="0" xfId="0" applyFill="1"/>
    <xf numFmtId="0" fontId="0" fillId="6" borderId="0" xfId="0" applyFill="1" applyProtection="1">
      <protection locked="0"/>
    </xf>
    <xf numFmtId="164" fontId="0" fillId="6" borderId="21" xfId="0" applyNumberFormat="1" applyFill="1" applyBorder="1"/>
    <xf numFmtId="0" fontId="0" fillId="6" borderId="21" xfId="0" applyFill="1" applyBorder="1"/>
    <xf numFmtId="0" fontId="0" fillId="6" borderId="21" xfId="0" applyFill="1" applyBorder="1" applyProtection="1">
      <protection locked="0"/>
    </xf>
  </cellXfs>
  <cellStyles count="1">
    <cellStyle name="Standard" xfId="0" builtinId="0"/>
  </cellStyles>
  <dxfs count="218"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166" formatCode="d/hh:mm:ss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protection locked="0" hidden="0"/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auto="1"/>
        </left>
        <right style="medium">
          <color auto="1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rgb="FF000000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numFmt numFmtId="164" formatCode="m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000000"/>
          <bgColor theme="0"/>
        </patternFill>
      </fill>
    </dxf>
    <dxf>
      <border>
        <bottom style="thin">
          <color rgb="FF000000"/>
        </bottom>
      </border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LeadTime_CS!$H$2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LeadTime_CS!$H$4:$H$16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9-4E6F-BB75-C6265B35A0F4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LeadTime_CS!$I$4:$I$16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9-4E6F-BB75-C6265B35A0F4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3"/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LeadTime_CS!$J$4:$J$16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9-4E6F-BB75-C6265B35A0F4}"/>
            </c:ext>
          </c:extLst>
        </c:ser>
        <c:ser>
          <c:idx val="3"/>
          <c:order val="3"/>
          <c:tx>
            <c:strRef>
              <c:f>LeadTime_CS!$F$3</c:f>
              <c:strCache>
                <c:ptCount val="1"/>
                <c:pt idx="0">
                  <c:v>25% Percentil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4"/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LeadTime_CS!$K$4:$K$16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9-4E6F-BB75-C6265B35A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LeadTime_CS!$L$4:$L$16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9-4E6F-BB75-C6265B35A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LeadTime_CS!$M$2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LeadTime_CS!$M$4:$M$16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16-41B5-ACCB-7D5C12F5819A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LeadTime_CS!$N$4:$N$16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16-41B5-ACCB-7D5C12F5819A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LeadTime_CS!$O$4:$O$16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16-41B5-ACCB-7D5C12F5819A}"/>
            </c:ext>
          </c:extLst>
        </c:ser>
        <c:ser>
          <c:idx val="3"/>
          <c:order val="3"/>
          <c:tx>
            <c:strRef>
              <c:f>LeadTime_CS!$F$3</c:f>
              <c:strCache>
                <c:ptCount val="1"/>
                <c:pt idx="0">
                  <c:v>25% Percentil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LeadTime_CS!$P$4:$P$16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16-41B5-ACCB-7D5C12F58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LeadTime_CS!$Q$4:$Q$16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16-41B5-ACCB-7D5C12F58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LeadTime_CS!$R$2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LeadTime_CS!$R$4:$R$16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B-405C-B3EF-CA77A06AC1A1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LeadTime_CS!$S$4:$S$16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B-405C-B3EF-CA77A06AC1A1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accent3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LeadTime_CS!$T$4:$T$16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B-405C-B3EF-CA77A06AC1A1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LeadTime_CS!$U$4:$U$16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B-405C-B3EF-CA77A06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LeadTime_CS!$V$4:$V$16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0B-405C-B3EF-CA77A06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LeadTime_CS!$W$2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LeadTime_CS!$W$4:$W$16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A-42FD-B856-A67CF70033F4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LeadTime_CS!$X$4:$X$16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6A-42FD-B856-A67CF70033F4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LeadTime_CS!$Y$4:$Y$16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A-42FD-B856-A67CF70033F4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LeadTime_CS!$Z$4:$Z$16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6A-42FD-B856-A67CF7003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LeadTime_CS!$AA$4:$AA$16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6A-42FD-B856-A67CF7003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LeadTime_CS!$AB$2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LeadTime_CS!$AB$4:$AB$16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BD-4508-82E1-830D5DCCDAF9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dPt>
            <c:idx val="11"/>
            <c:marker>
              <c:symbol val="dash"/>
              <c:size val="5"/>
              <c:spPr>
                <a:solidFill>
                  <a:schemeClr val="tx2"/>
                </a:solidFill>
                <a:ln w="9525">
                  <a:solidFill>
                    <a:schemeClr val="tx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BD-4508-82E1-830D5DCCDAF9}"/>
              </c:ext>
            </c:extLst>
          </c:dPt>
          <c:val>
            <c:numRef>
              <c:f>LeadTime_CS!$AC$4:$AC$16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BD-4508-82E1-830D5DCCDAF9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LeadTime_CS!$AD$4:$AD$16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BD-4508-82E1-830D5DCCDAF9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LeadTime_CS!$AE$4:$AE$16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BD-4508-82E1-830D5DCCD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LeadTime_CS!$AF$4:$AF$16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BD-4508-82E1-830D5DCCD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LeadTime_CS!$AG$2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LeadTime_CS!$AG$4:$AG$16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9-4C74-BE95-48006195E4C2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LeadTime_CS!$AH$4:$AH$16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D9-4C74-BE95-48006195E4C2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LeadTime_CS!$AI$4:$AI$16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D9-4C74-BE95-48006195E4C2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LeadTime_CS!$AJ$4:$AJ$16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D9-4C74-BE95-48006195E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LeadTime_CS!$AK$4:$AK$16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D9-4C74-BE95-48006195E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LeadTime_CS!$AL$2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LeadTime_CS!$AL$4:$AL$16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79-4C6F-8A00-A37D1D2EBAE5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LeadTime_CS!$AM$4:$AM$16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79-4C6F-8A00-A37D1D2EBAE5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LeadTime_CS!$AN$4:$AN$16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79-4C6F-8A00-A37D1D2EBAE5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LeadTime_CS!$AO$4:$AO$16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79-4C6F-8A00-A37D1D2EBAE5}"/>
            </c:ext>
          </c:extLst>
        </c:ser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LeadTime_CS!$AP$4:$AP$16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79-4C6F-8A00-A37D1D2EB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LeadTime_CS!$AQ$2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LeadTime_CS!$AQ$4:$AQ$16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0A-4701-ADFC-DDB647A18CC6}"/>
            </c:ext>
          </c:extLst>
        </c:ser>
        <c:ser>
          <c:idx val="1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val>
            <c:numRef>
              <c:f>LeadTime_CS!$AR$4:$AR$16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0A-4701-ADFC-DDB647A18CC6}"/>
            </c:ext>
          </c:extLst>
        </c:ser>
        <c:ser>
          <c:idx val="2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LeadTime_CS!$AS$4:$AS$16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0A-4701-ADFC-DDB647A18CC6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LeadTime_CS!$AT$4:$AT$16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0A-4701-ADFC-DDB647A18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LeadTime_CS!$AU$4:$AU$16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0A-4701-ADFC-DDB647A18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LeadTime_CS!$AV$2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LeadTime_CS!$AV$4:$AV$16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C-4752-A98C-9A95E6270690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LeadTime_CS!$AW$4:$AW$16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C-4752-A98C-9A95E6270690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LeadTime_CS!$AX$4:$AX$16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C-4752-A98C-9A95E6270690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LeadTime_CS!$AX$2:$AX$16</c:f>
              <c:numCache>
                <c:formatCode>General</c:formatCode>
                <c:ptCount val="15"/>
                <c:pt idx="1">
                  <c:v>0</c:v>
                </c:pt>
                <c:pt idx="2" formatCode="0">
                  <c:v>0</c:v>
                </c:pt>
                <c:pt idx="3" formatCode="0">
                  <c:v>0</c:v>
                </c:pt>
                <c:pt idx="4" formatCode="0">
                  <c:v>0</c:v>
                </c:pt>
                <c:pt idx="5" formatCode="0">
                  <c:v>0</c:v>
                </c:pt>
                <c:pt idx="6" formatCode="0">
                  <c:v>0</c:v>
                </c:pt>
                <c:pt idx="7" formatCode="0">
                  <c:v>0</c:v>
                </c:pt>
                <c:pt idx="8" formatCode="0">
                  <c:v>0</c:v>
                </c:pt>
                <c:pt idx="9" formatCode="0">
                  <c:v>0</c:v>
                </c:pt>
                <c:pt idx="10" formatCode="0">
                  <c:v>0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0</c:v>
                </c:pt>
                <c:pt idx="14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C-4752-A98C-9A95E6270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LeadTime_CS!$AY$2:$AY$16</c:f>
              <c:numCache>
                <c:formatCode>General</c:formatCode>
                <c:ptCount val="15"/>
                <c:pt idx="1">
                  <c:v>0</c:v>
                </c:pt>
                <c:pt idx="2" formatCode="0">
                  <c:v>0</c:v>
                </c:pt>
                <c:pt idx="3" formatCode="0">
                  <c:v>0</c:v>
                </c:pt>
                <c:pt idx="4" formatCode="0">
                  <c:v>0</c:v>
                </c:pt>
                <c:pt idx="5" formatCode="0">
                  <c:v>0</c:v>
                </c:pt>
                <c:pt idx="6" formatCode="0">
                  <c:v>0</c:v>
                </c:pt>
                <c:pt idx="7" formatCode="0">
                  <c:v>0</c:v>
                </c:pt>
                <c:pt idx="8" formatCode="0">
                  <c:v>0</c:v>
                </c:pt>
                <c:pt idx="9" formatCode="0">
                  <c:v>0</c:v>
                </c:pt>
                <c:pt idx="10" formatCode="0">
                  <c:v>0</c:v>
                </c:pt>
                <c:pt idx="11" formatCode="0">
                  <c:v>0</c:v>
                </c:pt>
                <c:pt idx="12" formatCode="0">
                  <c:v>0</c:v>
                </c:pt>
                <c:pt idx="13" formatCode="0">
                  <c:v>0</c:v>
                </c:pt>
                <c:pt idx="14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4C-4752-A98C-9A95E6270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LeadTime_CS!$BA$2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LeadTime_CS!$BA$4:$BA$16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E9-4F22-80CF-58C1F2ECB56E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LeadTime_CS!$BB$4:$BB$16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E9-4F22-80CF-58C1F2ECB56E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val>
            <c:numRef>
              <c:f>LeadTime_CS!$BC$4:$BC$16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E9-4F22-80CF-58C1F2ECB56E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val>
            <c:numRef>
              <c:f>LeadTime_CS!$BD$4:$BD$16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E9-4F22-80CF-58C1F2ECB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LeadTime_CS!$BE$4:$BE$16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E9-4F22-80CF-58C1F2ECB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cat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Algn val="ctr"/>
        <c:lblOffset val="100"/>
        <c:noMultiLvlLbl val="0"/>
      </c:cat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LeadTime_CS!$BF$2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LeadTime_CS!$BF$4:$BF$16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8-4138-80F5-09F434B384A1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LeadTime_CS!$BG$4:$BG$16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8-4138-80F5-09F434B384A1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LeadTime_CS!$BH$4:$BH$16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E8-4138-80F5-09F434B384A1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LeadTime_CS!$BI$4:$BI$16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E8-4138-80F5-09F434B38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LeadTime_CS!$BJ$4:$BJ$16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E8-4138-80F5-09F434B38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LeadTime_CS!$BK$2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LeadTime_CS!$BK$4:$BK$16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D-4960-9620-3EB3B88B59E2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LeadTime_CS!$BL$4:$BL$16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1D-4960-9620-3EB3B88B59E2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LeadTime_CS!$BM$4:$BM$16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1D-4960-9620-3EB3B88B59E2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LeadTime_CS!$BN$4:$BN$16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1D-4960-9620-3EB3B88B5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LeadTime_CS!$BO$4:$BO$16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1D-4960-9620-3EB3B88B5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LeadTime_CS!$BP$2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LeadTime_CS!$BP$4:$BP$16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8D-4BC2-A9EF-F2EFE18AFE6D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LeadTime_CS!$BQ$4:$BQ$16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8D-4BC2-A9EF-F2EFE18AFE6D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LeadTime_CS!$BR$4:$BR$16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8D-4BC2-A9EF-F2EFE18AFE6D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LeadTime_CS!$BS$4:$BS$16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8D-4BC2-A9EF-F2EFE18AF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LeadTime_CS!$BT$4:$BT$16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8D-4BC2-A9EF-F2EFE18AF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LeadTime_CS!$BU$2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LeadTime_CS!$BU$4:$BU$16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22-4F62-BFDB-D9DC9CF1B3F8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LeadTime_CS!$BV$4:$BV$16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2-4F62-BFDB-D9DC9CF1B3F8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LeadTime_CS!$BW$4:$BW$16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2-4F62-BFDB-D9DC9CF1B3F8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LeadTime_CS!$BX$4:$BX$16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22-4F62-BFDB-D9DC9CF1B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LeadTime_CS!$BY$4:$BY$16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22-4F62-BFDB-D9DC9CF1B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LeadTime_CS!$BZ$2</c:f>
          <c:strCache>
            <c:ptCount val="1"/>
            <c:pt idx="0">
              <c:v>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tockChart>
        <c:ser>
          <c:idx val="0"/>
          <c:order val="0"/>
          <c:tx>
            <c:v>85%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LeadTime_CS!$BZ$4:$BZ$16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FC-4FAE-B897-EB6342E3C09D}"/>
            </c:ext>
          </c:extLst>
        </c:ser>
        <c:ser>
          <c:idx val="2"/>
          <c:order val="1"/>
          <c:tx>
            <c:v>Max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LeadTime_CS!$CA$4:$CA$16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FC-4FAE-B897-EB6342E3C09D}"/>
            </c:ext>
          </c:extLst>
        </c:ser>
        <c:ser>
          <c:idx val="1"/>
          <c:order val="2"/>
          <c:tx>
            <c:v>Min</c:v>
          </c:tx>
          <c:spPr>
            <a:ln w="25400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LeadTime_CS!$CB$4:$CB$16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FC-4FAE-B897-EB6342E3C09D}"/>
            </c:ext>
          </c:extLst>
        </c:ser>
        <c:ser>
          <c:idx val="3"/>
          <c:order val="3"/>
          <c:tx>
            <c:v>25% Percentil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LeadTime_CS!$CC$4:$CC$16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FC-4FAE-B897-EB6342E3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</c:downBars>
        </c:upDownBars>
        <c:axId val="837022184"/>
        <c:axId val="837022544"/>
      </c:stockChart>
      <c:stockChart>
        <c:ser>
          <c:idx val="4"/>
          <c:order val="4"/>
          <c:tx>
            <c:v>Median</c:v>
          </c:tx>
          <c:spPr>
            <a:ln w="95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LeadTime_CS!$B$4:$B$16</c:f>
              <c:numCache>
                <c:formatCode>mmm/yy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LeadTime_CS!$CD$4:$CD$16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FC-4FAE-B897-EB6342E3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022184"/>
        <c:axId val="837022544"/>
      </c:stockChart>
      <c:dateAx>
        <c:axId val="837022184"/>
        <c:scaling>
          <c:orientation val="minMax"/>
        </c:scaling>
        <c:delete val="0"/>
        <c:axPos val="b"/>
        <c:numFmt formatCode="mmm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544"/>
        <c:crosses val="autoZero"/>
        <c:auto val="1"/>
        <c:lblOffset val="100"/>
        <c:baseTimeUnit val="months"/>
      </c:dateAx>
      <c:valAx>
        <c:axId val="837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7022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2.svg"/><Relationship Id="rId2" Type="http://schemas.openxmlformats.org/officeDocument/2006/relationships/chart" Target="../charts/chart2.xml"/><Relationship Id="rId16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777241</xdr:colOff>
      <xdr:row>17</xdr:row>
      <xdr:rowOff>111030</xdr:rowOff>
    </xdr:from>
    <xdr:to>
      <xdr:col>10</xdr:col>
      <xdr:colOff>139527</xdr:colOff>
      <xdr:row>37</xdr:row>
      <xdr:rowOff>31659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CC59AE7-F034-4C0D-8532-C1A3B96CF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327299</xdr:colOff>
      <xdr:row>17</xdr:row>
      <xdr:rowOff>111030</xdr:rowOff>
    </xdr:from>
    <xdr:to>
      <xdr:col>19</xdr:col>
      <xdr:colOff>473356</xdr:colOff>
      <xdr:row>37</xdr:row>
      <xdr:rowOff>31659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682FE95-52BE-4068-9FB0-1B3AB2DB2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661128</xdr:colOff>
      <xdr:row>17</xdr:row>
      <xdr:rowOff>111030</xdr:rowOff>
    </xdr:from>
    <xdr:to>
      <xdr:col>29</xdr:col>
      <xdr:colOff>23414</xdr:colOff>
      <xdr:row>37</xdr:row>
      <xdr:rowOff>31659</xdr:rowOff>
    </xdr:to>
    <xdr:graphicFrame macro="">
      <xdr:nvGraphicFramePr>
        <xdr:cNvPr id="19" name="Diagramm 3">
          <a:extLst>
            <a:ext uri="{FF2B5EF4-FFF2-40B4-BE49-F238E27FC236}">
              <a16:creationId xmlns:a16="http://schemas.microsoft.com/office/drawing/2014/main" id="{74F13ED3-1823-4084-817A-71DB2B4B2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211185</xdr:colOff>
      <xdr:row>17</xdr:row>
      <xdr:rowOff>111030</xdr:rowOff>
    </xdr:from>
    <xdr:to>
      <xdr:col>38</xdr:col>
      <xdr:colOff>357242</xdr:colOff>
      <xdr:row>37</xdr:row>
      <xdr:rowOff>31659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5509FCA9-8369-48C1-ABA1-FAD7E2D91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772886</xdr:colOff>
      <xdr:row>38</xdr:row>
      <xdr:rowOff>87086</xdr:rowOff>
    </xdr:from>
    <xdr:to>
      <xdr:col>10</xdr:col>
      <xdr:colOff>135172</xdr:colOff>
      <xdr:row>59</xdr:row>
      <xdr:rowOff>29486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6BDD1E84-9B68-484D-A1EB-9725E8E20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324395</xdr:colOff>
      <xdr:row>38</xdr:row>
      <xdr:rowOff>87086</xdr:rowOff>
    </xdr:from>
    <xdr:to>
      <xdr:col>19</xdr:col>
      <xdr:colOff>470452</xdr:colOff>
      <xdr:row>59</xdr:row>
      <xdr:rowOff>29486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2CEB47A1-0278-4B21-A4E4-18D02647C1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659675</xdr:colOff>
      <xdr:row>38</xdr:row>
      <xdr:rowOff>87086</xdr:rowOff>
    </xdr:from>
    <xdr:to>
      <xdr:col>29</xdr:col>
      <xdr:colOff>21961</xdr:colOff>
      <xdr:row>59</xdr:row>
      <xdr:rowOff>29486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6388DE1D-263D-4A92-9352-E43EB75DE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211185</xdr:colOff>
      <xdr:row>38</xdr:row>
      <xdr:rowOff>87086</xdr:rowOff>
    </xdr:from>
    <xdr:to>
      <xdr:col>38</xdr:col>
      <xdr:colOff>357242</xdr:colOff>
      <xdr:row>59</xdr:row>
      <xdr:rowOff>29486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BC0B6ECA-AB9A-4F10-A31D-55A86C1E4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743430</xdr:colOff>
      <xdr:row>60</xdr:row>
      <xdr:rowOff>61046</xdr:rowOff>
    </xdr:from>
    <xdr:to>
      <xdr:col>10</xdr:col>
      <xdr:colOff>105716</xdr:colOff>
      <xdr:row>81</xdr:row>
      <xdr:rowOff>3446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7889B34E-822C-476F-86B7-8FB5CF2F3A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305665</xdr:colOff>
      <xdr:row>60</xdr:row>
      <xdr:rowOff>61046</xdr:rowOff>
    </xdr:from>
    <xdr:to>
      <xdr:col>19</xdr:col>
      <xdr:colOff>451722</xdr:colOff>
      <xdr:row>81</xdr:row>
      <xdr:rowOff>3446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A53397CA-BFF6-4CB3-8CE2-0F8D92EE9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651671</xdr:colOff>
      <xdr:row>60</xdr:row>
      <xdr:rowOff>61046</xdr:rowOff>
    </xdr:from>
    <xdr:to>
      <xdr:col>29</xdr:col>
      <xdr:colOff>13957</xdr:colOff>
      <xdr:row>81</xdr:row>
      <xdr:rowOff>3446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A2B7A5BF-6EA6-4D3F-A658-622AA6957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213906</xdr:colOff>
      <xdr:row>60</xdr:row>
      <xdr:rowOff>61046</xdr:rowOff>
    </xdr:from>
    <xdr:to>
      <xdr:col>38</xdr:col>
      <xdr:colOff>357242</xdr:colOff>
      <xdr:row>81</xdr:row>
      <xdr:rowOff>3446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E1DE0C9C-2C75-4FBC-A06A-192FC0BE7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704850</xdr:colOff>
      <xdr:row>82</xdr:row>
      <xdr:rowOff>9525</xdr:rowOff>
    </xdr:from>
    <xdr:to>
      <xdr:col>10</xdr:col>
      <xdr:colOff>67136</xdr:colOff>
      <xdr:row>102</xdr:row>
      <xdr:rowOff>123375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8E3B0E94-9538-4E12-9326-2091746A4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287735</xdr:colOff>
      <xdr:row>82</xdr:row>
      <xdr:rowOff>9525</xdr:rowOff>
    </xdr:from>
    <xdr:to>
      <xdr:col>19</xdr:col>
      <xdr:colOff>431071</xdr:colOff>
      <xdr:row>102</xdr:row>
      <xdr:rowOff>123375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B4F0C509-B9D7-48B3-9DB9-F79DA3806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651671</xdr:colOff>
      <xdr:row>82</xdr:row>
      <xdr:rowOff>9525</xdr:rowOff>
    </xdr:from>
    <xdr:to>
      <xdr:col>29</xdr:col>
      <xdr:colOff>13957</xdr:colOff>
      <xdr:row>102</xdr:row>
      <xdr:rowOff>123375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1D89C647-D1E7-49AF-90FF-8809535CE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39</xdr:col>
      <xdr:colOff>571500</xdr:colOff>
      <xdr:row>19</xdr:row>
      <xdr:rowOff>23813</xdr:rowOff>
    </xdr:from>
    <xdr:to>
      <xdr:col>47</xdr:col>
      <xdr:colOff>257175</xdr:colOff>
      <xdr:row>48</xdr:row>
      <xdr:rowOff>83344</xdr:rowOff>
    </xdr:to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2113CAF5-AC3F-41F9-A12F-86D63C15348B}"/>
            </a:ext>
          </a:extLst>
        </xdr:cNvPr>
        <xdr:cNvSpPr txBox="1"/>
      </xdr:nvSpPr>
      <xdr:spPr>
        <a:xfrm>
          <a:off x="30289500" y="3667126"/>
          <a:ext cx="5781675" cy="5274468"/>
        </a:xfrm>
        <a:prstGeom prst="rect">
          <a:avLst/>
        </a:prstGeom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936000" rtlCol="0" anchor="t">
          <a:noAutofit/>
        </a:bodyPr>
        <a:lstStyle/>
        <a:p>
          <a:r>
            <a:rPr lang="de-DE" sz="1400" b="1"/>
            <a:t>Berechnung:</a:t>
          </a:r>
        </a:p>
        <a:p>
          <a:endParaRPr lang="de-DE" sz="1400"/>
        </a:p>
        <a:p>
          <a:r>
            <a:rPr lang="de-DE" sz="1400"/>
            <a:t>Die </a:t>
          </a:r>
          <a:r>
            <a:rPr lang="de-DE" sz="1400" b="1"/>
            <a:t>Lead Time</a:t>
          </a:r>
          <a:r>
            <a:rPr lang="de-DE" sz="1400"/>
            <a:t> wird als die Zeitspanne definiert, die vom </a:t>
          </a:r>
          <a:r>
            <a:rPr lang="de-DE" sz="1400" b="1" i="1"/>
            <a:t>Erreichen des Status "ready4Progress" bis zum Erreichen des Status "Resolved"</a:t>
          </a:r>
          <a:r>
            <a:rPr lang="de-DE" sz="1400"/>
            <a:t> vergeht, wobei wir zusätzlich einen Tag hinzuzufügen, da jeder begonnene Tag als voller Tag zählt. </a:t>
          </a:r>
        </a:p>
        <a:p>
          <a:endParaRPr lang="de-DE" sz="1400"/>
        </a:p>
        <a:p>
          <a:r>
            <a:rPr lang="de-DE" sz="1400"/>
            <a:t>Um die</a:t>
          </a:r>
          <a:r>
            <a:rPr lang="de-DE" sz="1400" baseline="0"/>
            <a:t> </a:t>
          </a:r>
          <a:r>
            <a:rPr lang="de-DE" sz="1400" b="1" baseline="0"/>
            <a:t>Percentile, Min &amp; Max</a:t>
          </a:r>
          <a:r>
            <a:rPr lang="de-DE" sz="1400" b="1"/>
            <a:t> </a:t>
          </a:r>
          <a:r>
            <a:rPr lang="de-DE" sz="1400"/>
            <a:t>der Lead Times zu berechnen, betrachten wir alle </a:t>
          </a:r>
          <a:r>
            <a:rPr lang="de-DE" sz="1400" b="1"/>
            <a:t>Stories und Tasks</a:t>
          </a:r>
          <a:r>
            <a:rPr lang="de-DE" sz="1400"/>
            <a:t>, die im jeweiligen Monat gelöst wurden.</a:t>
          </a:r>
        </a:p>
        <a:p>
          <a:endParaRPr lang="de-DE" sz="1400"/>
        </a:p>
        <a:p>
          <a:r>
            <a:rPr lang="de-DE" sz="1400"/>
            <a:t>Die</a:t>
          </a:r>
          <a:r>
            <a:rPr lang="de-DE" sz="1400" baseline="0"/>
            <a:t> Box des Candle Stick ist die Verteilung zwischen </a:t>
          </a:r>
          <a:r>
            <a:rPr lang="de-DE" sz="1400" b="1" baseline="0"/>
            <a:t>25% Percentil </a:t>
          </a:r>
          <a:r>
            <a:rPr lang="de-DE" sz="1400" baseline="0"/>
            <a:t>und </a:t>
          </a:r>
          <a:r>
            <a:rPr lang="de-DE" sz="1400" b="1" baseline="0"/>
            <a:t>85% Percentil</a:t>
          </a:r>
          <a:r>
            <a:rPr lang="de-DE" sz="1400" baseline="0"/>
            <a:t>. Je gestreckter die Box des Candle Sticks ist, desto größer sind eure Prozessvarianzen. Wenn die Box klein ist, ist die Prozessvarianz entsprechend kleiner.</a:t>
          </a:r>
        </a:p>
        <a:p>
          <a:endParaRPr lang="de-DE" sz="1400" baseline="0"/>
        </a:p>
        <a:p>
          <a:r>
            <a:rPr lang="de-DE" sz="1400" baseline="0"/>
            <a:t>Die Whisker (Linien) sind der Abstand zum </a:t>
          </a:r>
          <a:r>
            <a:rPr lang="de-DE" sz="1400" b="1" baseline="0"/>
            <a:t>Min</a:t>
          </a:r>
          <a:r>
            <a:rPr lang="de-DE" sz="1400" baseline="0"/>
            <a:t> bzw. </a:t>
          </a:r>
          <a:r>
            <a:rPr lang="de-DE" sz="1400" b="1" baseline="0"/>
            <a:t>Max</a:t>
          </a:r>
          <a:r>
            <a:rPr lang="de-DE" sz="1400" baseline="0"/>
            <a:t> Wert der Lead Time und zeigen die komplette Varianz an.</a:t>
          </a:r>
        </a:p>
        <a:p>
          <a:endParaRPr lang="de-DE" sz="1400" baseline="0"/>
        </a:p>
        <a:p>
          <a:r>
            <a:rPr lang="de-DE" sz="1400" baseline="0"/>
            <a:t>Grundsätzlich lässt sich sagen: Eine kleine erze spricht für wenig Prozessvarianz und eine gute Vorhersagbarkeit. Eine große Kerze spricht für eine hohe Prozessvarianz und geringe Vorhersagbarkeit)</a:t>
          </a:r>
          <a:endParaRPr lang="de-DE" sz="1400"/>
        </a:p>
      </xdr:txBody>
    </xdr:sp>
    <xdr:clientData/>
  </xdr:twoCellAnchor>
  <xdr:twoCellAnchor>
    <xdr:from>
      <xdr:col>39</xdr:col>
      <xdr:colOff>571500</xdr:colOff>
      <xdr:row>19</xdr:row>
      <xdr:rowOff>130968</xdr:rowOff>
    </xdr:from>
    <xdr:to>
      <xdr:col>40</xdr:col>
      <xdr:colOff>723900</xdr:colOff>
      <xdr:row>24</xdr:row>
      <xdr:rowOff>92868</xdr:rowOff>
    </xdr:to>
    <xdr:pic>
      <xdr:nvPicPr>
        <xdr:cNvPr id="21" name="Grafik 20" descr="Glühlampe mit einfarbiger Füllung">
          <a:extLst>
            <a:ext uri="{FF2B5EF4-FFF2-40B4-BE49-F238E27FC236}">
              <a16:creationId xmlns:a16="http://schemas.microsoft.com/office/drawing/2014/main" id="{4656E3D7-EBF6-455A-8DE6-82BF1B0A1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30289500" y="3774281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733425</xdr:colOff>
      <xdr:row>17</xdr:row>
      <xdr:rowOff>76198</xdr:rowOff>
    </xdr:from>
    <xdr:to>
      <xdr:col>7</xdr:col>
      <xdr:colOff>133350</xdr:colOff>
      <xdr:row>31</xdr:row>
      <xdr:rowOff>38099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1EC38819-9029-4D75-BE2E-F6332A23F027}"/>
            </a:ext>
          </a:extLst>
        </xdr:cNvPr>
        <xdr:cNvGrpSpPr/>
      </xdr:nvGrpSpPr>
      <xdr:grpSpPr>
        <a:xfrm>
          <a:off x="733425" y="3152773"/>
          <a:ext cx="6353175" cy="2495551"/>
          <a:chOff x="4286249" y="295273"/>
          <a:chExt cx="5552081" cy="2628901"/>
        </a:xfrm>
      </xdr:grpSpPr>
      <xdr:sp macro="" textlink="">
        <xdr:nvSpPr>
          <xdr:cNvPr id="3" name="Textfeld 2">
            <a:extLst>
              <a:ext uri="{FF2B5EF4-FFF2-40B4-BE49-F238E27FC236}">
                <a16:creationId xmlns:a16="http://schemas.microsoft.com/office/drawing/2014/main" id="{A088A221-1A3A-505C-A485-C8BD2E8C2FEE}"/>
              </a:ext>
            </a:extLst>
          </xdr:cNvPr>
          <xdr:cNvSpPr txBox="1"/>
        </xdr:nvSpPr>
        <xdr:spPr>
          <a:xfrm>
            <a:off x="4286249" y="295273"/>
            <a:ext cx="5552081" cy="2628901"/>
          </a:xfrm>
          <a:prstGeom prst="rect">
            <a:avLst/>
          </a:prstGeom>
          <a:solidFill>
            <a:schemeClr val="bg1"/>
          </a:solidFill>
          <a:ln>
            <a:solidFill>
              <a:schemeClr val="bg1">
                <a:lumMod val="6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936000" rtlCol="0" anchor="t">
            <a:noAutofit/>
          </a:bodyPr>
          <a:lstStyle/>
          <a:p>
            <a:r>
              <a:rPr lang="de-DE" sz="1600" b="1"/>
              <a:t>Nutzung:</a:t>
            </a:r>
          </a:p>
          <a:p>
            <a:endParaRPr lang="de-DE" sz="1600"/>
          </a:p>
          <a:p>
            <a:r>
              <a:rPr lang="de-DE" sz="1400"/>
              <a:t>Bitte berechne den Happiness Faktor mit einem Tool oder einer Methode deiner Wahl. </a:t>
            </a:r>
          </a:p>
          <a:p>
            <a:endParaRPr lang="de-DE" sz="1400"/>
          </a:p>
          <a:p>
            <a:r>
              <a:rPr lang="de-DE" sz="1400"/>
              <a:t>Normiere dein Ergebnis auf einer Skala von 1 bis 5, wobei 1 den niedrigsten und 5 den höchsten Wert darstellt. </a:t>
            </a:r>
          </a:p>
          <a:p>
            <a:r>
              <a:rPr lang="de-DE" sz="1400"/>
              <a:t>Trage die ermittelten Werte,</a:t>
            </a:r>
            <a:r>
              <a:rPr lang="de-DE" sz="1400" baseline="0"/>
              <a:t> je Squad, </a:t>
            </a:r>
            <a:r>
              <a:rPr lang="de-DE" sz="1400"/>
              <a:t>anschließend in die Tabelle ein.</a:t>
            </a:r>
          </a:p>
          <a:p>
            <a:endParaRPr lang="de-DE" sz="1400"/>
          </a:p>
          <a:p>
            <a:r>
              <a:rPr lang="de-DE" sz="1400"/>
              <a:t>Deine Squads erscheinen als Spalte</a:t>
            </a:r>
            <a:r>
              <a:rPr lang="de-DE" sz="1400" baseline="0"/>
              <a:t> sobald Du sie im Reiter JIRA Projects eingetragen hast.</a:t>
            </a:r>
            <a:endParaRPr lang="de-DE" sz="1400"/>
          </a:p>
        </xdr:txBody>
      </xdr:sp>
      <xdr:pic>
        <xdr:nvPicPr>
          <xdr:cNvPr id="4" name="Grafik 3" descr="Glühlampe mit einfarbiger Füllung">
            <a:extLst>
              <a:ext uri="{FF2B5EF4-FFF2-40B4-BE49-F238E27FC236}">
                <a16:creationId xmlns:a16="http://schemas.microsoft.com/office/drawing/2014/main" id="{A8F73AB3-FBA3-5C02-E45F-8BF16ED7CFA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305300" y="381000"/>
            <a:ext cx="914400" cy="914400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eam-Dashboard_Mindestmetrikenset_1.411.xlsx" TargetMode="External"/><Relationship Id="rId2" Type="http://schemas.openxmlformats.org/officeDocument/2006/relationships/externalLinkPath" Target="file:///D:\Team-Dashboard_Mindestmetrikenset_1.411.xlsx" TargetMode="External"/><Relationship Id="rId1" Type="http://schemas.openxmlformats.org/officeDocument/2006/relationships/externalLinkPath" Target="/Team-Dashboard_Mindestmetrikenset_1.4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inrichtung"/>
      <sheetName val="Dashboard"/>
      <sheetName val="Blockermanagement"/>
      <sheetName val="FlowEfficiency"/>
      <sheetName val="SayDo Ratio"/>
      <sheetName val="Akzeptanzkriterien"/>
      <sheetName val="LeadTime_CS"/>
      <sheetName val="LeadTime"/>
      <sheetName val="LeadTime Neu"/>
      <sheetName val="WiP"/>
      <sheetName val="Happiness Faktor"/>
      <sheetName val="Aging WIP"/>
      <sheetName val="CycleTime Scatterplot"/>
      <sheetName val="CycleTimeViewer"/>
      <sheetName val="TAM Reflexion"/>
      <sheetName val="JiraProjects"/>
      <sheetName val="JiraBlockermanagement"/>
      <sheetName val="JiraStories"/>
      <sheetName val="JiraEpics"/>
      <sheetName val="SquadDaten"/>
      <sheetName val="BRP Etappen"/>
      <sheetName val="Datumstabelle"/>
      <sheetName val="Hilfsfelder"/>
      <sheetName val="CACHE_BlockedFieldHistory"/>
      <sheetName val="Changelog"/>
    </sheetNames>
    <sheetDataSet>
      <sheetData sheetId="0" refreshError="1"/>
      <sheetData sheetId="1">
        <row r="3">
          <cell r="C3" t="str">
            <v>Connected Services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>
        <row r="2">
          <cell r="B2" t="str">
            <v>Squad</v>
          </cell>
          <cell r="C2" t="str">
            <v>2025_01</v>
          </cell>
          <cell r="D2" t="str">
            <v>2025_02</v>
          </cell>
          <cell r="E2" t="str">
            <v>2025_03</v>
          </cell>
          <cell r="F2" t="str">
            <v>2025_04</v>
          </cell>
          <cell r="G2" t="str">
            <v>2026_01</v>
          </cell>
          <cell r="H2" t="str">
            <v>2026_02</v>
          </cell>
          <cell r="I2" t="str">
            <v>2026_03</v>
          </cell>
          <cell r="J2" t="str">
            <v>2026_04</v>
          </cell>
        </row>
        <row r="3">
          <cell r="B3" t="str">
            <v>My AXA Dream Department</v>
          </cell>
          <cell r="C3">
            <v>8</v>
          </cell>
          <cell r="D3">
            <v>8</v>
          </cell>
          <cell r="E3">
            <v>9</v>
          </cell>
          <cell r="F3">
            <v>8</v>
          </cell>
          <cell r="G3">
            <v>7</v>
          </cell>
          <cell r="H3">
            <v>7</v>
          </cell>
          <cell r="I3">
            <v>7</v>
          </cell>
          <cell r="J3">
            <v>7</v>
          </cell>
        </row>
        <row r="4">
          <cell r="B4" t="str">
            <v>My AXA Police Academy</v>
          </cell>
          <cell r="C4">
            <v>9</v>
          </cell>
          <cell r="D4">
            <v>9</v>
          </cell>
          <cell r="E4">
            <v>9</v>
          </cell>
          <cell r="F4">
            <v>10</v>
          </cell>
          <cell r="G4">
            <v>9</v>
          </cell>
          <cell r="H4">
            <v>9</v>
          </cell>
          <cell r="I4">
            <v>9</v>
          </cell>
          <cell r="J4">
            <v>9</v>
          </cell>
        </row>
        <row r="5">
          <cell r="B5" t="str">
            <v>My AXA App</v>
          </cell>
          <cell r="C5">
            <v>9</v>
          </cell>
          <cell r="D5">
            <v>9</v>
          </cell>
          <cell r="E5">
            <v>9</v>
          </cell>
          <cell r="F5">
            <v>9</v>
          </cell>
          <cell r="G5">
            <v>8</v>
          </cell>
          <cell r="H5">
            <v>8</v>
          </cell>
          <cell r="I5">
            <v>8</v>
          </cell>
          <cell r="J5">
            <v>8</v>
          </cell>
        </row>
        <row r="6">
          <cell r="B6" t="str">
            <v>My AXA Gesamt</v>
          </cell>
          <cell r="C6">
            <v>26</v>
          </cell>
          <cell r="D6">
            <v>26</v>
          </cell>
          <cell r="E6">
            <v>27</v>
          </cell>
          <cell r="F6">
            <v>26</v>
          </cell>
          <cell r="G6">
            <v>24</v>
          </cell>
          <cell r="H6">
            <v>24</v>
          </cell>
          <cell r="I6">
            <v>24</v>
          </cell>
          <cell r="J6">
            <v>24</v>
          </cell>
        </row>
        <row r="7">
          <cell r="B7" t="str">
            <v>eCommerce Shop</v>
          </cell>
          <cell r="C7">
            <v>2</v>
          </cell>
          <cell r="D7">
            <v>5</v>
          </cell>
          <cell r="E7">
            <v>5</v>
          </cell>
          <cell r="F7">
            <v>5</v>
          </cell>
          <cell r="G7">
            <v>4</v>
          </cell>
          <cell r="H7">
            <v>4</v>
          </cell>
          <cell r="I7">
            <v>4</v>
          </cell>
          <cell r="J7">
            <v>4</v>
          </cell>
        </row>
        <row r="8">
          <cell r="B8" t="str">
            <v>Connected Services</v>
          </cell>
          <cell r="C8">
            <v>5</v>
          </cell>
          <cell r="D8">
            <v>5</v>
          </cell>
          <cell r="E8">
            <v>5</v>
          </cell>
          <cell r="F8">
            <v>5</v>
          </cell>
          <cell r="G8">
            <v>5</v>
          </cell>
          <cell r="H8">
            <v>5</v>
          </cell>
          <cell r="I8">
            <v>5</v>
          </cell>
          <cell r="J8">
            <v>5</v>
          </cell>
        </row>
        <row r="9">
          <cell r="B9" t="str">
            <v>Cognitive Services</v>
          </cell>
          <cell r="C9">
            <v>9</v>
          </cell>
          <cell r="D9">
            <v>9</v>
          </cell>
          <cell r="E9">
            <v>8</v>
          </cell>
          <cell r="F9">
            <v>6</v>
          </cell>
          <cell r="G9">
            <v>7</v>
          </cell>
          <cell r="H9">
            <v>7</v>
          </cell>
          <cell r="I9">
            <v>7</v>
          </cell>
          <cell r="J9">
            <v>7</v>
          </cell>
        </row>
      </sheetData>
      <sheetData sheetId="20" refreshError="1"/>
      <sheetData sheetId="21">
        <row r="3">
          <cell r="B3">
            <v>45809</v>
          </cell>
        </row>
        <row r="4">
          <cell r="B4">
            <v>45839</v>
          </cell>
        </row>
        <row r="5">
          <cell r="B5">
            <v>45870</v>
          </cell>
        </row>
        <row r="6">
          <cell r="B6">
            <v>45901</v>
          </cell>
        </row>
        <row r="7">
          <cell r="B7">
            <v>45931</v>
          </cell>
        </row>
        <row r="8">
          <cell r="B8">
            <v>45962</v>
          </cell>
        </row>
        <row r="9">
          <cell r="B9">
            <v>45992</v>
          </cell>
        </row>
        <row r="10">
          <cell r="B10">
            <v>46023</v>
          </cell>
        </row>
        <row r="11">
          <cell r="B11">
            <v>46054</v>
          </cell>
        </row>
        <row r="12">
          <cell r="B12">
            <v>46082</v>
          </cell>
        </row>
        <row r="13">
          <cell r="B13">
            <v>46113</v>
          </cell>
        </row>
        <row r="14">
          <cell r="B14">
            <v>46143</v>
          </cell>
        </row>
        <row r="15">
          <cell r="B15">
            <v>46174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connectionId="1" xr16:uid="{4EE0D17F-50BD-47F4-98C4-E99ABF9EC764}" autoFormatId="16" applyNumberFormats="0" applyBorderFormats="0" applyFontFormats="0" applyPatternFormats="0" applyAlignmentFormats="0" applyWidthHeightFormats="0">
  <queryTableRefresh nextId="20">
    <queryTableFields count="16">
      <queryTableField id="1" name="issues.key" tableColumnId="1"/>
      <queryTableField id="2" name="Status" tableColumnId="2"/>
      <queryTableField id="3" name="Squad" tableColumnId="3"/>
      <queryTableField id="18" name="Modifier" tableColumnId="16"/>
      <queryTableField id="5" name="BlockedStart" tableColumnId="5"/>
      <queryTableField id="4" name="BlockedReason" tableColumnId="4"/>
      <queryTableField id="15" name="BlockedSeq" tableColumnId="15"/>
      <queryTableField id="6" name="BlockedEnd" tableColumnId="6"/>
      <queryTableField id="7" name="BlockedDuration" tableColumnId="7"/>
      <queryTableField id="8" name="BlockedDurationHours" tableColumnId="8"/>
      <queryTableField id="9" name="Blockiert/Wartend_Zustand" tableColumnId="9"/>
      <queryTableField id="10" name="Blockiert/Wartend_Grund" tableColumnId="10"/>
      <queryTableField id="11" name="Wie oft in Blocked" tableColumnId="11"/>
      <queryTableField id="12" name="BlockiertWartendSeit" tableColumnId="12"/>
      <queryTableField id="13" name="BlockedEndeHilfsSpalte" tableColumnId="13"/>
      <queryTableField id="14" name="LoadedFromJiraAt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A3C67C76-9EE1-4F31-B33A-BE9F25CB6A8D}" autoFormatId="16" applyNumberFormats="0" applyBorderFormats="0" applyFontFormats="0" applyPatternFormats="0" applyAlignmentFormats="0" applyWidthHeightFormats="0">
  <queryTableRefresh nextId="989">
    <queryTableFields count="123">
      <queryTableField id="1" name="Jira-ID" tableColumnId="1"/>
      <queryTableField id="2" name="project.key" tableColumnId="2"/>
      <queryTableField id="3" name="project.name" tableColumnId="3"/>
      <queryTableField id="4" name="Issue-Type" tableColumnId="4"/>
      <queryTableField id="5" name="Created (Status New)" tableColumnId="5"/>
      <queryTableField id="6" name="Blockiert/Wartend" tableColumnId="6"/>
      <queryTableField id="7" name="Issue-Status" tableColumnId="7"/>
      <queryTableField id="8" name="Status-Kategorie" tableColumnId="8"/>
      <queryTableField id="724" name="Analysed" tableColumnId="9"/>
      <queryTableField id="725" name="Analysed_first" tableColumnId="10"/>
      <queryTableField id="726" name="leaving_Analysed_first" tableColumnId="11"/>
      <queryTableField id="727" name="leaving_Analysed" tableColumnId="12"/>
      <queryTableField id="728" name="Analysed_Count" tableColumnId="13"/>
      <queryTableField id="729" name="Blocked" tableColumnId="14"/>
      <queryTableField id="730" name="Blocked_first" tableColumnId="15"/>
      <queryTableField id="731" name="leaving_Blocked_first" tableColumnId="16"/>
      <queryTableField id="732" name="leaving_Blocked" tableColumnId="17"/>
      <queryTableField id="733" name="Blocked_Count" tableColumnId="18"/>
      <queryTableField id="947" name="Done" tableColumnId="19"/>
      <queryTableField id="948" name="Done_first" tableColumnId="20"/>
      <queryTableField id="949" name="Done_Count" tableColumnId="21"/>
      <queryTableField id="737" name="Evaluated" tableColumnId="22"/>
      <queryTableField id="738" name="Evaluated_first" tableColumnId="23"/>
      <queryTableField id="739" name="leaving_Evaluated_first" tableColumnId="24"/>
      <queryTableField id="740" name="leaving_Evaluated" tableColumnId="25"/>
      <queryTableField id="741" name="Evaluated_Count" tableColumnId="26"/>
      <queryTableField id="742" name="In Progress" tableColumnId="27"/>
      <queryTableField id="743" name="In Progress_first" tableColumnId="28"/>
      <queryTableField id="744" name="leaving_In Progress_first" tableColumnId="29"/>
      <queryTableField id="745" name="leaving_In Progress" tableColumnId="30"/>
      <queryTableField id="746" name="In Progress_Count" tableColumnId="31"/>
      <queryTableField id="747" name="In QS" tableColumnId="32"/>
      <queryTableField id="748" name="In QS_first" tableColumnId="33"/>
      <queryTableField id="749" name="leaving_In QS_first" tableColumnId="34"/>
      <queryTableField id="750" name="leaving_In QS" tableColumnId="35"/>
      <queryTableField id="751" name="In QS_Count" tableColumnId="36"/>
      <queryTableField id="752" name="In Test" tableColumnId="37"/>
      <queryTableField id="753" name="In Test_first" tableColumnId="38"/>
      <queryTableField id="754" name="leaving_In Test_first" tableColumnId="39"/>
      <queryTableField id="755" name="leaving_In Test" tableColumnId="40"/>
      <queryTableField id="756" name="In Test_Count" tableColumnId="41"/>
      <queryTableField id="760" name="New" tableColumnId="45"/>
      <queryTableField id="761" name="New_first" tableColumnId="46"/>
      <queryTableField id="762" name="leaving_New_first" tableColumnId="47"/>
      <queryTableField id="763" name="leaving_New" tableColumnId="48"/>
      <queryTableField id="764" name="New_Count" tableColumnId="49"/>
      <queryTableField id="765" name="Open" tableColumnId="50"/>
      <queryTableField id="766" name="Open_first" tableColumnId="51"/>
      <queryTableField id="767" name="Open_Count" tableColumnId="52"/>
      <queryTableField id="771" name="Ready4E2E-Test" tableColumnId="56"/>
      <queryTableField id="772" name="Ready4E2E-Test_first" tableColumnId="57"/>
      <queryTableField id="773" name="leaving_Ready4E2E-Test_first" tableColumnId="58"/>
      <queryTableField id="774" name="leaving_Ready4E2E-Test" tableColumnId="59"/>
      <queryTableField id="775" name="Ready4E2E-Test_Count" tableColumnId="60"/>
      <queryTableField id="776" name="Ready4Production" tableColumnId="61"/>
      <queryTableField id="777" name="Ready4Production_first" tableColumnId="62"/>
      <queryTableField id="778" name="leaving_Ready4Production_first" tableColumnId="63"/>
      <queryTableField id="779" name="leaving_Ready4Production" tableColumnId="64"/>
      <queryTableField id="780" name="Ready4Production_Count" tableColumnId="65"/>
      <queryTableField id="781" name="Ready4Progress" tableColumnId="66"/>
      <queryTableField id="782" name="Ready4Progress_first" tableColumnId="67"/>
      <queryTableField id="783" name="leaving_Ready4Progress_first" tableColumnId="68"/>
      <queryTableField id="784" name="leaving_Ready4Progress" tableColumnId="69"/>
      <queryTableField id="785" name="Ready4Progress_Count" tableColumnId="70"/>
      <queryTableField id="786" name="Ready4QS" tableColumnId="71"/>
      <queryTableField id="787" name="Ready4QS_first" tableColumnId="72"/>
      <queryTableField id="788" name="leaving_Ready4QS_first" tableColumnId="73"/>
      <queryTableField id="789" name="leaving_Ready4QS" tableColumnId="74"/>
      <queryTableField id="790" name="Ready4QS_Count" tableColumnId="75"/>
      <queryTableField id="791" name="Ready4Review" tableColumnId="76"/>
      <queryTableField id="792" name="Ready4Review_first" tableColumnId="77"/>
      <queryTableField id="793" name="leaving_Ready4Review_first" tableColumnId="78"/>
      <queryTableField id="794" name="leaving_Ready4Review" tableColumnId="79"/>
      <queryTableField id="795" name="Ready4Review_Count" tableColumnId="80"/>
      <queryTableField id="799" name="Refinement" tableColumnId="84"/>
      <queryTableField id="800" name="Refinement_first" tableColumnId="85"/>
      <queryTableField id="801" name="leaving_Refinement_first" tableColumnId="86"/>
      <queryTableField id="802" name="leaving_Refinement" tableColumnId="87"/>
      <queryTableField id="803" name="Refinement_Count" tableColumnId="88"/>
      <queryTableField id="804" name="Rejected" tableColumnId="89"/>
      <queryTableField id="805" name="Rejected_first" tableColumnId="90"/>
      <queryTableField id="806" name="Rejected_Count" tableColumnId="91"/>
      <queryTableField id="810" name="Resolved" tableColumnId="95"/>
      <queryTableField id="811" name="Resolved_first" tableColumnId="96"/>
      <queryTableField id="812" name="Resolved_Count" tableColumnId="97"/>
      <queryTableField id="813" name="Resume" tableColumnId="98"/>
      <queryTableField id="814" name="Resume_first" tableColumnId="99"/>
      <queryTableField id="815" name="leaving_Resume_first" tableColumnId="100"/>
      <queryTableField id="816" name="leaving_Resume" tableColumnId="101"/>
      <queryTableField id="817" name="Resume_Count" tableColumnId="102"/>
      <queryTableField id="950" name="Review" tableColumnId="42"/>
      <queryTableField id="951" name="Review_first" tableColumnId="43"/>
      <queryTableField id="952" name="Review_Count" tableColumnId="44"/>
      <queryTableField id="971" name="Selected" tableColumnId="92"/>
      <queryTableField id="972" name="Selected_first" tableColumnId="93"/>
      <queryTableField id="973" name="Selected_Count" tableColumnId="94"/>
      <queryTableField id="953" name="To Do" tableColumnId="53"/>
      <queryTableField id="954" name="To Do_first" tableColumnId="54"/>
      <queryTableField id="955" name="To Do_Count" tableColumnId="55"/>
      <queryTableField id="956" name="To be tested" tableColumnId="81"/>
      <queryTableField id="957" name="To be tested_first" tableColumnId="82"/>
      <queryTableField id="958" name="To be tested_Count" tableColumnId="83"/>
      <queryTableField id="974" name="Validierung" tableColumnId="118"/>
      <queryTableField id="975" name="Validierung_first" tableColumnId="119"/>
      <queryTableField id="976" name="Validierung_Count" tableColumnId="120"/>
      <queryTableField id="977" name="Warten" tableColumnId="121"/>
      <queryTableField id="978" name="Warten_first" tableColumnId="122"/>
      <queryTableField id="979" name="Warten_Count" tableColumnId="123"/>
      <queryTableField id="818" name="Ready4Test" tableColumnId="103"/>
      <queryTableField id="819" name="Ready4Test_first" tableColumnId="104"/>
      <queryTableField id="820" name="leaving_Ready4Test_first" tableColumnId="105"/>
      <queryTableField id="821" name="leaving_Ready4Test" tableColumnId="106"/>
      <queryTableField id="822" name="Ready4Test_Count" tableColumnId="107"/>
      <queryTableField id="108" name="Blockiert/Wartend_Grund" tableColumnId="108"/>
      <queryTableField id="109" name="Blockiert/Wartend_Zustand" tableColumnId="109"/>
      <queryTableField id="110" name="TimeInStatusBlocked" tableColumnId="110"/>
      <queryTableField id="111" name="LeadTime" tableColumnId="111"/>
      <queryTableField id="112" name="CycleTime" tableColumnId="112"/>
      <queryTableField id="113" name="TimeInWIP" tableColumnId="113"/>
      <queryTableField id="114" name="TimeInActualStatus" tableColumnId="114"/>
      <queryTableField id="115" name="Squad" tableColumnId="115"/>
      <queryTableField id="116" name="Modifier" tableColumnId="116"/>
      <queryTableField id="117" name="LoadedFromJiraAt" tableColumnId="1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443924E3-92E3-43E0-A3D9-2B79A2ABFE5C}" autoFormatId="16" applyNumberFormats="0" applyBorderFormats="0" applyFontFormats="0" applyPatternFormats="0" applyAlignmentFormats="0" applyWidthHeightFormats="0">
  <queryTableRefresh nextId="117">
    <queryTableFields count="33">
      <queryTableField id="1" name="Jira-ID" tableColumnId="1"/>
      <queryTableField id="2" name="Kurzbeschreibung" tableColumnId="2"/>
      <queryTableField id="3" name="Stage" tableColumnId="3"/>
      <queryTableField id="4" name="Created (Status New)" tableColumnId="4"/>
      <queryTableField id="5" name="Issue-Status" tableColumnId="5"/>
      <queryTableField id="6" name="Status-Kategorie" tableColumnId="6"/>
      <queryTableField id="7" name="EPIC-Kategorie" tableColumnId="7"/>
      <queryTableField id="8" name="Akzeptanzkriterien" tableColumnId="8"/>
      <queryTableField id="9" name="project.key" tableColumnId="9"/>
      <queryTableField id="10" name="project.name" tableColumnId="10"/>
      <queryTableField id="11" name="Squad" tableColumnId="11"/>
      <queryTableField id="89" name="Analyse" tableColumnId="20"/>
      <queryTableField id="90" name="Call For Ice" tableColumnId="21"/>
      <queryTableField id="91" name="Closed" tableColumnId="22"/>
      <queryTableField id="92" name="Commitment" tableColumnId="23"/>
      <queryTableField id="85" name="Done" tableColumnId="13"/>
      <queryTableField id="72" name="In Progress" tableColumnId="14"/>
      <queryTableField id="74" name="Open" tableColumnId="16"/>
      <queryTableField id="93" name="Ready for Dev" tableColumnId="24"/>
      <queryTableField id="94" name="Ready4Progress" tableColumnId="25"/>
      <queryTableField id="95" name="Refined" tableColumnId="26"/>
      <queryTableField id="96" name="Refinement" tableColumnId="27"/>
      <queryTableField id="75" name="Rejected" tableColumnId="17"/>
      <queryTableField id="97" name="Reopened" tableColumnId="28"/>
      <queryTableField id="76" name="Resolved" tableColumnId="18"/>
      <queryTableField id="98" name="Story Mapping" tableColumnId="29"/>
      <queryTableField id="86" name="To Do" tableColumnId="15"/>
      <queryTableField id="77" name="UNCALLED" tableColumnId="19"/>
      <queryTableField id="99" name="Validierung" tableColumnId="30"/>
      <queryTableField id="100" name="Warten" tableColumnId="31"/>
      <queryTableField id="101" name="Won't Do" tableColumnId="32"/>
      <queryTableField id="102" name="Won't Fix" tableColumnId="33"/>
      <queryTableField id="12" name="LoadedFromJiraAt" tableColumnId="1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5D7768-9A29-4001-9C90-31D9E608E398}" name="LeadTime13" displayName="LeadTime13" ref="B3:CD16" totalsRowShown="0" headerRowDxfId="217" dataDxfId="215" headerRowBorderDxfId="216" tableBorderDxfId="214">
  <autoFilter ref="B3:CD16" xr:uid="{DC16CD45-74D7-4623-92BD-B62D289A281F}"/>
  <tableColumns count="81">
    <tableColumn id="1" xr3:uid="{6CB6D9C8-F1E3-4A2F-A728-DE72214A17C1}" name="Datum" dataDxfId="213">
      <calculatedColumnFormula>#REF!</calculatedColumnFormula>
    </tableColumn>
    <tableColumn id="2" xr3:uid="{014DE846-DE1A-450D-8BA7-0EFE3B1FE949}" name="ausgewähltes Squad" dataDxfId="212"/>
    <tableColumn id="3" xr3:uid="{2AB58A67-86E9-4BAF-9A4A-7B197D80F685}" name="Max" dataDxfId="211"/>
    <tableColumn id="4" xr3:uid="{FDC67095-4622-44E5-84B0-47FA627EBEBA}" name="Min" dataDxfId="210"/>
    <tableColumn id="5" xr3:uid="{FDEEB817-6C5B-44A4-B9F0-E4364FA28BDF}" name="25% Percentil" dataDxfId="209"/>
    <tableColumn id="6" xr3:uid="{446FDC4F-51B6-49EE-B5CB-752605F1E1CB}" name="Median" dataDxfId="208"/>
    <tableColumn id="7" xr3:uid="{1F20780F-DFDC-4B33-A511-23B6D07AB3C1}" name="85% Percentil1" dataDxfId="207"/>
    <tableColumn id="8" xr3:uid="{6D894CD3-2C6C-4CD9-9D48-CCF13F90F392}" name="Max1" dataDxfId="206"/>
    <tableColumn id="9" xr3:uid="{07FCCFB4-94E5-4751-893F-CA763BAC79A7}" name="Min1" dataDxfId="205"/>
    <tableColumn id="10" xr3:uid="{666BE031-542F-46D7-8B3E-9479DB6E1D68}" name="25% Percentil1" dataDxfId="204"/>
    <tableColumn id="11" xr3:uid="{12497A21-5745-4606-8FF8-CE4932BD3E2C}" name="Median1" dataDxfId="203"/>
    <tableColumn id="12" xr3:uid="{94892BA1-112C-4171-AC52-E4F999FBDDA3}" name="85% Percentil2" dataDxfId="202"/>
    <tableColumn id="13" xr3:uid="{2F795C15-EF0C-4025-9923-326A9952898B}" name="Max2" dataDxfId="201"/>
    <tableColumn id="14" xr3:uid="{1CCC96C0-B91E-41DD-AA07-A6B8B79E8290}" name="Min2" dataDxfId="200"/>
    <tableColumn id="15" xr3:uid="{F35F696C-D6F8-4614-A879-00BD5C3ED7EF}" name="25% Percentil2" dataDxfId="199"/>
    <tableColumn id="16" xr3:uid="{7928AD12-C92E-4130-8F06-15A9A82B0BD5}" name="Median2" dataDxfId="198"/>
    <tableColumn id="17" xr3:uid="{86539D01-3033-4FDA-9550-F6C083B06780}" name="85% Percentil3" dataDxfId="197"/>
    <tableColumn id="18" xr3:uid="{7024548F-E780-4ABF-8398-FA009C5297D4}" name="Max3" dataDxfId="196"/>
    <tableColumn id="19" xr3:uid="{F1B63722-A30C-4DB6-BB1F-0954896EAC57}" name="Min3" dataDxfId="195"/>
    <tableColumn id="20" xr3:uid="{576D83C5-DF07-472F-AC28-A37156C7A341}" name="25% Percentil3" dataDxfId="194"/>
    <tableColumn id="21" xr3:uid="{7F78CF40-F222-469A-AA3A-183E4C52914C}" name="Median3" dataDxfId="193"/>
    <tableColumn id="22" xr3:uid="{F86D99E0-10B8-45C1-881A-B833394AF51B}" name="85% Percentil4" dataDxfId="192"/>
    <tableColumn id="23" xr3:uid="{89E07114-1E68-40BE-B111-7BD5D25709F4}" name="Max4" dataDxfId="191"/>
    <tableColumn id="24" xr3:uid="{85617F49-D519-4892-80B1-7811EAD82143}" name="Min4" dataDxfId="190"/>
    <tableColumn id="25" xr3:uid="{B6D99010-FB12-4DAE-9333-75088BA05B42}" name="25% Percentil4" dataDxfId="189"/>
    <tableColumn id="26" xr3:uid="{BEB88376-3F1D-4146-ABB8-1A0005AB5038}" name="Median4" dataDxfId="188"/>
    <tableColumn id="27" xr3:uid="{2530E7E3-8392-4408-A5EB-25DCCE7FF024}" name="85% Percentil5" dataDxfId="187"/>
    <tableColumn id="28" xr3:uid="{BC9E03C2-8832-40BC-86DA-9A424326BBCB}" name="Max5" dataDxfId="186"/>
    <tableColumn id="29" xr3:uid="{3F9978E0-EDF9-4CDE-8B8F-0B79D039EA4F}" name="Min5" dataDxfId="185"/>
    <tableColumn id="30" xr3:uid="{40377996-D183-4566-B055-9AB9FFFA644A}" name="25% Percentil5" dataDxfId="184"/>
    <tableColumn id="31" xr3:uid="{E8FA5CED-F967-4B7A-8CA5-A46DA007E2F8}" name="Median5" dataDxfId="183"/>
    <tableColumn id="32" xr3:uid="{CE3A055C-29F8-4C35-8140-95E24A7E3D0A}" name="85% Percentil6" dataDxfId="182"/>
    <tableColumn id="33" xr3:uid="{66D23FAF-F6DA-4C30-A2A4-BD83B2D6E49A}" name="Max6" dataDxfId="181"/>
    <tableColumn id="34" xr3:uid="{C3DD7FAB-D97D-46DE-AD6F-E1F4682053AB}" name="Min6" dataDxfId="180"/>
    <tableColumn id="35" xr3:uid="{78638C55-7E1C-4E72-9418-53577AE88D6B}" name="25% Percentil6" dataDxfId="179"/>
    <tableColumn id="36" xr3:uid="{794A40FB-B529-420C-ABF7-A82E40D3A1FD}" name="Median6" dataDxfId="178"/>
    <tableColumn id="37" xr3:uid="{C62FBA52-3794-4E9F-8894-F506B9CDBB92}" name="85% Percentil7" dataDxfId="177"/>
    <tableColumn id="38" xr3:uid="{99762F6B-7904-4B2F-8274-E59C3B1CCFC6}" name="Max7" dataDxfId="176"/>
    <tableColumn id="39" xr3:uid="{1A5D971D-39AD-410D-9CC6-0221489FC180}" name="Min7" dataDxfId="175"/>
    <tableColumn id="40" xr3:uid="{6FE61342-DC96-4237-BFC0-D037A8E7937E}" name="25% Percentil7" dataDxfId="174"/>
    <tableColumn id="41" xr3:uid="{E2730641-5FF1-432F-9B05-6DAC39DC9EAA}" name="Median7" dataDxfId="173"/>
    <tableColumn id="42" xr3:uid="{4B5BFB6B-DE41-458F-A31E-52FC3374B974}" name="85% Percentil8" dataDxfId="172"/>
    <tableColumn id="43" xr3:uid="{91F8445F-B329-4EDB-B8C0-000BADFC2380}" name="Max8" dataDxfId="171"/>
    <tableColumn id="44" xr3:uid="{DF9F635A-55BF-4201-83B5-B8791EAD6CEE}" name="Min8" dataDxfId="170"/>
    <tableColumn id="45" xr3:uid="{0CDA0323-172C-402F-9CC9-C1B96B37C6B9}" name="25% Percentil8" dataDxfId="169"/>
    <tableColumn id="46" xr3:uid="{967618DB-99F3-4728-81B4-575EEED4D03F}" name="Median8" dataDxfId="168"/>
    <tableColumn id="47" xr3:uid="{C8C8890D-0F43-44E9-8432-2FD4E743A962}" name="85% Percentil9" dataDxfId="167"/>
    <tableColumn id="48" xr3:uid="{2A01E557-94C7-49FD-8F1C-5807C9E30529}" name="Max9" dataDxfId="166"/>
    <tableColumn id="49" xr3:uid="{EF2C746A-6C8F-4D22-A90A-1AEB2422BB5D}" name="Min9" dataDxfId="165"/>
    <tableColumn id="50" xr3:uid="{6AC18196-1DD5-4D8D-9841-A384A24CD095}" name="25% Percentil9" dataDxfId="164"/>
    <tableColumn id="51" xr3:uid="{CBD7DA2A-2D4B-4AFB-AE6E-BA83A0D9C463}" name="Median9" dataDxfId="163"/>
    <tableColumn id="52" xr3:uid="{067AAEA5-43D1-4483-9582-7F56988D7B85}" name="85% Percentil10" dataDxfId="162"/>
    <tableColumn id="53" xr3:uid="{82AAF38B-58A5-4880-A1CF-95703AAC4318}" name="Max10" dataDxfId="161"/>
    <tableColumn id="54" xr3:uid="{8B007A06-1218-4209-AF29-C12763E24A6A}" name="Min10" dataDxfId="160"/>
    <tableColumn id="55" xr3:uid="{782BDD7D-EA01-470E-8A32-C25CCDB69D68}" name="25% Percentil10" dataDxfId="159"/>
    <tableColumn id="56" xr3:uid="{E6448193-2D9B-4826-887E-C5BD4D7978CF}" name="Median10" dataDxfId="158"/>
    <tableColumn id="57" xr3:uid="{E6FB01F9-8007-4C1C-B783-87A781539CE6}" name="85% Percentil11" dataDxfId="157"/>
    <tableColumn id="58" xr3:uid="{5C39E168-0639-40E9-8337-2EF80388E0FA}" name="Max11" dataDxfId="156"/>
    <tableColumn id="59" xr3:uid="{A19C85C3-11F4-48EB-B9CC-5591BCD5823D}" name="Min11" dataDxfId="155"/>
    <tableColumn id="60" xr3:uid="{EFD17F08-A124-4B15-8CB6-CD9D1C3CC738}" name="25% Percentil11" dataDxfId="154"/>
    <tableColumn id="61" xr3:uid="{DD3E2FE3-D05A-4BB5-B940-2EE3960CF418}" name="Median11" dataDxfId="153"/>
    <tableColumn id="62" xr3:uid="{41D95E0E-F5F2-4CE5-9293-D89CB574991D}" name="85% Percentil12" dataDxfId="152"/>
    <tableColumn id="63" xr3:uid="{44E2CAAF-30BC-4B3A-ABC4-BCF0D10BF77B}" name="Max12" dataDxfId="151"/>
    <tableColumn id="64" xr3:uid="{993D1E6E-C6D2-4BD6-9110-7F4F604B52B9}" name="Min12" dataDxfId="150"/>
    <tableColumn id="65" xr3:uid="{168A106E-87C8-4D6B-BC76-D801A2A5263E}" name="25% Percentil12" dataDxfId="149"/>
    <tableColumn id="66" xr3:uid="{7DE68283-3966-4AC2-B482-87EC6EB725C4}" name="Median12" dataDxfId="148"/>
    <tableColumn id="67" xr3:uid="{0AB20CC7-ABF9-407A-9727-29656B3614BE}" name="85% Percentil13" dataDxfId="147"/>
    <tableColumn id="68" xr3:uid="{45FCA430-DDF9-47B5-A864-8DE5815D4F38}" name="Max13" dataDxfId="146"/>
    <tableColumn id="69" xr3:uid="{DA848557-4500-44E7-8235-BD05F83D648C}" name="Min13" dataDxfId="145"/>
    <tableColumn id="70" xr3:uid="{03954E8E-2972-4050-942C-10543A09305D}" name="25% Percentil13" dataDxfId="144"/>
    <tableColumn id="71" xr3:uid="{F225AE4A-AA70-49DA-8583-CD1ACDA84010}" name="Median13" dataDxfId="143"/>
    <tableColumn id="72" xr3:uid="{BA6A5220-A387-416F-A132-5F86AF4B1276}" name="85% Percentil14" dataDxfId="142"/>
    <tableColumn id="73" xr3:uid="{5FBD6549-6F4D-444B-B84B-1FAF79E268AB}" name="Max14" dataDxfId="141"/>
    <tableColumn id="74" xr3:uid="{E662C391-9B92-46AA-8E58-A64BEBC2B6AB}" name="Min14" dataDxfId="140"/>
    <tableColumn id="75" xr3:uid="{FFC6F6B6-591C-4941-9255-C5362D092B34}" name="25% Percentil14" dataDxfId="139"/>
    <tableColumn id="76" xr3:uid="{E774AD25-6D26-4B1E-9ABB-904F5BAC258C}" name="Median14" dataDxfId="138"/>
    <tableColumn id="77" xr3:uid="{071FB183-EA74-4459-BFEF-E492DCD066F3}" name="85% Percentil12222222226" dataDxfId="137"/>
    <tableColumn id="78" xr3:uid="{8BA69525-7E05-44F7-8D95-A398411C0C0B}" name="Max13333333337" dataDxfId="136"/>
    <tableColumn id="79" xr3:uid="{FF135D59-2AF8-4313-82F1-AACC86B63A23}" name="Min14444444448" dataDxfId="135"/>
    <tableColumn id="80" xr3:uid="{8FCD81AB-A1F9-4AB8-A7D2-AC1E603E681E}" name="25% Percentil15555555559" dataDxfId="134"/>
    <tableColumn id="81" xr3:uid="{C35476B8-412B-44C4-99CE-58F609335727}" name="Median166666666610" dataDxfId="13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C6312B-AB4C-4C1A-9747-74C608D5FC89}" name="jiraProjectsTable" displayName="jiraProjectsTable" ref="B3:D20" totalsRowShown="0" headerRowDxfId="132" dataDxfId="131">
  <autoFilter ref="B3:D20" xr:uid="{4EC6312B-AB4C-4C1A-9747-74C608D5FC89}"/>
  <tableColumns count="3">
    <tableColumn id="1" xr3:uid="{D9B1D9BE-42DA-46AC-9ABE-EF80875E8727}" name="Project" dataDxfId="130"/>
    <tableColumn id="2" xr3:uid="{C8D34C82-C979-461B-BFAF-B6BF8A7DFAD2}" name="Modifier" dataDxfId="129"/>
    <tableColumn id="3" xr3:uid="{5350C6D3-40E7-4FA6-B364-03292602EF70}" name="Squad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779CB5A-8A22-48A4-B87B-1AA68FE99F4C}" name="JiraBlockermanagement" displayName="JiraBlockermanagement" ref="A1:P2" tableType="queryTable" insertRow="1" totalsRowShown="0">
  <autoFilter ref="A1:P2" xr:uid="{E779CB5A-8A22-48A4-B87B-1AA68FE99F4C}"/>
  <tableColumns count="16">
    <tableColumn id="1" xr3:uid="{F37BC0F8-75C4-4796-A666-8DFCB5E6EBD3}" uniqueName="1" name="issues.key" queryTableFieldId="1" dataDxfId="127"/>
    <tableColumn id="2" xr3:uid="{060560D4-BA1F-4002-930C-010ED7C49F18}" uniqueName="2" name="Status" queryTableFieldId="2" dataDxfId="126"/>
    <tableColumn id="3" xr3:uid="{E8FBA56A-66E3-487D-B56C-6CE68EAE9145}" uniqueName="3" name="Squad" queryTableFieldId="3" dataDxfId="125"/>
    <tableColumn id="16" xr3:uid="{C09EC99D-59E5-4432-915A-2BA8F165E3AF}" uniqueName="16" name="Modifier" queryTableFieldId="18" dataDxfId="124"/>
    <tableColumn id="5" xr3:uid="{028E3ABF-DAF3-4F35-83AE-49115A60B6EF}" uniqueName="5" name="BlockedStart" queryTableFieldId="5" dataDxfId="123"/>
    <tableColumn id="4" xr3:uid="{83684FE4-B221-478F-B39C-DB2B3A4E8C06}" uniqueName="4" name="BlockedReason" queryTableFieldId="4"/>
    <tableColumn id="15" xr3:uid="{0CAF4189-FE7D-48C6-8AB7-56DF2D8B2049}" uniqueName="15" name="BlockedSeq" queryTableFieldId="15"/>
    <tableColumn id="6" xr3:uid="{F2D954EA-C186-4C9C-9D18-BED5288428C9}" uniqueName="6" name="BlockedEnd" queryTableFieldId="6" dataDxfId="122"/>
    <tableColumn id="7" xr3:uid="{C5B66FEA-1B59-425B-9345-1CEC1A73D357}" uniqueName="7" name="BlockedDuration" queryTableFieldId="7" dataDxfId="121"/>
    <tableColumn id="8" xr3:uid="{C31EBFDA-D56B-462F-96C6-0A33441A3A44}" uniqueName="8" name="BlockedDurationHours" queryTableFieldId="8"/>
    <tableColumn id="9" xr3:uid="{2A28BBC2-1671-409F-9279-FCE7B71DAB9C}" uniqueName="9" name="Blockiert/Wartend_Zustand" queryTableFieldId="9" dataDxfId="120"/>
    <tableColumn id="10" xr3:uid="{97E7CA68-0478-466D-A4AD-AA998D309191}" uniqueName="10" name="Blockiert/Wartend_Grund" queryTableFieldId="10" dataDxfId="119"/>
    <tableColumn id="11" xr3:uid="{A07C40BF-640A-4001-8915-C7B9D2092AA3}" uniqueName="11" name="Wie oft in Blocked" queryTableFieldId="11"/>
    <tableColumn id="12" xr3:uid="{903CE85F-E294-49E0-AD6B-155F26C17F3F}" uniqueName="12" name="BlockiertWartendSeit" queryTableFieldId="12"/>
    <tableColumn id="13" xr3:uid="{B51ED896-B351-4476-BCDB-822DCD7AA375}" uniqueName="13" name="BlockedEndeHilfsSpalte" queryTableFieldId="13" dataDxfId="118"/>
    <tableColumn id="14" xr3:uid="{BF6EE1C0-9ED8-4A00-BE39-58FE55F9F6AC}" uniqueName="14" name="LoadedFromJiraAt" queryTableFieldId="14" dataDxfId="1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0591618-8E61-4A22-A6C3-6EDA47EE0124}" name="JiraStories" displayName="JiraStories" ref="A1:DS2" tableType="queryTable" insertRow="1" totalsRowShown="0">
  <autoFilter ref="A1:DS2" xr:uid="{60591618-8E61-4A22-A6C3-6EDA47EE0124}"/>
  <tableColumns count="123">
    <tableColumn id="1" xr3:uid="{C58193CE-F3FC-412D-8780-B51624365D0B}" uniqueName="1" name="Jira-ID" queryTableFieldId="1"/>
    <tableColumn id="2" xr3:uid="{A66AF6A4-02B4-40EC-837E-20B7F144B5EA}" uniqueName="2" name="project.key" queryTableFieldId="2"/>
    <tableColumn id="3" xr3:uid="{ADDCD1EB-09EE-461C-967E-0677973CBFB2}" uniqueName="3" name="project.name" queryTableFieldId="3"/>
    <tableColumn id="4" xr3:uid="{608BC966-D440-4F00-A565-E2C5E45427D4}" uniqueName="4" name="Issue-Type" queryTableFieldId="4" dataDxfId="116"/>
    <tableColumn id="5" xr3:uid="{6E968D62-57E1-4EB1-8510-47309FB5668F}" uniqueName="5" name="Created (Status New)" queryTableFieldId="5" dataDxfId="115"/>
    <tableColumn id="6" xr3:uid="{CD90546C-1940-4B92-A2E5-ED02B91E2190}" uniqueName="6" name="Blockiert/Wartend" queryTableFieldId="6"/>
    <tableColumn id="7" xr3:uid="{F2C0021A-CABF-402A-8912-F612EE8FE5D6}" uniqueName="7" name="Issue-Status" queryTableFieldId="7" dataDxfId="114"/>
    <tableColumn id="8" xr3:uid="{4F357668-8A85-43B4-9D2A-C203935281F3}" uniqueName="8" name="Status-Kategorie" queryTableFieldId="8" dataDxfId="113"/>
    <tableColumn id="9" xr3:uid="{7F3CCE62-9154-49C4-9338-A5F841CF3975}" uniqueName="9" name="Analysed" queryTableFieldId="724" dataDxfId="112"/>
    <tableColumn id="10" xr3:uid="{BE25AA8B-9B04-4621-9C81-C844A5C7BF5B}" uniqueName="10" name="Analysed_first" queryTableFieldId="725" dataDxfId="111"/>
    <tableColumn id="11" xr3:uid="{C60C0B26-E92B-4CD2-A412-96A5F7469DEC}" uniqueName="11" name="leaving_Analysed_first" queryTableFieldId="726" dataDxfId="110"/>
    <tableColumn id="12" xr3:uid="{1A73D93D-715D-4821-8FA1-F7592008131E}" uniqueName="12" name="leaving_Analysed" queryTableFieldId="727" dataDxfId="109"/>
    <tableColumn id="13" xr3:uid="{9EC6FE52-BD52-4A1F-BB27-2B40AC26B87D}" uniqueName="13" name="Analysed_Count" queryTableFieldId="728" dataDxfId="108"/>
    <tableColumn id="14" xr3:uid="{7BA9BF05-A21D-4EEB-B89F-D1B14283C1C2}" uniqueName="14" name="Blocked" queryTableFieldId="729" dataDxfId="107"/>
    <tableColumn id="15" xr3:uid="{0252D613-7DDF-4760-9815-3C66937FC1CF}" uniqueName="15" name="Blocked_first" queryTableFieldId="730" dataDxfId="106"/>
    <tableColumn id="16" xr3:uid="{C55B1130-81AB-4AC9-8709-EADA1D27CE1A}" uniqueName="16" name="leaving_Blocked_first" queryTableFieldId="731" dataDxfId="105"/>
    <tableColumn id="17" xr3:uid="{E7427D76-AD9D-4C39-8DD2-487445D9351C}" uniqueName="17" name="leaving_Blocked" queryTableFieldId="732" dataDxfId="104"/>
    <tableColumn id="18" xr3:uid="{E838EA7A-F953-40C6-BAA1-AE12404FC0A4}" uniqueName="18" name="Blocked_Count" queryTableFieldId="733" dataDxfId="103"/>
    <tableColumn id="19" xr3:uid="{01BC3EDC-A67A-44C5-BA96-C4EFC18AA112}" uniqueName="19" name="Done" queryTableFieldId="947"/>
    <tableColumn id="20" xr3:uid="{D5CA77F9-44CF-4B6F-86C4-A2027C376848}" uniqueName="20" name="Done_first" queryTableFieldId="948"/>
    <tableColumn id="21" xr3:uid="{71278BF7-EEC3-4767-AE62-1B707288573D}" uniqueName="21" name="Done_Count" queryTableFieldId="949"/>
    <tableColumn id="22" xr3:uid="{A3134157-7507-4E29-A490-3B8C305249C9}" uniqueName="22" name="Evaluated" queryTableFieldId="737" dataDxfId="102"/>
    <tableColumn id="23" xr3:uid="{6DA5FD60-2FF9-44E9-BDFA-4720680A6E80}" uniqueName="23" name="Evaluated_first" queryTableFieldId="738" dataDxfId="101"/>
    <tableColumn id="24" xr3:uid="{B6F85695-96E6-4AA7-B9A2-1BDB34BF47B7}" uniqueName="24" name="leaving_Evaluated_first" queryTableFieldId="739" dataDxfId="100"/>
    <tableColumn id="25" xr3:uid="{24021DBA-C3A6-4558-8424-CB2421EA951D}" uniqueName="25" name="leaving_Evaluated" queryTableFieldId="740" dataDxfId="99"/>
    <tableColumn id="26" xr3:uid="{76682926-7532-41CB-A3F7-D33CFDB3A58E}" uniqueName="26" name="Evaluated_Count" queryTableFieldId="741" dataDxfId="98"/>
    <tableColumn id="27" xr3:uid="{3CBB614E-44C9-41AB-B6F3-025C3E565DA5}" uniqueName="27" name="In Progress" queryTableFieldId="742" dataDxfId="97"/>
    <tableColumn id="28" xr3:uid="{2BC5DF60-768F-430A-BCB4-52D334B4C845}" uniqueName="28" name="In Progress_first" queryTableFieldId="743" dataDxfId="96"/>
    <tableColumn id="29" xr3:uid="{22962B49-05B4-480D-943B-14A6633CF9F6}" uniqueName="29" name="leaving_In Progress_first" queryTableFieldId="744" dataDxfId="95"/>
    <tableColumn id="30" xr3:uid="{2D696646-CA6E-4B40-AAFC-F0A04A6F0F3C}" uniqueName="30" name="leaving_In Progress" queryTableFieldId="745" dataDxfId="94"/>
    <tableColumn id="31" xr3:uid="{D11378CE-AEB3-45C0-B9C4-8F955E376B84}" uniqueName="31" name="In Progress_Count" queryTableFieldId="746" dataDxfId="93"/>
    <tableColumn id="32" xr3:uid="{06F672AF-E33C-49E8-BBC7-E9E4A3E9C150}" uniqueName="32" name="In QS" queryTableFieldId="747" dataDxfId="92"/>
    <tableColumn id="33" xr3:uid="{56C5D6EE-8A90-4111-9A1C-5EC44E70A513}" uniqueName="33" name="In QS_first" queryTableFieldId="748" dataDxfId="91"/>
    <tableColumn id="34" xr3:uid="{3591FACE-ADEC-4060-A8E6-27B1F254E229}" uniqueName="34" name="leaving_In QS_first" queryTableFieldId="749" dataDxfId="90"/>
    <tableColumn id="35" xr3:uid="{1E4CCD1B-767A-479C-A6B6-361FA794E6F2}" uniqueName="35" name="leaving_In QS" queryTableFieldId="750" dataDxfId="89"/>
    <tableColumn id="36" xr3:uid="{7434F21A-BC22-4302-9328-99649CCD76D4}" uniqueName="36" name="In QS_Count" queryTableFieldId="751" dataDxfId="88"/>
    <tableColumn id="37" xr3:uid="{0783431F-65B0-4B2F-8759-6EFFB0BA9358}" uniqueName="37" name="In Test" queryTableFieldId="752" dataDxfId="87"/>
    <tableColumn id="38" xr3:uid="{D833CA58-5762-4D2D-B206-11EBD6C33885}" uniqueName="38" name="In Test_first" queryTableFieldId="753" dataDxfId="86"/>
    <tableColumn id="39" xr3:uid="{E8BEEEBC-7E67-47B7-90C4-277F578D061D}" uniqueName="39" name="leaving_In Test_first" queryTableFieldId="754" dataDxfId="85"/>
    <tableColumn id="40" xr3:uid="{BDE33030-DC20-4A3F-9396-D1D0A1C80888}" uniqueName="40" name="leaving_In Test" queryTableFieldId="755" dataDxfId="84"/>
    <tableColumn id="41" xr3:uid="{9882F043-44A2-48F6-A0A6-0A66CC6A64F0}" uniqueName="41" name="In Test_Count" queryTableFieldId="756" dataDxfId="83"/>
    <tableColumn id="45" xr3:uid="{9E14F638-59C4-4D72-A020-E90356DC9844}" uniqueName="45" name="New" queryTableFieldId="760" dataDxfId="82"/>
    <tableColumn id="46" xr3:uid="{4CAA6435-4731-4B2B-B636-2AF67E6485F6}" uniqueName="46" name="New_first" queryTableFieldId="761" dataDxfId="81"/>
    <tableColumn id="47" xr3:uid="{891C64C8-F1CA-48F3-AA06-BE7CE365C554}" uniqueName="47" name="leaving_New_first" queryTableFieldId="762" dataDxfId="80"/>
    <tableColumn id="48" xr3:uid="{9B09732B-C287-4D17-9FFF-E16301CB7C11}" uniqueName="48" name="leaving_New" queryTableFieldId="763" dataDxfId="79"/>
    <tableColumn id="49" xr3:uid="{62B3032B-61E5-4E4F-B42B-0A554157E878}" uniqueName="49" name="New_Count" queryTableFieldId="764" dataDxfId="78"/>
    <tableColumn id="50" xr3:uid="{294D5970-D7A0-40BA-98A3-31086C0EFA1C}" uniqueName="50" name="Open" queryTableFieldId="765" dataDxfId="77"/>
    <tableColumn id="51" xr3:uid="{8C044E6F-924C-4D8D-B6FD-D7D72C3A6E43}" uniqueName="51" name="Open_first" queryTableFieldId="766" dataDxfId="76"/>
    <tableColumn id="52" xr3:uid="{9F816BA1-FC4F-4C2B-AC3F-F3F19AD9069C}" uniqueName="52" name="Open_Count" queryTableFieldId="767" dataDxfId="75"/>
    <tableColumn id="56" xr3:uid="{80A00EA3-2D7B-4F38-B713-1DF502564336}" uniqueName="56" name="Ready4E2E-Test" queryTableFieldId="771" dataDxfId="74"/>
    <tableColumn id="57" xr3:uid="{0683C5C4-E596-4E60-98D0-F9EC42D307A5}" uniqueName="57" name="Ready4E2E-Test_first" queryTableFieldId="772" dataDxfId="73"/>
    <tableColumn id="58" xr3:uid="{5919E6CF-F9AC-46E3-B807-608C08C81900}" uniqueName="58" name="leaving_Ready4E2E-Test_first" queryTableFieldId="773" dataDxfId="72"/>
    <tableColumn id="59" xr3:uid="{4EFF3FB0-B129-4E81-991A-AE6FC9371F8D}" uniqueName="59" name="leaving_Ready4E2E-Test" queryTableFieldId="774" dataDxfId="71"/>
    <tableColumn id="60" xr3:uid="{5A4C4940-BA21-4F07-9A7E-A5027182400D}" uniqueName="60" name="Ready4E2E-Test_Count" queryTableFieldId="775" dataDxfId="70"/>
    <tableColumn id="61" xr3:uid="{0455B356-01BC-42B2-89A5-1487D4503428}" uniqueName="61" name="Ready4Production" queryTableFieldId="776" dataDxfId="69"/>
    <tableColumn id="62" xr3:uid="{AA2773B8-25FB-4EBF-87F1-5CA9D839818C}" uniqueName="62" name="Ready4Production_first" queryTableFieldId="777" dataDxfId="68"/>
    <tableColumn id="63" xr3:uid="{B679D8A3-A669-4263-8079-790BA5552608}" uniqueName="63" name="leaving_Ready4Production_first" queryTableFieldId="778" dataDxfId="67"/>
    <tableColumn id="64" xr3:uid="{378C8F7F-351C-403B-8C80-E2CF88B478C6}" uniqueName="64" name="leaving_Ready4Production" queryTableFieldId="779" dataDxfId="66"/>
    <tableColumn id="65" xr3:uid="{7168E9F5-211A-4CB4-AD6A-802EBF218029}" uniqueName="65" name="Ready4Production_Count" queryTableFieldId="780" dataDxfId="65"/>
    <tableColumn id="66" xr3:uid="{CA617597-48B3-4BD6-B3A7-C9005FCF7F65}" uniqueName="66" name="Ready4Progress" queryTableFieldId="781" dataDxfId="64"/>
    <tableColumn id="67" xr3:uid="{9CDE6155-3534-4517-81A4-D9FE62949593}" uniqueName="67" name="Ready4Progress_first" queryTableFieldId="782" dataDxfId="63"/>
    <tableColumn id="68" xr3:uid="{6CCC2F9D-2A4D-4CC3-8428-61F6A98D3F8D}" uniqueName="68" name="leaving_Ready4Progress_first" queryTableFieldId="783" dataDxfId="62"/>
    <tableColumn id="69" xr3:uid="{CD6A8EA3-D033-4DC1-85FE-A3BAF4ABA500}" uniqueName="69" name="leaving_Ready4Progress" queryTableFieldId="784" dataDxfId="61"/>
    <tableColumn id="70" xr3:uid="{3C06962D-37C1-4249-8B9A-962DA6659311}" uniqueName="70" name="Ready4Progress_Count" queryTableFieldId="785" dataDxfId="60"/>
    <tableColumn id="71" xr3:uid="{80BA79CE-7AA4-4285-A334-55BEC411084F}" uniqueName="71" name="Ready4QS" queryTableFieldId="786" dataDxfId="59"/>
    <tableColumn id="72" xr3:uid="{B33FE785-D4B5-447C-BE78-9E72A6C7E217}" uniqueName="72" name="Ready4QS_first" queryTableFieldId="787" dataDxfId="58"/>
    <tableColumn id="73" xr3:uid="{FADC589C-26FE-4672-A969-4EA764795A95}" uniqueName="73" name="leaving_Ready4QS_first" queryTableFieldId="788" dataDxfId="57"/>
    <tableColumn id="74" xr3:uid="{A3F003C7-57F7-4F04-97DF-E87C3977C478}" uniqueName="74" name="leaving_Ready4QS" queryTableFieldId="789" dataDxfId="56"/>
    <tableColumn id="75" xr3:uid="{59A540BD-FF60-4758-9422-4A082A2F7BBC}" uniqueName="75" name="Ready4QS_Count" queryTableFieldId="790" dataDxfId="55"/>
    <tableColumn id="76" xr3:uid="{0B1AF284-09D3-47D6-8950-5D8A2E07186D}" uniqueName="76" name="Ready4Review" queryTableFieldId="791" dataDxfId="54"/>
    <tableColumn id="77" xr3:uid="{577BB22B-9333-425C-8E71-B0C220255748}" uniqueName="77" name="Ready4Review_first" queryTableFieldId="792" dataDxfId="53"/>
    <tableColumn id="78" xr3:uid="{90E5DDBD-15BD-4EA6-B6F6-9D57432971A9}" uniqueName="78" name="leaving_Ready4Review_first" queryTableFieldId="793" dataDxfId="52"/>
    <tableColumn id="79" xr3:uid="{4B52C9C1-EAAB-4A21-9875-7712B63282B3}" uniqueName="79" name="leaving_Ready4Review" queryTableFieldId="794" dataDxfId="51"/>
    <tableColumn id="80" xr3:uid="{80CFF7E2-B2C6-4544-905C-758744CB7B4F}" uniqueName="80" name="Ready4Review_Count" queryTableFieldId="795" dataDxfId="50"/>
    <tableColumn id="84" xr3:uid="{F0DCAB33-A184-410A-A207-7F6B09BC2D19}" uniqueName="84" name="Refinement" queryTableFieldId="799" dataDxfId="49"/>
    <tableColumn id="85" xr3:uid="{CE8E0437-0A3D-4789-9949-B61138623D35}" uniqueName="85" name="Refinement_first" queryTableFieldId="800" dataDxfId="48"/>
    <tableColumn id="86" xr3:uid="{931D2579-FA49-40AE-9169-EF5D3DAD1FAE}" uniqueName="86" name="leaving_Refinement_first" queryTableFieldId="801" dataDxfId="47"/>
    <tableColumn id="87" xr3:uid="{2853F9BD-F0DA-4E09-A631-9BF8E329C9EF}" uniqueName="87" name="leaving_Refinement" queryTableFieldId="802" dataDxfId="46"/>
    <tableColumn id="88" xr3:uid="{6244AD59-ED95-4755-BE90-A6A7AE5BCB93}" uniqueName="88" name="Refinement_Count" queryTableFieldId="803" dataDxfId="45"/>
    <tableColumn id="89" xr3:uid="{3BD785FA-C833-42A4-BA09-CAD7A38CB0D2}" uniqueName="89" name="Rejected" queryTableFieldId="804" dataDxfId="44"/>
    <tableColumn id="90" xr3:uid="{2FB48DDE-83EB-4E0C-88EE-07DE3BAED51A}" uniqueName="90" name="Rejected_first" queryTableFieldId="805" dataDxfId="43"/>
    <tableColumn id="91" xr3:uid="{5A82CB52-577B-4092-BF8F-2E47A86132A3}" uniqueName="91" name="Rejected_Count" queryTableFieldId="806" dataDxfId="42"/>
    <tableColumn id="95" xr3:uid="{9FC97272-3E1A-4C66-B3C5-33E2B3E49D05}" uniqueName="95" name="Resolved" queryTableFieldId="810" dataDxfId="41"/>
    <tableColumn id="96" xr3:uid="{95F5DF7A-B1A9-41FA-8599-0170BDEFDAD5}" uniqueName="96" name="Resolved_first" queryTableFieldId="811" dataDxfId="40"/>
    <tableColumn id="97" xr3:uid="{42DF52DE-CBDA-4631-B0AB-D1AF37DEF04F}" uniqueName="97" name="Resolved_Count" queryTableFieldId="812" dataDxfId="39"/>
    <tableColumn id="98" xr3:uid="{CEA03FAF-DADE-4088-B11C-2B4D701666B3}" uniqueName="98" name="Resume" queryTableFieldId="813" dataDxfId="38"/>
    <tableColumn id="99" xr3:uid="{BF8A17C9-F08D-492A-9790-F987ECD1EAB1}" uniqueName="99" name="Resume_first" queryTableFieldId="814" dataDxfId="37"/>
    <tableColumn id="100" xr3:uid="{5BD7E444-6D80-4FB1-8F77-52B4404B6F8C}" uniqueName="100" name="leaving_Resume_first" queryTableFieldId="815" dataDxfId="36"/>
    <tableColumn id="101" xr3:uid="{DD9C79E4-546F-4D52-8713-ECEC8D354992}" uniqueName="101" name="leaving_Resume" queryTableFieldId="816" dataDxfId="35"/>
    <tableColumn id="102" xr3:uid="{0DFD582E-D91D-420E-ABF5-870A4EFEE44C}" uniqueName="102" name="Resume_Count" queryTableFieldId="817" dataDxfId="34"/>
    <tableColumn id="42" xr3:uid="{EB928A7B-8CAD-4747-AB51-19319BAEAD17}" uniqueName="42" name="Review" queryTableFieldId="950"/>
    <tableColumn id="43" xr3:uid="{5C5994E3-4304-4007-9268-A94C74424F26}" uniqueName="43" name="Review_first" queryTableFieldId="951"/>
    <tableColumn id="44" xr3:uid="{EA409D2E-6F72-453F-BC61-D88818CD7167}" uniqueName="44" name="Review_Count" queryTableFieldId="952"/>
    <tableColumn id="92" xr3:uid="{5CD238F8-257C-4372-93E6-EA7262691870}" uniqueName="92" name="Selected" queryTableFieldId="971"/>
    <tableColumn id="93" xr3:uid="{2E682769-A3CD-4456-9D7C-D174561021BB}" uniqueName="93" name="Selected_first" queryTableFieldId="972"/>
    <tableColumn id="94" xr3:uid="{85BF6FAF-2246-48C7-BE48-5734B07B582F}" uniqueName="94" name="Selected_Count" queryTableFieldId="973"/>
    <tableColumn id="53" xr3:uid="{1496A53C-4A50-43A0-8ED0-54A1040F220D}" uniqueName="53" name="To Do" queryTableFieldId="953"/>
    <tableColumn id="54" xr3:uid="{3B0D9CD2-9C8C-43D8-AF92-533636FCBCB8}" uniqueName="54" name="To Do_first" queryTableFieldId="954"/>
    <tableColumn id="55" xr3:uid="{D7F09903-5312-42AC-B1A3-89B1C60C72F0}" uniqueName="55" name="To Do_Count" queryTableFieldId="955"/>
    <tableColumn id="81" xr3:uid="{F345A518-A6B2-417C-A8F1-584C555D371B}" uniqueName="81" name="To be tested" queryTableFieldId="956"/>
    <tableColumn id="82" xr3:uid="{D24303C0-AF3D-4DDE-873A-F88F108F4BDE}" uniqueName="82" name="To be tested_first" queryTableFieldId="957"/>
    <tableColumn id="83" xr3:uid="{EBBBB9C3-6E9D-4114-882D-98A4F02D9464}" uniqueName="83" name="To be tested_Count" queryTableFieldId="958"/>
    <tableColumn id="118" xr3:uid="{7776B75C-A99C-4668-8B80-80595B49972B}" uniqueName="118" name="Validierung" queryTableFieldId="974"/>
    <tableColumn id="119" xr3:uid="{7709DE5F-7BC0-446A-984A-AA99C039C9AD}" uniqueName="119" name="Validierung_first" queryTableFieldId="975"/>
    <tableColumn id="120" xr3:uid="{94F336F4-F67A-4084-BD40-D7F2D1305BA2}" uniqueName="120" name="Validierung_Count" queryTableFieldId="976"/>
    <tableColumn id="121" xr3:uid="{EA1C069C-50BE-421D-B4D7-1F167D18D29D}" uniqueName="121" name="Warten" queryTableFieldId="977"/>
    <tableColumn id="122" xr3:uid="{AA7C9F3B-664A-4AB0-A3E9-45DC81DF7174}" uniqueName="122" name="Warten_first" queryTableFieldId="978"/>
    <tableColumn id="123" xr3:uid="{838DC0F1-3919-4B3C-9092-06DAEDB323CA}" uniqueName="123" name="Warten_Count" queryTableFieldId="979"/>
    <tableColumn id="103" xr3:uid="{C9F197C1-6BD7-4B27-BE5D-D19DA9D83242}" uniqueName="103" name="Ready4Test" queryTableFieldId="818" dataDxfId="33"/>
    <tableColumn id="104" xr3:uid="{0742CE3A-8DBE-4DFC-A4EF-0139EBD38D64}" uniqueName="104" name="Ready4Test_first" queryTableFieldId="819" dataDxfId="32"/>
    <tableColumn id="105" xr3:uid="{0D0DC0D5-5B34-431D-96F6-7B19824D58A7}" uniqueName="105" name="leaving_Ready4Test_first" queryTableFieldId="820" dataDxfId="31"/>
    <tableColumn id="106" xr3:uid="{9C8E3F11-4A3C-420B-8E55-880FDCF6C374}" uniqueName="106" name="leaving_Ready4Test" queryTableFieldId="821" dataDxfId="30"/>
    <tableColumn id="107" xr3:uid="{FC934128-B91D-4BD4-88B7-948E95CDCF63}" uniqueName="107" name="Ready4Test_Count" queryTableFieldId="822" dataDxfId="29"/>
    <tableColumn id="108" xr3:uid="{0EE152AF-E56E-4C2F-8A41-259A79B88E6D}" uniqueName="108" name="Blockiert/Wartend_Grund" queryTableFieldId="108" dataDxfId="28"/>
    <tableColumn id="109" xr3:uid="{46825164-90A0-4291-AA38-A0BF2AB059A9}" uniqueName="109" name="Blockiert/Wartend_Zustand" queryTableFieldId="109" dataDxfId="27"/>
    <tableColumn id="110" xr3:uid="{A877CB85-1A4E-49C4-BE87-98E25E4C73A6}" uniqueName="110" name="TimeInStatusBlocked" queryTableFieldId="110"/>
    <tableColumn id="111" xr3:uid="{606F146B-B343-4711-83C4-102B29619570}" uniqueName="111" name="LeadTime" queryTableFieldId="111"/>
    <tableColumn id="112" xr3:uid="{E3FB8F23-60F5-47AE-BAD5-B085E3A1D76F}" uniqueName="112" name="CycleTime" queryTableFieldId="112"/>
    <tableColumn id="113" xr3:uid="{4627160E-6A4B-4BE4-B1A4-918ED60234E0}" uniqueName="113" name="TimeInWIP" queryTableFieldId="113"/>
    <tableColumn id="114" xr3:uid="{316B5381-99C3-435E-889F-952692761E89}" uniqueName="114" name="TimeInActualStatus" queryTableFieldId="114"/>
    <tableColumn id="115" xr3:uid="{82B63EEB-569A-48EB-9820-D97CE2C831F4}" uniqueName="115" name="Squad" queryTableFieldId="115" dataDxfId="26"/>
    <tableColumn id="116" xr3:uid="{7985C7FA-D3AA-4052-9BA3-50F908D79F7F}" uniqueName="116" name="Modifier" queryTableFieldId="116" dataDxfId="25"/>
    <tableColumn id="117" xr3:uid="{0B7F9054-9D87-42A3-BE77-8EFBBA40442B}" uniqueName="117" name="LoadedFromJiraAt" queryTableFieldId="117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C7B2606-F105-46E9-B3EA-DA2919E36AAE}" name="JiraEpics" displayName="JiraEpics" ref="A1:AG2" tableType="queryTable" insertRow="1" totalsRowShown="0">
  <autoFilter ref="A1:AG2" xr:uid="{1C7B2606-F105-46E9-B3EA-DA2919E36AAE}"/>
  <tableColumns count="33">
    <tableColumn id="1" xr3:uid="{7392F947-B28D-4E7D-AB2F-9B2437693224}" uniqueName="1" name="Jira-ID" queryTableFieldId="1"/>
    <tableColumn id="2" xr3:uid="{33EE3875-A5A1-4517-BBA4-F1ED0A7B53CB}" uniqueName="2" name="Kurzbeschreibung" queryTableFieldId="2"/>
    <tableColumn id="3" xr3:uid="{AD41B337-4778-4BE6-905F-8284160C7BA5}" uniqueName="3" name="Stage" queryTableFieldId="3"/>
    <tableColumn id="4" xr3:uid="{8755F8E6-C45F-475C-9DCB-9F6FBA38BF5B}" uniqueName="4" name="Created (Status New)" queryTableFieldId="4" dataDxfId="23"/>
    <tableColumn id="5" xr3:uid="{FAA091A1-8B7D-4A18-993E-2DCC26113545}" uniqueName="5" name="Issue-Status" queryTableFieldId="5"/>
    <tableColumn id="6" xr3:uid="{1D1A99E6-80A9-49C2-908D-A0ADBD87E59E}" uniqueName="6" name="Status-Kategorie" queryTableFieldId="6"/>
    <tableColumn id="7" xr3:uid="{69537E24-D228-4840-B82B-0EE2DB690ADF}" uniqueName="7" name="EPIC-Kategorie" queryTableFieldId="7"/>
    <tableColumn id="8" xr3:uid="{D80A88EA-F408-4A29-B820-64C1B4E7174B}" uniqueName="8" name="Akzeptanzkriterien" queryTableFieldId="8"/>
    <tableColumn id="9" xr3:uid="{8AA85823-6E94-473C-B24F-E045D812159D}" uniqueName="9" name="project.key" queryTableFieldId="9"/>
    <tableColumn id="10" xr3:uid="{0286AFC4-39BE-47E3-8BBE-94B76DF709E5}" uniqueName="10" name="project.name" queryTableFieldId="10"/>
    <tableColumn id="11" xr3:uid="{D87497DA-C931-4B84-A5B0-3E3CCFD89705}" uniqueName="11" name="Squad" queryTableFieldId="11" dataDxfId="22"/>
    <tableColumn id="20" xr3:uid="{9B352519-CCB9-4064-BAFD-375301FC5428}" uniqueName="20" name="Analyse" queryTableFieldId="89" dataDxfId="21"/>
    <tableColumn id="21" xr3:uid="{D6FA31E8-674C-4608-A7C8-EC749B564E71}" uniqueName="21" name="Call For Ice" queryTableFieldId="90" dataDxfId="20"/>
    <tableColumn id="22" xr3:uid="{38AC1A1F-E4EC-4D7E-AE4E-FFF3AF71AF1D}" uniqueName="22" name="Closed" queryTableFieldId="91" dataDxfId="19"/>
    <tableColumn id="23" xr3:uid="{CD328508-A4F2-47F4-8299-873D8548B8E8}" uniqueName="23" name="Commitment" queryTableFieldId="92" dataDxfId="18"/>
    <tableColumn id="13" xr3:uid="{EC269317-9E14-431E-A401-7A67837BC241}" uniqueName="13" name="Done" queryTableFieldId="85" dataDxfId="17"/>
    <tableColumn id="14" xr3:uid="{586EE178-309C-4331-B272-B514CE8A6AE0}" uniqueName="14" name="In Progress" queryTableFieldId="72" dataDxfId="16"/>
    <tableColumn id="16" xr3:uid="{F444FF65-3E0B-4B5D-ABA5-42CE5CE97306}" uniqueName="16" name="Open" queryTableFieldId="74" dataDxfId="15"/>
    <tableColumn id="24" xr3:uid="{B9811B0D-6D4D-4CBA-85BD-56397A2BB82C}" uniqueName="24" name="Ready for Dev" queryTableFieldId="93" dataDxfId="14"/>
    <tableColumn id="25" xr3:uid="{4E4CE60B-75E5-4352-9AB8-9018F55DC7D3}" uniqueName="25" name="Ready4Progress" queryTableFieldId="94" dataDxfId="13"/>
    <tableColumn id="26" xr3:uid="{110829C9-A253-4894-8FD1-28945B4AA029}" uniqueName="26" name="Refined" queryTableFieldId="95" dataDxfId="12"/>
    <tableColumn id="27" xr3:uid="{D86877BD-55F0-4124-8CAB-D25481B081D9}" uniqueName="27" name="Refinement" queryTableFieldId="96" dataDxfId="11"/>
    <tableColumn id="17" xr3:uid="{264EACC1-53E5-4783-944A-1FD9524A03AA}" uniqueName="17" name="Rejected" queryTableFieldId="75" dataDxfId="10"/>
    <tableColumn id="28" xr3:uid="{7F52CCCC-6425-4356-8550-4E68BD275692}" uniqueName="28" name="Reopened" queryTableFieldId="97" dataDxfId="9"/>
    <tableColumn id="18" xr3:uid="{833AC36B-4226-436C-8314-37E9399C1635}" uniqueName="18" name="Resolved" queryTableFieldId="76" dataDxfId="8"/>
    <tableColumn id="29" xr3:uid="{5476B728-7300-4671-B557-B267D6B4DEE2}" uniqueName="29" name="Story Mapping" queryTableFieldId="98" dataDxfId="7"/>
    <tableColumn id="15" xr3:uid="{7DB69BEF-AB21-4EF5-9694-9D7882EAB290}" uniqueName="15" name="To Do" queryTableFieldId="86" dataDxfId="6"/>
    <tableColumn id="19" xr3:uid="{07B7F91A-B743-4672-9315-636E8EDC7009}" uniqueName="19" name="UNCALLED" queryTableFieldId="77" dataDxfId="5"/>
    <tableColumn id="30" xr3:uid="{FBCB1632-1AD1-4D39-AD9B-317724EB7201}" uniqueName="30" name="Validierung" queryTableFieldId="99" dataDxfId="4"/>
    <tableColumn id="31" xr3:uid="{73D43382-914B-45A4-AEF1-9ACDABC452C4}" uniqueName="31" name="Warten" queryTableFieldId="100" dataDxfId="3"/>
    <tableColumn id="32" xr3:uid="{2424AA4C-7007-4D02-8725-F004DBA7ABEB}" uniqueName="32" name="Won't Do" queryTableFieldId="101" dataDxfId="2"/>
    <tableColumn id="33" xr3:uid="{F16C2B16-ED0C-480F-B2B6-1001716A4D5D}" uniqueName="33" name="Won't Fix" queryTableFieldId="102" dataDxfId="1"/>
    <tableColumn id="12" xr3:uid="{50ED2B34-9AF9-48BC-9308-7DE30D727827}" uniqueName="12" name="LoadedFromJiraAt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1FB4D-46A2-4282-92C9-33DD08E75298}">
  <sheetPr codeName="Tabelle8">
    <tabColor theme="2" tint="-9.9978637043366805E-2"/>
  </sheetPr>
  <dimension ref="A1:CD35"/>
  <sheetViews>
    <sheetView zoomScaleNormal="100" workbookViewId="0">
      <selection activeCell="A25" sqref="A25"/>
    </sheetView>
  </sheetViews>
  <sheetFormatPr baseColWidth="10" defaultColWidth="11.44140625" defaultRowHeight="13.8" x14ac:dyDescent="0.3"/>
  <cols>
    <col min="1" max="2" width="11.44140625" style="6" customWidth="1"/>
    <col min="3" max="16384" width="11.44140625" style="6"/>
  </cols>
  <sheetData>
    <row r="1" spans="1:82" ht="15" thickBot="1" x14ac:dyDescent="0.35">
      <c r="A1" s="14"/>
      <c r="B1" s="14"/>
    </row>
    <row r="2" spans="1:82" ht="14.4" x14ac:dyDescent="0.3">
      <c r="A2" s="14"/>
      <c r="B2" s="15" t="s">
        <v>0</v>
      </c>
      <c r="C2" s="37" t="e">
        <f>#REF!</f>
        <v>#REF!</v>
      </c>
      <c r="D2" s="38"/>
      <c r="E2" s="38"/>
      <c r="F2" s="38"/>
      <c r="G2" s="39"/>
      <c r="H2" s="37">
        <f>JiraProjects!$E4</f>
        <v>0</v>
      </c>
      <c r="I2" s="38"/>
      <c r="J2" s="38"/>
      <c r="K2" s="38"/>
      <c r="L2" s="39"/>
      <c r="M2" s="37">
        <f>JiraProjects!$E5</f>
        <v>0</v>
      </c>
      <c r="N2" s="38"/>
      <c r="O2" s="38"/>
      <c r="P2" s="38"/>
      <c r="Q2" s="39"/>
      <c r="R2" s="37">
        <f>JiraProjects!$E6</f>
        <v>0</v>
      </c>
      <c r="S2" s="38"/>
      <c r="T2" s="38"/>
      <c r="U2" s="38"/>
      <c r="V2" s="39"/>
      <c r="W2" s="37">
        <f>JiraProjects!$E7</f>
        <v>0</v>
      </c>
      <c r="X2" s="38"/>
      <c r="Y2" s="38"/>
      <c r="Z2" s="38"/>
      <c r="AA2" s="39"/>
      <c r="AB2" s="37">
        <f>JiraProjects!$E8</f>
        <v>0</v>
      </c>
      <c r="AC2" s="38"/>
      <c r="AD2" s="38"/>
      <c r="AE2" s="38"/>
      <c r="AF2" s="39"/>
      <c r="AG2" s="37">
        <f>JiraProjects!$E9</f>
        <v>0</v>
      </c>
      <c r="AH2" s="38"/>
      <c r="AI2" s="38"/>
      <c r="AJ2" s="38"/>
      <c r="AK2" s="39"/>
      <c r="AL2" s="37">
        <f>JiraProjects!$E10</f>
        <v>0</v>
      </c>
      <c r="AM2" s="38"/>
      <c r="AN2" s="38"/>
      <c r="AO2" s="38"/>
      <c r="AP2" s="39"/>
      <c r="AQ2" s="37">
        <f>JiraProjects!$D11</f>
        <v>0</v>
      </c>
      <c r="AR2" s="38"/>
      <c r="AS2" s="38"/>
      <c r="AT2" s="38"/>
      <c r="AU2" s="39"/>
      <c r="AV2" s="37">
        <f>JiraProjects!$D12</f>
        <v>0</v>
      </c>
      <c r="AW2" s="38"/>
      <c r="AX2" s="38"/>
      <c r="AY2" s="38"/>
      <c r="AZ2" s="39"/>
      <c r="BA2" s="37">
        <f>JiraProjects!$D13</f>
        <v>0</v>
      </c>
      <c r="BB2" s="38"/>
      <c r="BC2" s="38"/>
      <c r="BD2" s="38"/>
      <c r="BE2" s="39"/>
      <c r="BF2" s="37">
        <f>JiraProjects!$D15</f>
        <v>0</v>
      </c>
      <c r="BG2" s="38"/>
      <c r="BH2" s="38"/>
      <c r="BI2" s="38"/>
      <c r="BJ2" s="39"/>
      <c r="BK2" s="37">
        <f>JiraProjects!$D16</f>
        <v>0</v>
      </c>
      <c r="BL2" s="38"/>
      <c r="BM2" s="38"/>
      <c r="BN2" s="38"/>
      <c r="BO2" s="39"/>
      <c r="BP2" s="37">
        <f>JiraProjects!$D17</f>
        <v>0</v>
      </c>
      <c r="BQ2" s="38"/>
      <c r="BR2" s="38"/>
      <c r="BS2" s="38"/>
      <c r="BT2" s="39"/>
      <c r="BU2" s="37">
        <f>JiraProjects!$D18</f>
        <v>0</v>
      </c>
      <c r="BV2" s="38"/>
      <c r="BW2" s="38"/>
      <c r="BX2" s="38"/>
      <c r="BY2" s="39"/>
      <c r="BZ2" s="37">
        <f>JiraProjects!$D19</f>
        <v>0</v>
      </c>
      <c r="CA2" s="38"/>
      <c r="CB2" s="38"/>
      <c r="CC2" s="38"/>
      <c r="CD2" s="39"/>
    </row>
    <row r="3" spans="1:82" ht="14.4" x14ac:dyDescent="0.3">
      <c r="A3" s="14"/>
      <c r="B3" s="16" t="s">
        <v>3</v>
      </c>
      <c r="C3" s="17" t="s">
        <v>4</v>
      </c>
      <c r="D3" s="18" t="s">
        <v>5</v>
      </c>
      <c r="E3" s="18" t="s">
        <v>6</v>
      </c>
      <c r="F3" s="18" t="s">
        <v>7</v>
      </c>
      <c r="G3" s="19" t="s">
        <v>8</v>
      </c>
      <c r="H3" s="20" t="s">
        <v>9</v>
      </c>
      <c r="I3" s="18" t="s">
        <v>10</v>
      </c>
      <c r="J3" s="18" t="s">
        <v>11</v>
      </c>
      <c r="K3" s="18" t="s">
        <v>12</v>
      </c>
      <c r="L3" s="19" t="s">
        <v>13</v>
      </c>
      <c r="M3" s="21" t="s">
        <v>14</v>
      </c>
      <c r="N3" s="22" t="s">
        <v>15</v>
      </c>
      <c r="O3" s="22" t="s">
        <v>16</v>
      </c>
      <c r="P3" s="22" t="s">
        <v>17</v>
      </c>
      <c r="Q3" s="19" t="s">
        <v>18</v>
      </c>
      <c r="R3" s="21" t="s">
        <v>19</v>
      </c>
      <c r="S3" s="22" t="s">
        <v>20</v>
      </c>
      <c r="T3" s="22" t="s">
        <v>21</v>
      </c>
      <c r="U3" s="22" t="s">
        <v>22</v>
      </c>
      <c r="V3" s="19" t="s">
        <v>23</v>
      </c>
      <c r="W3" s="21" t="s">
        <v>24</v>
      </c>
      <c r="X3" s="22" t="s">
        <v>25</v>
      </c>
      <c r="Y3" s="22" t="s">
        <v>26</v>
      </c>
      <c r="Z3" s="22" t="s">
        <v>27</v>
      </c>
      <c r="AA3" s="19" t="s">
        <v>28</v>
      </c>
      <c r="AB3" s="21" t="s">
        <v>29</v>
      </c>
      <c r="AC3" s="22" t="s">
        <v>30</v>
      </c>
      <c r="AD3" s="22" t="s">
        <v>31</v>
      </c>
      <c r="AE3" s="22" t="s">
        <v>32</v>
      </c>
      <c r="AF3" s="19" t="s">
        <v>33</v>
      </c>
      <c r="AG3" s="21" t="s">
        <v>34</v>
      </c>
      <c r="AH3" s="22" t="s">
        <v>35</v>
      </c>
      <c r="AI3" s="22" t="s">
        <v>36</v>
      </c>
      <c r="AJ3" s="22" t="s">
        <v>37</v>
      </c>
      <c r="AK3" s="19" t="s">
        <v>38</v>
      </c>
      <c r="AL3" s="21" t="s">
        <v>39</v>
      </c>
      <c r="AM3" s="22" t="s">
        <v>40</v>
      </c>
      <c r="AN3" s="22" t="s">
        <v>41</v>
      </c>
      <c r="AO3" s="22" t="s">
        <v>42</v>
      </c>
      <c r="AP3" s="19" t="s">
        <v>43</v>
      </c>
      <c r="AQ3" s="21" t="s">
        <v>44</v>
      </c>
      <c r="AR3" s="22" t="s">
        <v>45</v>
      </c>
      <c r="AS3" s="22" t="s">
        <v>46</v>
      </c>
      <c r="AT3" s="22" t="s">
        <v>47</v>
      </c>
      <c r="AU3" s="19" t="s">
        <v>48</v>
      </c>
      <c r="AV3" s="21" t="s">
        <v>49</v>
      </c>
      <c r="AW3" s="22" t="s">
        <v>50</v>
      </c>
      <c r="AX3" s="22" t="s">
        <v>51</v>
      </c>
      <c r="AY3" s="22" t="s">
        <v>52</v>
      </c>
      <c r="AZ3" s="19" t="s">
        <v>53</v>
      </c>
      <c r="BA3" s="21" t="s">
        <v>54</v>
      </c>
      <c r="BB3" s="22" t="s">
        <v>55</v>
      </c>
      <c r="BC3" s="22" t="s">
        <v>56</v>
      </c>
      <c r="BD3" s="22" t="s">
        <v>57</v>
      </c>
      <c r="BE3" s="19" t="s">
        <v>58</v>
      </c>
      <c r="BF3" s="21" t="s">
        <v>59</v>
      </c>
      <c r="BG3" s="22" t="s">
        <v>60</v>
      </c>
      <c r="BH3" s="22" t="s">
        <v>61</v>
      </c>
      <c r="BI3" s="22" t="s">
        <v>62</v>
      </c>
      <c r="BJ3" s="19" t="s">
        <v>63</v>
      </c>
      <c r="BK3" s="21" t="s">
        <v>64</v>
      </c>
      <c r="BL3" s="22" t="s">
        <v>65</v>
      </c>
      <c r="BM3" s="22" t="s">
        <v>66</v>
      </c>
      <c r="BN3" s="22" t="s">
        <v>67</v>
      </c>
      <c r="BO3" s="19" t="s">
        <v>68</v>
      </c>
      <c r="BP3" s="21" t="s">
        <v>69</v>
      </c>
      <c r="BQ3" s="22" t="s">
        <v>70</v>
      </c>
      <c r="BR3" s="22" t="s">
        <v>71</v>
      </c>
      <c r="BS3" s="22" t="s">
        <v>72</v>
      </c>
      <c r="BT3" s="19" t="s">
        <v>73</v>
      </c>
      <c r="BU3" s="21" t="s">
        <v>74</v>
      </c>
      <c r="BV3" s="22" t="s">
        <v>75</v>
      </c>
      <c r="BW3" s="22" t="s">
        <v>76</v>
      </c>
      <c r="BX3" s="22" t="s">
        <v>77</v>
      </c>
      <c r="BY3" s="19" t="s">
        <v>78</v>
      </c>
      <c r="BZ3" s="21" t="s">
        <v>79</v>
      </c>
      <c r="CA3" s="22" t="s">
        <v>80</v>
      </c>
      <c r="CB3" s="22" t="s">
        <v>81</v>
      </c>
      <c r="CC3" s="22" t="s">
        <v>82</v>
      </c>
      <c r="CD3" s="19" t="s">
        <v>83</v>
      </c>
    </row>
    <row r="4" spans="1:82" ht="14.4" x14ac:dyDescent="0.3">
      <c r="A4" s="14"/>
      <c r="B4" s="34" t="e">
        <f>#REF!</f>
        <v>#REF!</v>
      </c>
      <c r="C4" s="23" t="str" cm="1">
        <f t="array" ref="C4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4" s="24" t="str" cm="1">
        <f t="array" ref="D4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4" s="24" t="str" cm="1">
        <f t="array" ref="E4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4" s="24" t="str" cm="1">
        <f t="array" ref="F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4" s="25" t="str" cm="1">
        <f t="array" ref="G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4" s="23" t="str" cm="1">
        <f t="array" ref="H4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4" s="24" t="str" cm="1">
        <f t="array" ref="I4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4" s="24" t="str" cm="1">
        <f t="array" ref="J4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4" s="24" t="str" cm="1">
        <f t="array" ref="K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4" s="25" t="str" cm="1">
        <f t="array" ref="L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4" s="26" t="str" cm="1">
        <f t="array" ref="M4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4" s="24" t="str" cm="1">
        <f t="array" ref="N4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4" s="24" t="str" cm="1">
        <f t="array" ref="O4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4" s="24" t="str" cm="1">
        <f t="array" ref="P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4" s="25" t="str" cm="1">
        <f t="array" ref="Q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4" s="26" t="str" cm="1">
        <f t="array" ref="R4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4" s="24">
        <v>0</v>
      </c>
      <c r="T4" s="24" t="str" cm="1">
        <f t="array" ref="T4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4" s="24" t="str" cm="1">
        <f t="array" ref="U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4" s="25" t="str" cm="1">
        <f t="array" ref="V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4" s="26" t="str" cm="1">
        <f t="array" ref="W4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4" s="24" t="str" cm="1">
        <f t="array" ref="X4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4" s="24" t="str" cm="1">
        <f t="array" ref="Y4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4" s="24" t="str" cm="1">
        <f t="array" ref="Z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4" s="25" t="str" cm="1">
        <f t="array" ref="AA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4" s="26" t="str" cm="1">
        <f t="array" ref="AB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4" s="24" t="str" cm="1">
        <f t="array" ref="AC4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4" s="24" t="str" cm="1">
        <f t="array" ref="AD4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4" s="24" t="str" cm="1">
        <f t="array" ref="AE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4" s="25" t="str" cm="1">
        <f t="array" ref="AF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4" s="26" t="str" cm="1">
        <f t="array" ref="AG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4" s="24" t="str" cm="1">
        <f t="array" ref="AH4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4" s="24" t="str" cm="1">
        <f t="array" ref="AI4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4" s="24" t="str" cm="1">
        <f t="array" ref="AJ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4" s="25" t="str" cm="1">
        <f t="array" ref="AK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4" s="26" t="str" cm="1">
        <f t="array" ref="AL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4" s="24" t="str" cm="1">
        <f t="array" ref="AM4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4" s="24" t="str" cm="1">
        <f t="array" ref="AN4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4" s="24" t="str" cm="1">
        <f t="array" ref="AO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4" s="25" t="str" cm="1">
        <f t="array" ref="AP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4" s="26" t="str" cm="1">
        <f t="array" ref="AQ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4" s="24" t="str" cm="1">
        <f t="array" ref="AR4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4" s="24" t="str" cm="1">
        <f t="array" ref="AS4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4" s="24" t="str" cm="1">
        <f t="array" ref="AT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4" s="25" t="str" cm="1">
        <f t="array" ref="AU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4" s="26" t="str" cm="1">
        <f t="array" ref="AV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4" s="24" t="str" cm="1">
        <f t="array" ref="AW4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4" s="24" t="str" cm="1">
        <f t="array" ref="AX4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4" s="24" t="str" cm="1">
        <f t="array" ref="AY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4" s="25" t="str" cm="1">
        <f t="array" ref="AZ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4" s="26" t="str" cm="1">
        <f t="array" ref="BA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4" s="24" t="str" cm="1">
        <f t="array" ref="BB4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4" s="24" t="str" cm="1">
        <f t="array" ref="BC4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4" s="24" t="str" cm="1">
        <f t="array" ref="BD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4" s="25" t="str" cm="1">
        <f t="array" ref="BE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4" s="26" t="str" cm="1">
        <f t="array" ref="BF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4" s="24" t="str" cm="1">
        <f t="array" ref="BG4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4" s="24" t="str" cm="1">
        <f t="array" ref="BH4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4" s="24" t="str" cm="1">
        <f t="array" ref="BI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4" s="25" t="str" cm="1">
        <f t="array" ref="BJ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4" s="26" t="str" cm="1">
        <f t="array" ref="BK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4" s="24" t="str" cm="1">
        <f t="array" ref="BL4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4" s="24" t="str" cm="1">
        <f t="array" ref="BM4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4" s="24" t="str" cm="1">
        <f t="array" ref="BN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4" s="25" t="str" cm="1">
        <f t="array" ref="BO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4" s="26" t="str" cm="1">
        <f t="array" ref="BP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4" s="24" t="str" cm="1">
        <f t="array" ref="BQ4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4" s="24" t="str" cm="1">
        <f t="array" ref="BR4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4" s="24" t="str" cm="1">
        <f t="array" ref="BS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4" s="25" t="str" cm="1">
        <f t="array" ref="BT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4" s="26" t="str" cm="1">
        <f t="array" ref="BU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4" s="24" t="str" cm="1">
        <f t="array" ref="BV4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4" s="24" t="str" cm="1">
        <f t="array" ref="BW4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4" s="24" t="str" cm="1">
        <f t="array" ref="BX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4" s="25" t="str" cm="1">
        <f t="array" ref="BY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4" s="26" t="str" cm="1">
        <f t="array" ref="BZ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4" s="24" t="str" cm="1">
        <f t="array" ref="CA4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4" s="24" t="str" cm="1">
        <f t="array" ref="CB4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4" s="24" t="str" cm="1">
        <f t="array" ref="CC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4" s="25" t="str" cm="1">
        <f t="array" ref="CD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5" spans="1:82" ht="14.4" x14ac:dyDescent="0.3">
      <c r="A5" s="14"/>
      <c r="B5" s="5" t="e">
        <f>#REF!</f>
        <v>#REF!</v>
      </c>
      <c r="C5" s="23" t="str" cm="1">
        <f t="array" ref="C5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5" s="24" t="str" cm="1">
        <f t="array" ref="D5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5" s="24" t="str" cm="1">
        <f t="array" ref="E5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5" s="24" t="str" cm="1">
        <f t="array" ref="F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5" s="25" t="str" cm="1">
        <f t="array" ref="G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5" s="23" t="str" cm="1">
        <f t="array" ref="H5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5" s="24" t="str" cm="1">
        <f t="array" ref="I5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5" s="24" t="str" cm="1">
        <f t="array" ref="J5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5" s="24" t="str" cm="1">
        <f t="array" ref="K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5" s="25" t="str" cm="1">
        <f t="array" ref="L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5" s="26" t="str" cm="1">
        <f t="array" ref="M5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5" s="24" t="str" cm="1">
        <f t="array" ref="N5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5" s="24" t="str" cm="1">
        <f t="array" ref="O5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5" s="24" t="str" cm="1">
        <f t="array" ref="P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5" s="25" t="str" cm="1">
        <f t="array" ref="Q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5" s="26" t="str" cm="1">
        <f t="array" ref="R5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5" s="24" t="str" cm="1">
        <f t="array" ref="S5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5" s="24" t="str" cm="1">
        <f t="array" ref="T5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5" s="24" t="str" cm="1">
        <f t="array" ref="U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5" s="25" t="str" cm="1">
        <f t="array" ref="V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5" s="26" t="str" cm="1">
        <f t="array" ref="W5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5" s="24" t="str" cm="1">
        <f t="array" ref="X5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5" s="24" t="str" cm="1">
        <f t="array" ref="Y5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5" s="24" t="str" cm="1">
        <f t="array" ref="Z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5" s="25" t="str" cm="1">
        <f t="array" ref="AA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5" s="26" t="str" cm="1">
        <f t="array" ref="AB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5" s="24" t="str" cm="1">
        <f t="array" ref="AC5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5" s="24" t="str" cm="1">
        <f t="array" ref="AD5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5" s="24" t="str" cm="1">
        <f t="array" ref="AE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5" s="25" t="str" cm="1">
        <f t="array" ref="AF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5" s="26" t="str" cm="1">
        <f t="array" ref="AG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5" s="24" t="str" cm="1">
        <f t="array" ref="AH5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5" s="24" t="str" cm="1">
        <f t="array" ref="AI5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5" s="24" t="str" cm="1">
        <f t="array" ref="AJ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5" s="25" t="str" cm="1">
        <f t="array" ref="AK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5" s="26" t="str" cm="1">
        <f t="array" ref="AL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5" s="24" t="str" cm="1">
        <f t="array" ref="AM5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5" s="24" t="str" cm="1">
        <f t="array" ref="AN5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5" s="24" t="str" cm="1">
        <f t="array" ref="AO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5" s="25" t="str" cm="1">
        <f t="array" ref="AP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5" s="26" t="str" cm="1">
        <f t="array" ref="AQ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5" s="24" t="str" cm="1">
        <f t="array" ref="AR5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5" s="24" t="str" cm="1">
        <f t="array" ref="AS5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5" s="24" t="str" cm="1">
        <f t="array" ref="AT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5" s="25" t="str" cm="1">
        <f t="array" ref="AU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5" s="26" t="str" cm="1">
        <f t="array" ref="AV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5" s="24" t="str" cm="1">
        <f t="array" ref="AW5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5" s="24" t="str" cm="1">
        <f t="array" ref="AX5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5" s="24" t="str" cm="1">
        <f t="array" ref="AY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5" s="25" t="str" cm="1">
        <f t="array" ref="AZ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5" s="26" t="str" cm="1">
        <f t="array" ref="BA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5" s="24" t="str" cm="1">
        <f t="array" ref="BB5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5" s="24" t="str" cm="1">
        <f t="array" ref="BC5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5" s="24" t="str" cm="1">
        <f t="array" ref="BD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5" s="25" t="str" cm="1">
        <f t="array" ref="BE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5" s="26" t="str" cm="1">
        <f t="array" ref="BF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5" s="24" t="str" cm="1">
        <f t="array" ref="BG5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5" s="24" t="str" cm="1">
        <f t="array" ref="BH5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5" s="24" t="str" cm="1">
        <f t="array" ref="BI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5" s="25" t="str" cm="1">
        <f t="array" ref="BJ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5" s="26" t="str" cm="1">
        <f t="array" ref="BK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5" s="24" t="str" cm="1">
        <f t="array" ref="BL5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5" s="24" t="str" cm="1">
        <f t="array" ref="BM5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5" s="24" t="str" cm="1">
        <f t="array" ref="BN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5" s="25" t="str" cm="1">
        <f t="array" ref="BO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5" s="26" t="str" cm="1">
        <f t="array" ref="BP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5" s="24" t="str" cm="1">
        <f t="array" ref="BQ5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5" s="24" t="str" cm="1">
        <f t="array" ref="BR5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5" s="24" t="str" cm="1">
        <f t="array" ref="BS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5" s="25" t="str" cm="1">
        <f t="array" ref="BT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5" s="26" t="str" cm="1">
        <f t="array" ref="BU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5" s="24" t="str" cm="1">
        <f t="array" ref="BV5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5" s="24" t="str" cm="1">
        <f t="array" ref="BW5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5" s="24" t="str" cm="1">
        <f t="array" ref="BX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5" s="25" t="str" cm="1">
        <f t="array" ref="BY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5" s="26" t="str" cm="1">
        <f t="array" ref="BZ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5" s="24" t="str" cm="1">
        <f t="array" ref="CA5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5" s="24" t="str" cm="1">
        <f t="array" ref="CB5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5" s="24" t="str" cm="1">
        <f t="array" ref="CC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5" s="25" t="str" cm="1">
        <f t="array" ref="CD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6" spans="1:82" ht="14.4" x14ac:dyDescent="0.3">
      <c r="A6" s="14"/>
      <c r="B6" s="5" t="e">
        <f>#REF!</f>
        <v>#REF!</v>
      </c>
      <c r="C6" s="23" t="str" cm="1">
        <f t="array" ref="C6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6" s="24" t="str" cm="1">
        <f t="array" ref="D6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6" s="24" t="str" cm="1">
        <f t="array" ref="E6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6" s="24" t="str" cm="1">
        <f t="array" ref="F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6" s="25" t="str" cm="1">
        <f t="array" ref="G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6" s="23" t="str" cm="1">
        <f t="array" ref="H6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6" s="24" t="str" cm="1">
        <f t="array" ref="I6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6" s="24" t="str" cm="1">
        <f t="array" ref="J6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6" s="24" t="str" cm="1">
        <f t="array" ref="K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6" s="25" t="str" cm="1">
        <f t="array" ref="L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6" s="26" t="str" cm="1">
        <f t="array" ref="M6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6" s="24" t="str" cm="1">
        <f t="array" ref="N6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6" s="24" t="str" cm="1">
        <f t="array" ref="O6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6" s="24" t="str" cm="1">
        <f t="array" ref="P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6" s="25" t="str" cm="1">
        <f t="array" ref="Q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6" s="26" t="str" cm="1">
        <f t="array" ref="R6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6" s="24" t="str" cm="1">
        <f t="array" ref="S6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6" s="24" t="str" cm="1">
        <f t="array" ref="T6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6" s="24" t="str" cm="1">
        <f t="array" ref="U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6" s="25" t="str" cm="1">
        <f t="array" ref="V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6" s="26" t="str" cm="1">
        <f t="array" ref="W6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6" s="24" t="str" cm="1">
        <f t="array" ref="X6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6" s="24" t="str" cm="1">
        <f t="array" ref="Y6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6" s="24" t="str" cm="1">
        <f t="array" ref="Z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6" s="25" t="str" cm="1">
        <f t="array" ref="AA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6" s="26" t="str" cm="1">
        <f t="array" ref="AB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6" s="24" t="str" cm="1">
        <f t="array" ref="AC6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6" s="24" t="str" cm="1">
        <f t="array" ref="AD6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6" s="24" t="str" cm="1">
        <f t="array" ref="AE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6" s="25" t="str" cm="1">
        <f t="array" ref="AF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6" s="26" t="str" cm="1">
        <f t="array" ref="AG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6" s="24" t="str" cm="1">
        <f t="array" ref="AH6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6" s="24" t="str" cm="1">
        <f t="array" ref="AI6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6" s="24" t="str" cm="1">
        <f t="array" ref="AJ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6" s="25" t="str" cm="1">
        <f t="array" ref="AK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6" s="26" t="str" cm="1">
        <f t="array" ref="AL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6" s="24" t="str" cm="1">
        <f t="array" ref="AM6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6" s="24" t="str" cm="1">
        <f t="array" ref="AN6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6" s="24" t="str" cm="1">
        <f t="array" ref="AO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6" s="25" t="str" cm="1">
        <f t="array" ref="AP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6" s="26" t="str" cm="1">
        <f t="array" ref="AQ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6" s="24" t="str" cm="1">
        <f t="array" ref="AR6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6" s="24" t="str" cm="1">
        <f t="array" ref="AS6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6" s="24" t="str" cm="1">
        <f t="array" ref="AT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6" s="25" t="str" cm="1">
        <f t="array" ref="AU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6" s="26" t="str" cm="1">
        <f t="array" ref="AV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6" s="24" t="str" cm="1">
        <f t="array" ref="AW6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6" s="24" t="str" cm="1">
        <f t="array" ref="AX6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6" s="24" t="str" cm="1">
        <f t="array" ref="AY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6" s="25" t="str" cm="1">
        <f t="array" ref="AZ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6" s="26" t="str" cm="1">
        <f t="array" ref="BA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6" s="24" t="str" cm="1">
        <f t="array" ref="BB6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6" s="24" t="str" cm="1">
        <f t="array" ref="BC6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6" s="24" t="str" cm="1">
        <f t="array" ref="BD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6" s="25" t="str" cm="1">
        <f t="array" ref="BE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6" s="26" t="str" cm="1">
        <f t="array" ref="BF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6" s="24" t="str" cm="1">
        <f t="array" ref="BG6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6" s="24" t="str" cm="1">
        <f t="array" ref="BH6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6" s="24" t="str" cm="1">
        <f t="array" ref="BI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6" s="25" t="str" cm="1">
        <f t="array" ref="BJ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6" s="26" t="str" cm="1">
        <f t="array" ref="BK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6" s="24" t="str" cm="1">
        <f t="array" ref="BL6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6" s="24" t="str" cm="1">
        <f t="array" ref="BM6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6" s="24" t="str" cm="1">
        <f t="array" ref="BN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6" s="25" t="str" cm="1">
        <f t="array" ref="BO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6" s="26" t="str" cm="1">
        <f t="array" ref="BP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6" s="24" t="str" cm="1">
        <f t="array" ref="BQ6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6" s="24" t="str" cm="1">
        <f t="array" ref="BR6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6" s="24" t="str" cm="1">
        <f t="array" ref="BS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6" s="25" t="str" cm="1">
        <f t="array" ref="BT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6" s="26" t="str" cm="1">
        <f t="array" ref="BU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6" s="24" t="str" cm="1">
        <f t="array" ref="BV6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6" s="24" t="str" cm="1">
        <f t="array" ref="BW6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6" s="24" t="str" cm="1">
        <f t="array" ref="BX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6" s="25" t="str" cm="1">
        <f t="array" ref="BY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6" s="26" t="str" cm="1">
        <f t="array" ref="BZ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6" s="24" t="str" cm="1">
        <f t="array" ref="CA6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6" s="24" t="str" cm="1">
        <f t="array" ref="CB6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6" s="24" t="str" cm="1">
        <f t="array" ref="CC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6" s="25" t="str" cm="1">
        <f t="array" ref="CD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7" spans="1:82" ht="14.4" x14ac:dyDescent="0.3">
      <c r="A7" s="14"/>
      <c r="B7" s="5" t="e">
        <f>#REF!</f>
        <v>#REF!</v>
      </c>
      <c r="C7" s="23" t="str" cm="1">
        <f t="array" ref="C7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7" s="24" t="str" cm="1">
        <f t="array" ref="D7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7" s="24" t="str" cm="1">
        <f t="array" ref="E7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7" s="24" t="str" cm="1">
        <f t="array" ref="F7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7" s="25" t="str" cm="1">
        <f t="array" ref="G7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7" s="23" t="str" cm="1">
        <f t="array" ref="H7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7" s="24" t="str" cm="1">
        <f t="array" ref="I7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7" s="24" t="str" cm="1">
        <f t="array" ref="J7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7" s="24" t="str" cm="1">
        <f t="array" ref="K7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7" s="25" t="str" cm="1">
        <f t="array" ref="L7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7" s="26" t="str" cm="1">
        <f t="array" ref="M7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7" s="24" t="str" cm="1">
        <f t="array" ref="N7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7" s="24" t="str" cm="1">
        <f t="array" ref="O7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7" s="24" t="str" cm="1">
        <f t="array" ref="P7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7" s="25" t="str" cm="1">
        <f t="array" ref="Q7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7" s="26" t="str" cm="1">
        <f t="array" ref="R7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7" s="24" t="str" cm="1">
        <f t="array" ref="S7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7" s="24" t="str" cm="1">
        <f t="array" ref="T7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7" s="24" t="str" cm="1">
        <f t="array" ref="U7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7" s="25" t="str" cm="1">
        <f t="array" ref="V7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7" s="26" t="str" cm="1">
        <f t="array" ref="W7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7" s="24" t="str" cm="1">
        <f t="array" ref="X7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7" s="24" t="str" cm="1">
        <f t="array" ref="Y7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7" s="24" t="str" cm="1">
        <f t="array" ref="Z7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7" s="25" t="str" cm="1">
        <f t="array" ref="AA7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7" s="26" t="str" cm="1">
        <f t="array" ref="AB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7" s="24" t="str" cm="1">
        <f t="array" ref="AC7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7" s="24" t="str" cm="1">
        <f t="array" ref="AD7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7" s="24" t="str" cm="1">
        <f t="array" ref="AE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7" s="25" t="str" cm="1">
        <f t="array" ref="AF7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7" s="26" t="str" cm="1">
        <f t="array" ref="AG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7" s="24" t="str" cm="1">
        <f t="array" ref="AH7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7" s="24" t="str" cm="1">
        <f t="array" ref="AI7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7" s="24" t="str" cm="1">
        <f t="array" ref="AJ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7" s="25" t="str" cm="1">
        <f t="array" ref="AK7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7" s="26" t="str" cm="1">
        <f t="array" ref="AL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7" s="24" t="str" cm="1">
        <f t="array" ref="AM7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7" s="24" t="str" cm="1">
        <f t="array" ref="AN7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7" s="24" t="str" cm="1">
        <f t="array" ref="AO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7" s="25" t="str" cm="1">
        <f t="array" ref="AP7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7" s="26" t="str" cm="1">
        <f t="array" ref="AQ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7" s="24" t="str" cm="1">
        <f t="array" ref="AR7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7" s="24" t="str" cm="1">
        <f t="array" ref="AS7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7" s="24" t="str" cm="1">
        <f t="array" ref="AT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7" s="25" t="str" cm="1">
        <f t="array" ref="AU7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7" s="26" t="str" cm="1">
        <f t="array" ref="AV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7" s="24" t="str" cm="1">
        <f t="array" ref="AW7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7" s="24" t="str" cm="1">
        <f t="array" ref="AX7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7" s="24" t="str" cm="1">
        <f t="array" ref="AY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7" s="25" t="str" cm="1">
        <f t="array" ref="AZ7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7" s="26" t="str" cm="1">
        <f t="array" ref="BA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7" s="24" t="str" cm="1">
        <f t="array" ref="BB7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7" s="24" t="str" cm="1">
        <f t="array" ref="BC7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7" s="24" t="str" cm="1">
        <f t="array" ref="BD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7" s="25" t="str" cm="1">
        <f t="array" ref="BE7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7" s="26" t="str" cm="1">
        <f t="array" ref="BF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7" s="24" t="str" cm="1">
        <f t="array" ref="BG7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7" s="24" t="str" cm="1">
        <f t="array" ref="BH7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7" s="24" t="str" cm="1">
        <f t="array" ref="BI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7" s="25" t="str" cm="1">
        <f t="array" ref="BJ7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7" s="26" t="str" cm="1">
        <f t="array" ref="BK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7" s="24" t="str" cm="1">
        <f t="array" ref="BL7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7" s="24" t="str" cm="1">
        <f t="array" ref="BM7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7" s="24" t="str" cm="1">
        <f t="array" ref="BN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7" s="25" t="str" cm="1">
        <f t="array" ref="BO7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7" s="26" t="str" cm="1">
        <f t="array" ref="BP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7" s="24" t="str" cm="1">
        <f t="array" ref="BQ7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7" s="24" t="str" cm="1">
        <f t="array" ref="BR7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7" s="24" t="str" cm="1">
        <f t="array" ref="BS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7" s="25" t="str" cm="1">
        <f t="array" ref="BT7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7" s="26" t="str" cm="1">
        <f t="array" ref="BU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7" s="24" t="str" cm="1">
        <f t="array" ref="BV7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7" s="24" t="str" cm="1">
        <f t="array" ref="BW7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7" s="24" t="str" cm="1">
        <f t="array" ref="BX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7" s="25" t="str" cm="1">
        <f t="array" ref="BY7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7" s="26" t="str" cm="1">
        <f t="array" ref="BZ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7" s="24" t="str" cm="1">
        <f t="array" ref="CA7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7" s="24" t="str" cm="1">
        <f t="array" ref="CB7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7" s="24" t="str" cm="1">
        <f t="array" ref="CC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7" s="25" t="str" cm="1">
        <f t="array" ref="CD7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8" spans="1:82" ht="14.4" x14ac:dyDescent="0.3">
      <c r="A8" s="14"/>
      <c r="B8" s="5" t="e">
        <f>#REF!</f>
        <v>#REF!</v>
      </c>
      <c r="C8" s="23" t="str" cm="1">
        <f t="array" ref="C8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8" s="24" t="str" cm="1">
        <f t="array" ref="D8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8" s="24" t="str" cm="1">
        <f t="array" ref="E8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8" s="24" t="str" cm="1">
        <f t="array" ref="F8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8" s="25" t="str" cm="1">
        <f t="array" ref="G8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8" s="23" t="str" cm="1">
        <f t="array" ref="H8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8" s="24" t="str" cm="1">
        <f t="array" ref="I8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8" s="24" t="str" cm="1">
        <f t="array" ref="J8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8" s="24" t="str" cm="1">
        <f t="array" ref="K8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8" s="25" t="str" cm="1">
        <f t="array" ref="L8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8" s="26" t="str" cm="1">
        <f t="array" ref="M8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8" s="24" t="str" cm="1">
        <f t="array" ref="N8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8" s="24" t="str" cm="1">
        <f t="array" ref="O8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8" s="24" t="str" cm="1">
        <f t="array" ref="P8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8" s="25" t="str" cm="1">
        <f t="array" ref="Q8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8" s="26" t="str" cm="1">
        <f t="array" ref="R8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8" s="24" t="str" cm="1">
        <f t="array" ref="S8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8" s="24" t="str" cm="1">
        <f t="array" ref="T8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8" s="24" t="str" cm="1">
        <f t="array" ref="U8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8" s="25" t="str" cm="1">
        <f t="array" ref="V8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8" s="26" t="str" cm="1">
        <f t="array" ref="W8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8" s="24" t="str" cm="1">
        <f t="array" ref="X8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8" s="24" t="str" cm="1">
        <f t="array" ref="Y8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8" s="24" t="str" cm="1">
        <f t="array" ref="Z8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8" s="25" t="str" cm="1">
        <f t="array" ref="AA8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8" s="26" t="str" cm="1">
        <f t="array" ref="AB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8" s="24" t="str" cm="1">
        <f t="array" ref="AC8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8" s="24" t="str" cm="1">
        <f t="array" ref="AD8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8" s="24" t="str" cm="1">
        <f t="array" ref="AE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8" s="25" t="str" cm="1">
        <f t="array" ref="AF8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8" s="26" t="str" cm="1">
        <f t="array" ref="AG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8" s="24" t="str" cm="1">
        <f t="array" ref="AH8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8" s="24" t="str" cm="1">
        <f t="array" ref="AI8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8" s="24" t="str" cm="1">
        <f t="array" ref="AJ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8" s="25" t="str" cm="1">
        <f t="array" ref="AK8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8" s="26" t="str" cm="1">
        <f t="array" ref="AL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8" s="24" t="str" cm="1">
        <f t="array" ref="AM8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8" s="24" t="str" cm="1">
        <f t="array" ref="AN8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8" s="24" t="str" cm="1">
        <f t="array" ref="AO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8" s="25" t="str" cm="1">
        <f t="array" ref="AP8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8" s="26" t="str" cm="1">
        <f t="array" ref="AQ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8" s="24" t="str" cm="1">
        <f t="array" ref="AR8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8" s="24" t="str" cm="1">
        <f t="array" ref="AS8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8" s="24" t="str" cm="1">
        <f t="array" ref="AT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8" s="25" t="str" cm="1">
        <f t="array" ref="AU8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8" s="26" t="str" cm="1">
        <f t="array" ref="AV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8" s="24" t="str" cm="1">
        <f t="array" ref="AW8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8" s="24" t="str" cm="1">
        <f t="array" ref="AX8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8" s="24" t="str" cm="1">
        <f t="array" ref="AY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8" s="25" t="str" cm="1">
        <f t="array" ref="AZ8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8" s="26" t="str" cm="1">
        <f t="array" ref="BA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8" s="24" t="str" cm="1">
        <f t="array" ref="BB8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8" s="24" t="str" cm="1">
        <f t="array" ref="BC8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8" s="24" t="str" cm="1">
        <f t="array" ref="BD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8" s="25" t="str" cm="1">
        <f t="array" ref="BE8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8" s="26" t="str" cm="1">
        <f t="array" ref="BF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8" s="24" t="str" cm="1">
        <f t="array" ref="BG8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8" s="24" t="str" cm="1">
        <f t="array" ref="BH8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8" s="24" t="str" cm="1">
        <f t="array" ref="BI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8" s="25" t="str" cm="1">
        <f t="array" ref="BJ8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8" s="26" t="str" cm="1">
        <f t="array" ref="BK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8" s="24" t="str" cm="1">
        <f t="array" ref="BL8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8" s="24" t="str" cm="1">
        <f t="array" ref="BM8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8" s="24" t="str" cm="1">
        <f t="array" ref="BN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8" s="25" t="str" cm="1">
        <f t="array" ref="BO8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8" s="26" t="str" cm="1">
        <f t="array" ref="BP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8" s="24" t="str" cm="1">
        <f t="array" ref="BQ8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8" s="24" t="str" cm="1">
        <f t="array" ref="BR8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8" s="24" t="str" cm="1">
        <f t="array" ref="BS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8" s="25" t="str" cm="1">
        <f t="array" ref="BT8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8" s="26" t="str" cm="1">
        <f t="array" ref="BU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8" s="24" t="str" cm="1">
        <f t="array" ref="BV8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8" s="24" t="str" cm="1">
        <f t="array" ref="BW8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8" s="24" t="str" cm="1">
        <f t="array" ref="BX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8" s="25" t="str" cm="1">
        <f t="array" ref="BY8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8" s="26" t="str" cm="1">
        <f t="array" ref="BZ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8" s="24" t="str" cm="1">
        <f t="array" ref="CA8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8" s="24" t="str" cm="1">
        <f t="array" ref="CB8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8" s="24" t="str" cm="1">
        <f t="array" ref="CC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8" s="25" t="str" cm="1">
        <f t="array" ref="CD8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9" spans="1:82" ht="14.4" x14ac:dyDescent="0.3">
      <c r="A9" s="14"/>
      <c r="B9" s="5" t="e">
        <f>#REF!</f>
        <v>#REF!</v>
      </c>
      <c r="C9" s="23" t="str" cm="1">
        <f t="array" ref="C9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9" s="24" t="str" cm="1">
        <f t="array" ref="D9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9" s="24" t="str" cm="1">
        <f t="array" ref="E9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9" s="24" t="str" cm="1">
        <f t="array" ref="F9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9" s="25" t="str" cm="1">
        <f t="array" ref="G9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9" s="23" t="str" cm="1">
        <f t="array" ref="H9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9" s="24" t="str" cm="1">
        <f t="array" ref="I9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9" s="24" t="str" cm="1">
        <f t="array" ref="J9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9" s="24" t="str" cm="1">
        <f t="array" ref="K9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9" s="25" t="str" cm="1">
        <f t="array" ref="L9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9" s="26" t="str" cm="1">
        <f t="array" ref="M9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9" s="24" t="str" cm="1">
        <f t="array" ref="N9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9" s="24" t="str" cm="1">
        <f t="array" ref="O9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9" s="24" t="str" cm="1">
        <f t="array" ref="P9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9" s="25" t="str" cm="1">
        <f t="array" ref="Q9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9" s="26" t="str" cm="1">
        <f t="array" ref="R9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9" s="24" t="str" cm="1">
        <f t="array" ref="S9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9" s="24" t="str" cm="1">
        <f t="array" ref="T9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9" s="24" t="str" cm="1">
        <f t="array" ref="U9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9" s="25" t="str" cm="1">
        <f t="array" ref="V9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9" s="26" t="str" cm="1">
        <f t="array" ref="W9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9" s="24" t="str" cm="1">
        <f t="array" ref="X9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9" s="24" t="str" cm="1">
        <f t="array" ref="Y9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9" s="24" t="str" cm="1">
        <f t="array" ref="Z9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9" s="25" t="str" cm="1">
        <f t="array" ref="AA9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9" s="26" t="str" cm="1">
        <f t="array" ref="AB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9" s="24" t="str" cm="1">
        <f t="array" ref="AC9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9" s="24" t="str" cm="1">
        <f t="array" ref="AD9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9" s="24" t="str" cm="1">
        <f t="array" ref="AE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9" s="25" t="str" cm="1">
        <f t="array" ref="AF9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9" s="26" t="str" cm="1">
        <f t="array" ref="AG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9" s="24" t="str" cm="1">
        <f t="array" ref="AH9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9" s="24" t="str" cm="1">
        <f t="array" ref="AI9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9" s="24" t="str" cm="1">
        <f t="array" ref="AJ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9" s="25" t="str" cm="1">
        <f t="array" ref="AK9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9" s="26" t="str" cm="1">
        <f t="array" ref="AL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9" s="24" t="str" cm="1">
        <f t="array" ref="AM9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9" s="24" t="str" cm="1">
        <f t="array" ref="AN9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9" s="24" t="str" cm="1">
        <f t="array" ref="AO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9" s="25" t="str" cm="1">
        <f t="array" ref="AP9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9" s="26" t="str" cm="1">
        <f t="array" ref="AQ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9" s="24" t="str" cm="1">
        <f t="array" ref="AR9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9" s="24" t="str" cm="1">
        <f t="array" ref="AS9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9" s="24" t="str" cm="1">
        <f t="array" ref="AT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9" s="25" t="str" cm="1">
        <f t="array" ref="AU9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9" s="26" t="str" cm="1">
        <f t="array" ref="AV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9" s="24" t="str" cm="1">
        <f t="array" ref="AW9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9" s="24" t="str" cm="1">
        <f t="array" ref="AX9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9" s="24" t="str" cm="1">
        <f t="array" ref="AY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9" s="25" t="str" cm="1">
        <f t="array" ref="AZ9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9" s="26" t="str" cm="1">
        <f t="array" ref="BA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9" s="24" t="str" cm="1">
        <f t="array" ref="BB9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9" s="24" t="str" cm="1">
        <f t="array" ref="BC9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9" s="24" t="str" cm="1">
        <f t="array" ref="BD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9" s="25" t="str" cm="1">
        <f t="array" ref="BE9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9" s="26" t="str" cm="1">
        <f t="array" ref="BF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9" s="24" t="str" cm="1">
        <f t="array" ref="BG9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9" s="24" t="str" cm="1">
        <f t="array" ref="BH9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9" s="24" t="str" cm="1">
        <f t="array" ref="BI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9" s="25" t="str" cm="1">
        <f t="array" ref="BJ9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9" s="26" t="str" cm="1">
        <f t="array" ref="BK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9" s="24" t="str" cm="1">
        <f t="array" ref="BL9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9" s="24" t="str" cm="1">
        <f t="array" ref="BM9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9" s="24" t="str" cm="1">
        <f t="array" ref="BN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9" s="25" t="str" cm="1">
        <f t="array" ref="BO9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9" s="26" t="str" cm="1">
        <f t="array" ref="BP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9" s="24" t="str" cm="1">
        <f t="array" ref="BQ9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9" s="24" t="str" cm="1">
        <f t="array" ref="BR9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9" s="24" t="str" cm="1">
        <f t="array" ref="BS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9" s="25" t="str" cm="1">
        <f t="array" ref="BT9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9" s="26" t="str" cm="1">
        <f t="array" ref="BU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9" s="24" t="str" cm="1">
        <f t="array" ref="BV9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9" s="24" t="str" cm="1">
        <f t="array" ref="BW9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9" s="24" t="str" cm="1">
        <f t="array" ref="BX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9" s="25" t="str" cm="1">
        <f t="array" ref="BY9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9" s="26" t="str" cm="1">
        <f t="array" ref="BZ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9" s="24" t="str" cm="1">
        <f t="array" ref="CA9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9" s="24" t="str" cm="1">
        <f t="array" ref="CB9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9" s="24" t="str" cm="1">
        <f t="array" ref="CC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9" s="25" t="str" cm="1">
        <f t="array" ref="CD9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0" spans="1:82" ht="14.4" x14ac:dyDescent="0.3">
      <c r="A10" s="14"/>
      <c r="B10" s="5" t="e">
        <f>#REF!</f>
        <v>#REF!</v>
      </c>
      <c r="C10" s="23" t="str" cm="1">
        <f t="array" ref="C10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0" s="24" t="str" cm="1">
        <f t="array" ref="D10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0" s="24" t="str" cm="1">
        <f t="array" ref="E10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0" s="24" t="str" cm="1">
        <f t="array" ref="F10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0" s="25" t="str" cm="1">
        <f t="array" ref="G10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0" s="23" t="str" cm="1">
        <f t="array" ref="H10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0" s="24" t="str" cm="1">
        <f t="array" ref="I10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0" s="24" t="str" cm="1">
        <f t="array" ref="J10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0" s="24" t="str" cm="1">
        <f t="array" ref="K10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0" s="25" t="str" cm="1">
        <f t="array" ref="L10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0" s="26" t="str" cm="1">
        <f t="array" ref="M10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0" s="24" t="str" cm="1">
        <f t="array" ref="N10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0" s="24" t="str" cm="1">
        <f t="array" ref="O10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0" s="24" t="str" cm="1">
        <f t="array" ref="P10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0" s="25" t="str" cm="1">
        <f t="array" ref="Q10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0" s="26" t="str" cm="1">
        <f t="array" ref="R10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0" s="24" t="str" cm="1">
        <f t="array" ref="S10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0" s="24" t="str" cm="1">
        <f t="array" ref="T10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0" s="24" t="str" cm="1">
        <f t="array" ref="U10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0" s="25" t="str" cm="1">
        <f t="array" ref="V10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0" s="26" t="str" cm="1">
        <f t="array" ref="W10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0" s="24" t="str" cm="1">
        <f t="array" ref="X10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0" s="24" t="str" cm="1">
        <f t="array" ref="Y10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0" s="24" t="str" cm="1">
        <f t="array" ref="Z10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0" s="25" t="str" cm="1">
        <f t="array" ref="AA10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0" s="26" t="str" cm="1">
        <f t="array" ref="AB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0" s="24" t="str" cm="1">
        <f t="array" ref="AC10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0" s="24" t="str" cm="1">
        <f t="array" ref="AD10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0" s="24" t="str" cm="1">
        <f t="array" ref="AE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0" s="25" t="str" cm="1">
        <f t="array" ref="AF10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0" s="26" t="str" cm="1">
        <f t="array" ref="AG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0" s="24" t="str" cm="1">
        <f t="array" ref="AH10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0" s="24" t="str" cm="1">
        <f t="array" ref="AI10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0" s="24" t="str" cm="1">
        <f t="array" ref="AJ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0" s="25" t="str" cm="1">
        <f t="array" ref="AK10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0" s="26" t="str" cm="1">
        <f t="array" ref="AL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0" s="24" t="str" cm="1">
        <f t="array" ref="AM10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0" s="24" t="str" cm="1">
        <f t="array" ref="AN10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0" s="24" t="str" cm="1">
        <f t="array" ref="AO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0" s="25" t="str" cm="1">
        <f t="array" ref="AP10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0" s="26" t="str" cm="1">
        <f t="array" ref="AQ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0" s="24" t="str" cm="1">
        <f t="array" ref="AR10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0" s="24" t="str" cm="1">
        <f t="array" ref="AS10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0" s="24" t="str" cm="1">
        <f t="array" ref="AT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0" s="25" t="str" cm="1">
        <f t="array" ref="AU10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0" s="26" t="str" cm="1">
        <f t="array" ref="AV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0" s="24" t="str" cm="1">
        <f t="array" ref="AW10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0" s="24" t="str" cm="1">
        <f t="array" ref="AX10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0" s="24" t="str" cm="1">
        <f t="array" ref="AY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0" s="25" t="str" cm="1">
        <f t="array" ref="AZ10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0" s="26" t="str" cm="1">
        <f t="array" ref="BA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0" s="24" t="str" cm="1">
        <f t="array" ref="BB10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0" s="24" t="str" cm="1">
        <f t="array" ref="BC10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0" s="24" t="str" cm="1">
        <f t="array" ref="BD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0" s="25" t="str" cm="1">
        <f t="array" ref="BE10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0" s="26" t="str" cm="1">
        <f t="array" ref="BF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0" s="24" t="str" cm="1">
        <f t="array" ref="BG10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0" s="24" t="str" cm="1">
        <f t="array" ref="BH10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0" s="24" t="str" cm="1">
        <f t="array" ref="BI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0" s="25" t="str" cm="1">
        <f t="array" ref="BJ10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0" s="26" t="str" cm="1">
        <f t="array" ref="BK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0" s="24" t="str" cm="1">
        <f t="array" ref="BL10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0" s="24" t="str" cm="1">
        <f t="array" ref="BM10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0" s="24" t="str" cm="1">
        <f t="array" ref="BN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0" s="25" t="str" cm="1">
        <f t="array" ref="BO10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0" s="26" t="str" cm="1">
        <f t="array" ref="BP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0" s="24" t="str" cm="1">
        <f t="array" ref="BQ10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0" s="24" t="str" cm="1">
        <f t="array" ref="BR10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0" s="24" t="str" cm="1">
        <f t="array" ref="BS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0" s="25" t="str" cm="1">
        <f t="array" ref="BT10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0" s="26" t="str" cm="1">
        <f t="array" ref="BU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0" s="24" t="str" cm="1">
        <f t="array" ref="BV10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0" s="24" t="str" cm="1">
        <f t="array" ref="BW10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0" s="24" t="str" cm="1">
        <f t="array" ref="BX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0" s="25" t="str" cm="1">
        <f t="array" ref="BY10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0" s="26" t="str" cm="1">
        <f t="array" ref="BZ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0" s="24" t="str" cm="1">
        <f t="array" ref="CA10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0" s="24" t="str" cm="1">
        <f t="array" ref="CB10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0" s="24" t="str" cm="1">
        <f t="array" ref="CC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0" s="25" t="str" cm="1">
        <f t="array" ref="CD10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1" spans="1:82" ht="14.4" x14ac:dyDescent="0.3">
      <c r="A11" s="14"/>
      <c r="B11" s="5" t="e">
        <f>#REF!</f>
        <v>#REF!</v>
      </c>
      <c r="C11" s="23" t="str" cm="1">
        <f t="array" ref="C11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1" s="24" t="str" cm="1">
        <f t="array" ref="D11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1" s="24" t="str" cm="1">
        <f t="array" ref="E11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1" s="24" t="str" cm="1">
        <f t="array" ref="F11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1" s="25" t="str" cm="1">
        <f t="array" ref="G11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1" s="23" t="str" cm="1">
        <f t="array" ref="H11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1" s="24" t="str" cm="1">
        <f t="array" ref="I11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1" s="24" t="str" cm="1">
        <f t="array" ref="J11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1" s="24" t="str" cm="1">
        <f t="array" ref="K11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1" s="25" t="str" cm="1">
        <f t="array" ref="L11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1" s="26" t="str" cm="1">
        <f t="array" ref="M11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1" s="24" t="str" cm="1">
        <f t="array" ref="N11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1" s="24" t="str" cm="1">
        <f t="array" ref="O11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1" s="24" t="str" cm="1">
        <f t="array" ref="P11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1" s="25" t="str" cm="1">
        <f t="array" ref="Q11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1" s="26" t="str" cm="1">
        <f t="array" ref="R11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1" s="24" t="str" cm="1">
        <f t="array" ref="S11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1" s="24" t="str" cm="1">
        <f t="array" ref="T11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1" s="24" t="str" cm="1">
        <f t="array" ref="U11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1" s="25" t="str" cm="1">
        <f t="array" ref="V11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1" s="26" t="str" cm="1">
        <f t="array" ref="W11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1" s="24" t="str" cm="1">
        <f t="array" ref="X11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1" s="24" t="str" cm="1">
        <f t="array" ref="Y11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1" s="24" t="str" cm="1">
        <f t="array" ref="Z11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1" s="25" t="str" cm="1">
        <f t="array" ref="AA11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1" s="26" t="str" cm="1">
        <f t="array" ref="AB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1" s="24" t="str" cm="1">
        <f t="array" ref="AC11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1" s="24" t="str" cm="1">
        <f t="array" ref="AD11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1" s="24" t="str" cm="1">
        <f t="array" ref="AE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1" s="25" t="str" cm="1">
        <f t="array" ref="AF11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1" s="26" t="str" cm="1">
        <f t="array" ref="AG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1" s="24" t="str" cm="1">
        <f t="array" ref="AH11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1" s="24" t="str" cm="1">
        <f t="array" ref="AI11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1" s="24" t="str" cm="1">
        <f t="array" ref="AJ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1" s="25" t="str" cm="1">
        <f t="array" ref="AK11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1" s="26" t="str" cm="1">
        <f t="array" ref="AL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1" s="24" t="str" cm="1">
        <f t="array" ref="AM11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1" s="24" t="str" cm="1">
        <f t="array" ref="AN11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1" s="24" t="str" cm="1">
        <f t="array" ref="AO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1" s="25" t="str" cm="1">
        <f t="array" ref="AP11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1" s="26" t="str" cm="1">
        <f t="array" ref="AQ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1" s="24" t="str" cm="1">
        <f t="array" ref="AR11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1" s="24" t="str" cm="1">
        <f t="array" ref="AS11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1" s="24" t="str" cm="1">
        <f t="array" ref="AT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1" s="25" t="str" cm="1">
        <f t="array" ref="AU11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1" s="26" t="str" cm="1">
        <f t="array" ref="AV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1" s="24" t="str" cm="1">
        <f t="array" ref="AW11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1" s="24" t="str" cm="1">
        <f t="array" ref="AX11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1" s="24" t="str" cm="1">
        <f t="array" ref="AY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1" s="25" t="str" cm="1">
        <f t="array" ref="AZ11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1" s="26" t="str" cm="1">
        <f t="array" ref="BA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1" s="24" t="str" cm="1">
        <f t="array" ref="BB11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1" s="24" t="str" cm="1">
        <f t="array" ref="BC11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1" s="24" t="str" cm="1">
        <f t="array" ref="BD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1" s="25" t="str" cm="1">
        <f t="array" ref="BE11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1" s="26" t="str" cm="1">
        <f t="array" ref="BF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1" s="24" t="str" cm="1">
        <f t="array" ref="BG11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1" s="24" t="str" cm="1">
        <f t="array" ref="BH11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1" s="24" t="str" cm="1">
        <f t="array" ref="BI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1" s="25" t="str" cm="1">
        <f t="array" ref="BJ11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1" s="26" t="str" cm="1">
        <f t="array" ref="BK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1" s="24" t="str" cm="1">
        <f t="array" ref="BL11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1" s="24" t="str" cm="1">
        <f t="array" ref="BM11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1" s="24" t="str" cm="1">
        <f t="array" ref="BN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1" s="25" t="str" cm="1">
        <f t="array" ref="BO11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1" s="26" t="str" cm="1">
        <f t="array" ref="BP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1" s="24" t="str" cm="1">
        <f t="array" ref="BQ11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1" s="24" t="str" cm="1">
        <f t="array" ref="BR11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1" s="24" t="str" cm="1">
        <f t="array" ref="BS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1" s="25" t="str" cm="1">
        <f t="array" ref="BT11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1" s="26" t="str" cm="1">
        <f t="array" ref="BU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1" s="24" t="str" cm="1">
        <f t="array" ref="BV11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1" s="24" t="str" cm="1">
        <f t="array" ref="BW11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1" s="24" t="str" cm="1">
        <f t="array" ref="BX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1" s="25" t="str" cm="1">
        <f t="array" ref="BY11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1" s="26" t="str" cm="1">
        <f t="array" ref="BZ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1" s="24" t="str" cm="1">
        <f t="array" ref="CA11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1" s="24" t="str" cm="1">
        <f t="array" ref="CB11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1" s="24" t="str" cm="1">
        <f t="array" ref="CC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1" s="25" t="str" cm="1">
        <f t="array" ref="CD11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2" spans="1:82" ht="14.4" x14ac:dyDescent="0.3">
      <c r="A12" s="14"/>
      <c r="B12" s="5" t="e">
        <f>#REF!</f>
        <v>#REF!</v>
      </c>
      <c r="C12" s="23" t="str" cm="1">
        <f t="array" ref="C12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2" s="24" t="str" cm="1">
        <f t="array" ref="D12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2" s="24" t="str" cm="1">
        <f t="array" ref="E12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2" s="24" t="str" cm="1">
        <f t="array" ref="F12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2" s="25" t="str" cm="1">
        <f t="array" ref="G12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2" s="23" t="str" cm="1">
        <f t="array" ref="H12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2" s="24" t="str" cm="1">
        <f t="array" ref="I12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2" s="24" t="str" cm="1">
        <f t="array" ref="J12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2" s="24" t="str" cm="1">
        <f t="array" ref="K12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2" s="25" t="str" cm="1">
        <f t="array" ref="L12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2" s="26" t="str" cm="1">
        <f t="array" ref="M12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2" s="24" t="str" cm="1">
        <f t="array" ref="N12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2" s="24" t="str" cm="1">
        <f t="array" ref="O12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2" s="24" t="str" cm="1">
        <f t="array" ref="P12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2" s="25" t="str" cm="1">
        <f t="array" ref="Q12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2" s="26" t="str" cm="1">
        <f t="array" ref="R12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2" s="24" t="str" cm="1">
        <f t="array" ref="S12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2" s="24" t="str" cm="1">
        <f t="array" ref="T12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2" s="24" t="str" cm="1">
        <f t="array" ref="U12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2" s="25" t="str" cm="1">
        <f t="array" ref="V12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2" s="26" t="str" cm="1">
        <f t="array" ref="W12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2" s="24" t="str" cm="1">
        <f t="array" ref="X12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2" s="24" t="str" cm="1">
        <f t="array" ref="Y12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2" s="24" t="str" cm="1">
        <f t="array" ref="Z12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2" s="25" t="str" cm="1">
        <f t="array" ref="AA12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2" s="26" t="str" cm="1">
        <f t="array" ref="AB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2" s="24" t="str" cm="1">
        <f t="array" ref="AC12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2" s="24" t="str" cm="1">
        <f t="array" ref="AD12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2" s="24" t="str" cm="1">
        <f t="array" ref="AE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2" s="25" t="str" cm="1">
        <f t="array" ref="AF12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2" s="26" t="str" cm="1">
        <f t="array" ref="AG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2" s="24" t="str" cm="1">
        <f t="array" ref="AH12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2" s="24" t="str" cm="1">
        <f t="array" ref="AI12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2" s="24" t="str" cm="1">
        <f t="array" ref="AJ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2" s="25" t="str" cm="1">
        <f t="array" ref="AK12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2" s="26" t="str" cm="1">
        <f t="array" ref="AL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2" s="24" t="str" cm="1">
        <f t="array" ref="AM12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2" s="24" t="str" cm="1">
        <f t="array" ref="AN12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2" s="24" t="str" cm="1">
        <f t="array" ref="AO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2" s="25" t="str" cm="1">
        <f t="array" ref="AP12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2" s="26" t="str" cm="1">
        <f t="array" ref="AQ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2" s="24" t="str" cm="1">
        <f t="array" ref="AR12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2" s="24" t="str" cm="1">
        <f t="array" ref="AS12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2" s="24" t="str" cm="1">
        <f t="array" ref="AT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2" s="25" t="str" cm="1">
        <f t="array" ref="AU12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2" s="26" t="str" cm="1">
        <f t="array" ref="AV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2" s="24" t="str" cm="1">
        <f t="array" ref="AW12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2" s="24" t="str" cm="1">
        <f t="array" ref="AX12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2" s="24" t="str" cm="1">
        <f t="array" ref="AY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2" s="25" t="str" cm="1">
        <f t="array" ref="AZ12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2" s="26" t="str" cm="1">
        <f t="array" ref="BA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2" s="24" t="str" cm="1">
        <f t="array" ref="BB12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2" s="24" t="str" cm="1">
        <f t="array" ref="BC12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2" s="24" t="str" cm="1">
        <f t="array" ref="BD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2" s="25" t="str" cm="1">
        <f t="array" ref="BE12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2" s="26" t="str" cm="1">
        <f t="array" ref="BF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2" s="24" t="str" cm="1">
        <f t="array" ref="BG12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2" s="24" t="str" cm="1">
        <f t="array" ref="BH12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2" s="24" t="str" cm="1">
        <f t="array" ref="BI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2" s="25" t="str" cm="1">
        <f t="array" ref="BJ12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2" s="26" t="str" cm="1">
        <f t="array" ref="BK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2" s="24" t="str" cm="1">
        <f t="array" ref="BL12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2" s="24" t="str" cm="1">
        <f t="array" ref="BM12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2" s="24" t="str" cm="1">
        <f t="array" ref="BN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2" s="25" t="str" cm="1">
        <f t="array" ref="BO12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2" s="26" t="str" cm="1">
        <f t="array" ref="BP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2" s="24" t="str" cm="1">
        <f t="array" ref="BQ12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2" s="24" t="str" cm="1">
        <f t="array" ref="BR12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2" s="24" t="str" cm="1">
        <f t="array" ref="BS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2" s="25" t="str" cm="1">
        <f t="array" ref="BT12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2" s="26" t="str" cm="1">
        <f t="array" ref="BU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2" s="24" t="str" cm="1">
        <f t="array" ref="BV12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2" s="24" t="str" cm="1">
        <f t="array" ref="BW12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2" s="24" t="str" cm="1">
        <f t="array" ref="BX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2" s="25" t="str" cm="1">
        <f t="array" ref="BY12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2" s="26" t="str" cm="1">
        <f t="array" ref="BZ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2" s="24" t="str" cm="1">
        <f t="array" ref="CA12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2" s="24" t="str" cm="1">
        <f t="array" ref="CB12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2" s="24" t="str" cm="1">
        <f t="array" ref="CC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2" s="25" t="str" cm="1">
        <f t="array" ref="CD12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3" spans="1:82" ht="14.4" x14ac:dyDescent="0.3">
      <c r="A13" s="14"/>
      <c r="B13" s="5" t="e">
        <f>#REF!</f>
        <v>#REF!</v>
      </c>
      <c r="C13" s="23" t="str" cm="1">
        <f t="array" ref="C13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3" s="24" t="str" cm="1">
        <f t="array" ref="D13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3" s="24" t="str" cm="1">
        <f t="array" ref="E13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3" s="24" t="str" cm="1">
        <f t="array" ref="F13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3" s="25" t="str" cm="1">
        <f t="array" ref="G13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3" s="23" t="str" cm="1">
        <f t="array" ref="H13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3" s="24" t="str" cm="1">
        <f t="array" ref="I13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3" s="24" t="str" cm="1">
        <f t="array" ref="J13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3" s="24" t="str" cm="1">
        <f t="array" ref="K13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3" s="25" t="str" cm="1">
        <f t="array" ref="L13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3" s="26" t="str" cm="1">
        <f t="array" ref="M13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3" s="24" t="str" cm="1">
        <f t="array" ref="N13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3" s="24" t="str" cm="1">
        <f t="array" ref="O13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3" s="24" t="str" cm="1">
        <f t="array" ref="P13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3" s="25" t="str" cm="1">
        <f t="array" ref="Q13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3" s="26" t="str" cm="1">
        <f t="array" ref="R13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3" s="24" t="str" cm="1">
        <f t="array" ref="S13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3" s="24" t="str" cm="1">
        <f t="array" ref="T13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3" s="24" t="str" cm="1">
        <f t="array" ref="U13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3" s="25" t="str" cm="1">
        <f t="array" ref="V13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3" s="26" t="str" cm="1">
        <f t="array" ref="W13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3" s="24" t="str" cm="1">
        <f t="array" ref="X13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3" s="24" t="str" cm="1">
        <f t="array" ref="Y13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3" s="24" t="str" cm="1">
        <f t="array" ref="Z13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3" s="25" t="str" cm="1">
        <f t="array" ref="AA13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3" s="26" t="str" cm="1">
        <f t="array" ref="AB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3" s="24" t="str" cm="1">
        <f t="array" ref="AC13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3" s="24" t="str" cm="1">
        <f t="array" ref="AD13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3" s="24" t="str" cm="1">
        <f t="array" ref="AE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3" s="25" t="str" cm="1">
        <f t="array" ref="AF13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3" s="26" t="str" cm="1">
        <f t="array" ref="AG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3" s="24" t="str" cm="1">
        <f t="array" ref="AH13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3" s="24" t="str" cm="1">
        <f t="array" ref="AI13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3" s="24" t="str" cm="1">
        <f t="array" ref="AJ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3" s="25" t="str" cm="1">
        <f t="array" ref="AK13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3" s="26" t="str" cm="1">
        <f t="array" ref="AL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3" s="24" t="str" cm="1">
        <f t="array" ref="AM13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3" s="24" t="str" cm="1">
        <f t="array" ref="AN13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3" s="24" t="str" cm="1">
        <f t="array" ref="AO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3" s="25" t="str" cm="1">
        <f t="array" ref="AP13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3" s="26" t="str" cm="1">
        <f t="array" ref="AQ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3" s="24" t="str" cm="1">
        <f t="array" ref="AR13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3" s="24" t="str" cm="1">
        <f t="array" ref="AS13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3" s="24" t="str" cm="1">
        <f t="array" ref="AT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3" s="25" t="str" cm="1">
        <f t="array" ref="AU13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3" s="26" t="str" cm="1">
        <f t="array" ref="AV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3" s="24" t="str" cm="1">
        <f t="array" ref="AW13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3" s="24" t="str" cm="1">
        <f t="array" ref="AX13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3" s="24" t="str" cm="1">
        <f t="array" ref="AY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3" s="25" t="str" cm="1">
        <f t="array" ref="AZ13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3" s="26" t="str" cm="1">
        <f t="array" ref="BA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3" s="24" t="str" cm="1">
        <f t="array" ref="BB13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3" s="24" t="str" cm="1">
        <f t="array" ref="BC13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3" s="24" t="str" cm="1">
        <f t="array" ref="BD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3" s="25" t="str" cm="1">
        <f t="array" ref="BE13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3" s="26" t="str" cm="1">
        <f t="array" ref="BF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3" s="24" t="str" cm="1">
        <f t="array" ref="BG13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3" s="24" t="str" cm="1">
        <f t="array" ref="BH13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3" s="24" t="str" cm="1">
        <f t="array" ref="BI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3" s="25" t="str" cm="1">
        <f t="array" ref="BJ13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3" s="26" t="str" cm="1">
        <f t="array" ref="BK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3" s="24" t="str" cm="1">
        <f t="array" ref="BL13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3" s="24" t="str" cm="1">
        <f t="array" ref="BM13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3" s="24" t="str" cm="1">
        <f t="array" ref="BN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3" s="25" t="str" cm="1">
        <f t="array" ref="BO13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3" s="26" t="str" cm="1">
        <f t="array" ref="BP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3" s="24" t="str" cm="1">
        <f t="array" ref="BQ13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3" s="24" t="str" cm="1">
        <f t="array" ref="BR13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3" s="24" t="str" cm="1">
        <f t="array" ref="BS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3" s="25" t="str" cm="1">
        <f t="array" ref="BT13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3" s="26" t="str" cm="1">
        <f t="array" ref="BU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3" s="24" t="str" cm="1">
        <f t="array" ref="BV13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3" s="24" t="str" cm="1">
        <f t="array" ref="BW13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3" s="24" t="str" cm="1">
        <f t="array" ref="BX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3" s="25" t="str" cm="1">
        <f t="array" ref="BY13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3" s="26" t="str" cm="1">
        <f t="array" ref="BZ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3" s="24" t="str" cm="1">
        <f t="array" ref="CA13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3" s="24" t="str" cm="1">
        <f t="array" ref="CB13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3" s="24" t="str" cm="1">
        <f t="array" ref="CC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3" s="25" t="str" cm="1">
        <f t="array" ref="CD13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4" spans="1:82" ht="14.4" x14ac:dyDescent="0.3">
      <c r="A14" s="14"/>
      <c r="B14" s="5" t="e">
        <f>#REF!</f>
        <v>#REF!</v>
      </c>
      <c r="C14" s="23" t="str" cm="1">
        <f t="array" ref="C14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4" s="24" t="str" cm="1">
        <f t="array" ref="D14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4" s="24" t="str" cm="1">
        <f t="array" ref="E14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4" s="24" t="str" cm="1">
        <f t="array" ref="F1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4" s="25" t="str" cm="1">
        <f t="array" ref="G14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4" s="23" t="str" cm="1">
        <f t="array" ref="H14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4" s="24" t="str" cm="1">
        <f t="array" ref="I14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4" s="24" t="str" cm="1">
        <f t="array" ref="J14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4" s="24" t="str" cm="1">
        <f t="array" ref="K1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4" s="25" t="str" cm="1">
        <f t="array" ref="L14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4" s="26" t="str" cm="1">
        <f t="array" ref="M14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4" s="24" t="str" cm="1">
        <f t="array" ref="N14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4" s="24" t="str" cm="1">
        <f t="array" ref="O14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4" s="24" t="str" cm="1">
        <f t="array" ref="P1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4" s="25" t="str" cm="1">
        <f t="array" ref="Q14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4" s="26" t="str" cm="1">
        <f t="array" ref="R14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4" s="24" t="str" cm="1">
        <f t="array" ref="S14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4" s="24" t="str" cm="1">
        <f t="array" ref="T14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4" s="24" t="str" cm="1">
        <f t="array" ref="U1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4" s="25" t="str" cm="1">
        <f t="array" ref="V14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4" s="26" t="str" cm="1">
        <f t="array" ref="W14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4" s="24" t="str" cm="1">
        <f t="array" ref="X14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4" s="24" t="str" cm="1">
        <f t="array" ref="Y14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4" s="24" t="str" cm="1">
        <f t="array" ref="Z1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4" s="25" t="str" cm="1">
        <f t="array" ref="AA14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4" s="26" t="str" cm="1">
        <f t="array" ref="AB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4" s="24" t="str" cm="1">
        <f t="array" ref="AC14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4" s="24" t="str" cm="1">
        <f t="array" ref="AD14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4" s="24" t="str" cm="1">
        <f t="array" ref="AE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4" s="25" t="str" cm="1">
        <f t="array" ref="AF14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4" s="26" t="str" cm="1">
        <f t="array" ref="AG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4" s="24" t="str" cm="1">
        <f t="array" ref="AH14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4" s="24" t="str" cm="1">
        <f t="array" ref="AI14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4" s="24" t="str" cm="1">
        <f t="array" ref="AJ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4" s="25" t="str" cm="1">
        <f t="array" ref="AK14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4" s="26" t="str" cm="1">
        <f t="array" ref="AL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4" s="24" t="str" cm="1">
        <f t="array" ref="AM14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4" s="24" t="str" cm="1">
        <f t="array" ref="AN14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4" s="24" t="str" cm="1">
        <f t="array" ref="AO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4" s="25" t="str" cm="1">
        <f t="array" ref="AP14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4" s="26" t="str" cm="1">
        <f t="array" ref="AQ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4" s="24" t="str" cm="1">
        <f t="array" ref="AR14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4" s="24" t="str" cm="1">
        <f t="array" ref="AS14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4" s="24" t="str" cm="1">
        <f t="array" ref="AT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4" s="25" t="str" cm="1">
        <f t="array" ref="AU14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4" s="26" t="str" cm="1">
        <f t="array" ref="AV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4" s="24" t="str" cm="1">
        <f t="array" ref="AW14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4" s="24" t="str" cm="1">
        <f t="array" ref="AX14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4" s="24" t="str" cm="1">
        <f t="array" ref="AY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4" s="25" t="str" cm="1">
        <f t="array" ref="AZ14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4" s="26" t="str" cm="1">
        <f t="array" ref="BA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4" s="24" t="str" cm="1">
        <f t="array" ref="BB14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4" s="24" t="str" cm="1">
        <f t="array" ref="BC14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4" s="24" t="str" cm="1">
        <f t="array" ref="BD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4" s="25" t="str" cm="1">
        <f t="array" ref="BE14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4" s="26" t="str" cm="1">
        <f t="array" ref="BF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4" s="24" t="str" cm="1">
        <f t="array" ref="BG14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4" s="24" t="str" cm="1">
        <f t="array" ref="BH14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4" s="24" t="str" cm="1">
        <f t="array" ref="BI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4" s="25" t="str" cm="1">
        <f t="array" ref="BJ14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4" s="26" t="str" cm="1">
        <f t="array" ref="BK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4" s="24" t="str" cm="1">
        <f t="array" ref="BL14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4" s="24" t="str" cm="1">
        <f t="array" ref="BM14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4" s="24" t="str" cm="1">
        <f t="array" ref="BN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4" s="25" t="str" cm="1">
        <f t="array" ref="BO14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4" s="26" t="str" cm="1">
        <f t="array" ref="BP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4" s="24" t="str" cm="1">
        <f t="array" ref="BQ14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4" s="24" t="str" cm="1">
        <f t="array" ref="BR14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4" s="24" t="str" cm="1">
        <f t="array" ref="BS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4" s="25" t="str" cm="1">
        <f t="array" ref="BT14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4" s="26" t="str" cm="1">
        <f t="array" ref="BU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4" s="24" t="str" cm="1">
        <f t="array" ref="BV14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4" s="24" t="str" cm="1">
        <f t="array" ref="BW14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4" s="24" t="str" cm="1">
        <f t="array" ref="BX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4" s="25" t="str" cm="1">
        <f t="array" ref="BY14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4" s="26" t="str" cm="1">
        <f t="array" ref="BZ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4" s="24" t="str" cm="1">
        <f t="array" ref="CA14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4" s="24" t="str" cm="1">
        <f t="array" ref="CB14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4" s="24" t="str" cm="1">
        <f t="array" ref="CC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4" s="25" t="str" cm="1">
        <f t="array" ref="CD14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5" spans="1:82" ht="14.4" x14ac:dyDescent="0.3">
      <c r="A15" s="14"/>
      <c r="B15" s="5" t="e">
        <f>#REF!</f>
        <v>#REF!</v>
      </c>
      <c r="C15" s="23" t="str" cm="1">
        <f t="array" ref="C15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5" s="24" t="str" cm="1">
        <f t="array" ref="D15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5" s="24" t="str" cm="1">
        <f t="array" ref="E15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5" s="24" t="str" cm="1">
        <f t="array" ref="F1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5" s="25" t="str" cm="1">
        <f t="array" ref="G15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5" s="23" t="str" cm="1">
        <f t="array" ref="H15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5" s="24" t="str" cm="1">
        <f t="array" ref="I15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5" s="24" t="str" cm="1">
        <f t="array" ref="J15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5" s="24" t="str" cm="1">
        <f t="array" ref="K1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5" s="25" t="str" cm="1">
        <f t="array" ref="L15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5" s="26" t="str" cm="1">
        <f t="array" ref="M15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5" s="24" t="str" cm="1">
        <f t="array" ref="N15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5" s="24" t="str" cm="1">
        <f t="array" ref="O15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5" s="24" t="str" cm="1">
        <f t="array" ref="P1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5" s="25" t="str" cm="1">
        <f t="array" ref="Q15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5" s="26" t="str" cm="1">
        <f t="array" ref="R15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5" s="24" t="str" cm="1">
        <f t="array" ref="S15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5" s="24" t="str" cm="1">
        <f t="array" ref="T15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5" s="24" t="str" cm="1">
        <f t="array" ref="U1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5" s="25" t="str" cm="1">
        <f t="array" ref="V15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5" s="26" t="str" cm="1">
        <f t="array" ref="W15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5" s="24" t="str" cm="1">
        <f t="array" ref="X15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5" s="24" t="str" cm="1">
        <f t="array" ref="Y15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5" s="24" t="str" cm="1">
        <f t="array" ref="Z1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5" s="25" t="str" cm="1">
        <f t="array" ref="AA15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5" s="26" t="str" cm="1">
        <f t="array" ref="AB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5" s="24" t="str" cm="1">
        <f t="array" ref="AC15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5" s="24" t="str" cm="1">
        <f t="array" ref="AD15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5" s="24" t="str" cm="1">
        <f t="array" ref="AE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5" s="25" t="str" cm="1">
        <f t="array" ref="AF15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5" s="26" t="str" cm="1">
        <f t="array" ref="AG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5" s="24" t="str" cm="1">
        <f t="array" ref="AH15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5" s="24" t="str" cm="1">
        <f t="array" ref="AI15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5" s="24" t="str" cm="1">
        <f t="array" ref="AJ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5" s="25" t="str" cm="1">
        <f t="array" ref="AK15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5" s="26" t="str" cm="1">
        <f t="array" ref="AL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5" s="24" t="str" cm="1">
        <f t="array" ref="AM15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5" s="24" t="str" cm="1">
        <f t="array" ref="AN15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5" s="24" t="str" cm="1">
        <f t="array" ref="AO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5" s="25" t="str" cm="1">
        <f t="array" ref="AP15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5" s="26" t="str" cm="1">
        <f t="array" ref="AQ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5" s="24" t="str" cm="1">
        <f t="array" ref="AR15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5" s="24" t="str" cm="1">
        <f t="array" ref="AS15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5" s="24" t="str" cm="1">
        <f t="array" ref="AT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5" s="25" t="str" cm="1">
        <f t="array" ref="AU15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5" s="26" t="str" cm="1">
        <f t="array" ref="AV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5" s="24" t="str" cm="1">
        <f t="array" ref="AW15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5" s="24" t="str" cm="1">
        <f t="array" ref="AX15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5" s="24" t="str" cm="1">
        <f t="array" ref="AY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5" s="25" t="str" cm="1">
        <f t="array" ref="AZ15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5" s="26" t="str" cm="1">
        <f t="array" ref="BA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5" s="24" t="str" cm="1">
        <f t="array" ref="BB15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5" s="24" t="str" cm="1">
        <f t="array" ref="BC15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5" s="24" t="str" cm="1">
        <f t="array" ref="BD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5" s="25" t="str" cm="1">
        <f t="array" ref="BE15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5" s="26" t="str" cm="1">
        <f t="array" ref="BF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5" s="24" t="str" cm="1">
        <f t="array" ref="BG15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5" s="24" t="str" cm="1">
        <f t="array" ref="BH15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5" s="24" t="str" cm="1">
        <f t="array" ref="BI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5" s="25" t="str" cm="1">
        <f t="array" ref="BJ15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5" s="26" t="str" cm="1">
        <f t="array" ref="BK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5" s="24" t="str" cm="1">
        <f t="array" ref="BL15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5" s="24" t="str" cm="1">
        <f t="array" ref="BM15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5" s="24" t="str" cm="1">
        <f t="array" ref="BN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5" s="25" t="str" cm="1">
        <f t="array" ref="BO15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5" s="26" t="str" cm="1">
        <f t="array" ref="BP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5" s="24" t="str" cm="1">
        <f t="array" ref="BQ15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5" s="24" t="str" cm="1">
        <f t="array" ref="BR15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5" s="24" t="str" cm="1">
        <f t="array" ref="BS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5" s="25" t="str" cm="1">
        <f t="array" ref="BT15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5" s="26" t="str" cm="1">
        <f t="array" ref="BU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5" s="24" t="str" cm="1">
        <f t="array" ref="BV15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5" s="24" t="str" cm="1">
        <f t="array" ref="BW15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5" s="24" t="str" cm="1">
        <f t="array" ref="BX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5" s="25" t="str" cm="1">
        <f t="array" ref="BY15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5" s="26" t="str" cm="1">
        <f t="array" ref="BZ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5" s="24" t="str" cm="1">
        <f t="array" ref="CA15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5" s="24" t="str" cm="1">
        <f t="array" ref="CB15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5" s="24" t="str" cm="1">
        <f t="array" ref="CC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5" s="25" t="str" cm="1">
        <f t="array" ref="CD15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6" spans="1:82" ht="15" thickBot="1" x14ac:dyDescent="0.35">
      <c r="A16" s="14"/>
      <c r="B16" s="35" t="e">
        <f>#REF!</f>
        <v>#REF!</v>
      </c>
      <c r="C16" s="27" t="str" cm="1">
        <f t="array" ref="C16">IFERROR(_xlfn.PERCENTILE.INC(_xlfn.CHOOSECOLS(_xlfn._xlws.FILTER(JiraStories[#Data],(JiraStories[[Squad]:[Squad]]=C$2)*(JiraStories[[Issue-Type]:[Issue-Type]]&lt;&gt;"Bug")*(JiraStories[[Resolved]:[Resolved]]&gt;LeadTime13[[#This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D16" s="28" t="str" cm="1">
        <f t="array" ref="D16">IFERROR(MAX(_xlfn.CHOOSECOLS(_xlfn._xlws.FILTER(JiraStories[#Data],(JiraStories[[Squad]:[Squad]]=$C$2)*(JiraStories[[Issue-Type]:[Issue-Type]]&lt;&gt;"Bug")*(JiraStories[[Resolved]:[Resolved]]&gt;LeadTime13[[#This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E16" s="28" t="str" cm="1">
        <f t="array" ref="E16">IFERROR(MIN(_xlfn.CHOOSECOLS(_xlfn._xlws.FILTER(JiraStories[#Data],(JiraStories[[Squad]:[Squad]]=$C$2)*(JiraStories[[Issue-Type]:[Issue-Type]]&lt;&gt;"Bug")*(JiraStories[[Resolved]:[Resolved]]&gt;LeadTime13[[#This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Row],[Datum]:[Datum]],1))),-7)),"")</f>
        <v/>
      </c>
      <c r="F16" s="28" t="str" cm="1">
        <f t="array" ref="F1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G16" s="29" t="str" cm="1">
        <f t="array" ref="G16">IFERROR(_xlfn.PERCENTILE.INC(_xlfn.CHOOSECOLS(_xlfn._xlws.FILTER(JiraStories[#Data],(JiraStories[[Squad]:[Squad]]=$C$2)*(JiraStories[[Issue-Type]:[Issue-Type]]&lt;&gt;"Bug")*(JiraStories[[Resolved]:[Resolved]]&gt;LeadTime13[[#This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H16" s="27" t="str" cm="1">
        <f t="array" ref="H16">IFERROR(_xlfn.PERCENTILE.INC(_xlfn.CHOOSECOLS(_xlfn._xlws.FILTER(JiraStories[#Data],(JiraStories[[Squad]:[Squad]]=H$2)*(JiraStories[[Issue-Type]:[Issue-Type]]&lt;&gt;"Bug")*(JiraStories[[Resolved]:[Resolved]]&gt;LeadTime13[[#This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I16" s="28" t="str" cm="1">
        <f t="array" ref="I16">IFERROR(MAX(_xlfn.CHOOSECOLS(_xlfn._xlws.FILTER(JiraStories[#Data],(JiraStories[[Squad]:[Squad]]=$H$2)*(JiraStories[[Issue-Type]:[Issue-Type]]&lt;&gt;"Bug")*(JiraStories[[Resolved]:[Resolved]]&gt;LeadTime13[[#This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J16" s="28" t="str" cm="1">
        <f t="array" ref="J16">IFERROR(MIN(_xlfn.CHOOSECOLS(_xlfn._xlws.FILTER(JiraStories[#Data],(JiraStories[[Squad]:[Squad]]=$H$2)*(JiraStories[[Issue-Type]:[Issue-Type]]&lt;&gt;"Bug")*(JiraStories[[Resolved]:[Resolved]]&gt;LeadTime13[[#This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Row],[Datum]:[Datum]],1))),-7)),"")</f>
        <v/>
      </c>
      <c r="K16" s="28" t="str" cm="1">
        <f t="array" ref="K1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L16" s="29" t="str" cm="1">
        <f t="array" ref="L16">IFERROR(_xlfn.PERCENTILE.INC(_xlfn.CHOOSECOLS(_xlfn._xlws.FILTER(JiraStories[#Data],(JiraStories[[Squad]:[Squad]]=$H$2)*(JiraStories[[Issue-Type]:[Issue-Type]]&lt;&gt;"Bug")*(JiraStories[[Resolved]:[Resolved]]&gt;LeadTime13[[#This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M16" s="30" t="str" cm="1">
        <f t="array" ref="M16">IFERROR(_xlfn.PERCENTILE.INC(_xlfn.CHOOSECOLS(_xlfn._xlws.FILTER(JiraStories[#Data],(JiraStories[[Squad]:[Squad]]=M$2)*(JiraStories[[Issue-Type]:[Issue-Type]]&lt;&gt;"Bug")*(JiraStories[[Resolved]:[Resolved]]&gt;LeadTime13[[#This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N16" s="28" t="str" cm="1">
        <f t="array" ref="N16">IFERROR(MAX(_xlfn.CHOOSECOLS(_xlfn._xlws.FILTER(JiraStories[#Data],(JiraStories[[Squad]:[Squad]]=$M$2)*(JiraStories[[Issue-Type]:[Issue-Type]]&lt;&gt;"Bug")*(JiraStories[[Resolved]:[Resolved]]&gt;LeadTime13[[#This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O16" s="28" t="str" cm="1">
        <f t="array" ref="O16">IFERROR(MIN(_xlfn.CHOOSECOLS(_xlfn._xlws.FILTER(JiraStories[#Data],(JiraStories[[Squad]:[Squad]]=$M$2)*(JiraStories[[Issue-Type]:[Issue-Type]]&lt;&gt;"Bug")*(JiraStories[[Resolved]:[Resolved]]&gt;LeadTime13[[#This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Row],[Datum]:[Datum]],1))),-7)),"")</f>
        <v/>
      </c>
      <c r="P16" s="28" t="str" cm="1">
        <f t="array" ref="P1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Q16" s="29" t="str" cm="1">
        <f t="array" ref="Q16">IFERROR(_xlfn.PERCENTILE.INC(_xlfn.CHOOSECOLS(_xlfn._xlws.FILTER(JiraStories[#Data],(JiraStories[[Squad]:[Squad]]=$M$2)*(JiraStories[[Issue-Type]:[Issue-Type]]&lt;&gt;"Bug")*(JiraStories[[Resolved]:[Resolved]]&gt;LeadTime13[[#This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R16" s="30" t="str" cm="1">
        <f t="array" ref="R16">IFERROR(_xlfn.PERCENTILE.INC(_xlfn.CHOOSECOLS(_xlfn._xlws.FILTER(JiraStories[#Data],(JiraStories[[Squad]:[Squad]]=R$2)*(JiraStories[[Issue-Type]:[Issue-Type]]&lt;&gt;"Bug")*(JiraStories[[Resolved]:[Resolved]]&gt;LeadTime13[[#This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S16" s="28" t="str" cm="1">
        <f t="array" ref="S16">IFERROR(MAX(_xlfn.CHOOSECOLS(_xlfn._xlws.FILTER(JiraStories[#Data],(JiraStories[[Squad]:[Squad]]=$R$2)*(JiraStories[[Issue-Type]:[Issue-Type]]&lt;&gt;"Bug")*(JiraStories[[Resolved]:[Resolved]]&gt;LeadTime13[[#This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T16" s="28" t="str" cm="1">
        <f t="array" ref="T16">IFERROR(MIN(_xlfn.CHOOSECOLS(_xlfn._xlws.FILTER(JiraStories[#Data],(JiraStories[[Squad]:[Squad]]=$R$2)*(JiraStories[[Issue-Type]:[Issue-Type]]&lt;&gt;"Bug")*(JiraStories[[Resolved]:[Resolved]]&gt;LeadTime13[[#This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Row],[Datum]:[Datum]],1))),-7)),"")</f>
        <v/>
      </c>
      <c r="U16" s="28" t="str" cm="1">
        <f t="array" ref="U1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V16" s="29" t="str" cm="1">
        <f t="array" ref="V16">IFERROR(_xlfn.PERCENTILE.INC(_xlfn.CHOOSECOLS(_xlfn._xlws.FILTER(JiraStories[#Data],(JiraStories[[Squad]:[Squad]]=$R$2)*(JiraStories[[Issue-Type]:[Issue-Type]]&lt;&gt;"Bug")*(JiraStories[[Resolved]:[Resolved]]&gt;LeadTime13[[#This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W16" s="30" t="str" cm="1">
        <f t="array" ref="W16">IFERROR(_xlfn.PERCENTILE.INC(_xlfn.CHOOSECOLS(_xlfn._xlws.FILTER(JiraStories[#Data],(JiraStories[[Squad]:[Squad]]=W$2)*(JiraStories[[Issue-Type]:[Issue-Type]]&lt;&gt;"Bug")*(JiraStories[[Resolved]:[Resolved]]&gt;LeadTime13[[#This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X16" s="28" t="str" cm="1">
        <f t="array" ref="X16">IFERROR(MAX(_xlfn.CHOOSECOLS(_xlfn._xlws.FILTER(JiraStories[#Data],(JiraStories[[Squad]:[Squad]]=W$2)*(JiraStories[[Issue-Type]:[Issue-Type]]&lt;&gt;"Bug")*(JiraStories[[Resolved]:[Resolved]]&gt;LeadTime13[[#This Row],[Datum]:[Datum]])*(JiraStories[[Resolved]:[Resolved]]&lt;EDATE(LeadTime13[[#This Row],[Datum]:[Datum]],1))),-7)),"")</f>
        <v/>
      </c>
      <c r="Y16" s="28" t="str" cm="1">
        <f t="array" ref="Y16">IFERROR(MIN(_xlfn.CHOOSECOLS(_xlfn._xlws.FILTER(JiraStories[#Data],(JiraStories[[Squad]:[Squad]]=$W$2)*(JiraStories[[Issue-Type]:[Issue-Type]]&lt;&gt;"Bug")*(JiraStories[[Resolved]:[Resolved]]&gt;LeadTime13[[#This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Row],[Datum]:[Datum]],1))),-7)),"")</f>
        <v/>
      </c>
      <c r="Z16" s="28" t="str" cm="1">
        <f t="array" ref="Z1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A16" s="29" t="str" cm="1">
        <f t="array" ref="AA16">IFERROR(_xlfn.PERCENTILE.INC(_xlfn.CHOOSECOLS(_xlfn._xlws.FILTER(JiraStories[#Data],(JiraStories[[Squad]:[Squad]]=$W$2)*(JiraStories[[Issue-Type]:[Issue-Type]]&lt;&gt;"Bug")*(JiraStories[[Resolved]:[Resolved]]&gt;LeadTime13[[#This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B16" s="30" t="str" cm="1">
        <f t="array" ref="AB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C16" s="28" t="str" cm="1">
        <f t="array" ref="AC16">IFERROR(MAX(_xlfn.CHOOSECOLS(_xlfn._xlws.FILTER(JiraStories[#Data],(JiraStories[[Squad]:[Squad]]=AB$2)*(JiraStories[[Issue-Type]:[Issue-Type]]&lt;&gt;"Bug")*(JiraStories[[Resolved]:[Resolved]]&gt;LeadTime13[[#This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D16" s="28" t="str" cm="1">
        <f t="array" ref="AD16">IFERROR(MIN(_xlfn.CHOOSECOLS(_xlfn._xlws.FILTER(JiraStories[#Data],(JiraStories[[Squad]:[Squad]]=AB$2)*(JiraStories[[Issue-Type]:[Issue-Type]]&lt;&gt;"Bug")*(JiraStories[[Resolved]:[Resolved]]&gt;LeadTime13[[#This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Row],[Datum]:[Datum]],1))),-7)),"")</f>
        <v/>
      </c>
      <c r="AE16" s="28" t="str" cm="1">
        <f t="array" ref="AE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F16" s="29" t="str" cm="1">
        <f t="array" ref="AF16">IFERROR(_xlfn.PERCENTILE.INC(_xlfn.CHOOSECOLS(_xlfn._xlws.FILTER(JiraStories[#Data],(JiraStories[[Squad]:[Squad]]=AB$2)*(JiraStories[[Issue-Type]:[Issue-Type]]&lt;&gt;"Bug")*(JiraStories[[Resolved]:[Resolved]]&gt;LeadTime13[[#This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G16" s="30" t="str" cm="1">
        <f t="array" ref="AG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H16" s="28" t="str" cm="1">
        <f t="array" ref="AH16">IFERROR(MAX(_xlfn.CHOOSECOLS(_xlfn._xlws.FILTER(JiraStories[#Data],(JiraStories[[Squad]:[Squad]]=AG$2)*(JiraStories[[Issue-Type]:[Issue-Type]]&lt;&gt;"Bug")*(JiraStories[[Resolved]:[Resolved]]&gt;LeadTime13[[#This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I16" s="28" t="str" cm="1">
        <f t="array" ref="AI16">IFERROR(MIN(_xlfn.CHOOSECOLS(_xlfn._xlws.FILTER(JiraStories[#Data],(JiraStories[[Squad]:[Squad]]=AG$2)*(JiraStories[[Issue-Type]:[Issue-Type]]&lt;&gt;"Bug")*(JiraStories[[Resolved]:[Resolved]]&gt;LeadTime13[[#This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Row],[Datum]:[Datum]],1))),-7)),"")</f>
        <v/>
      </c>
      <c r="AJ16" s="28" t="str" cm="1">
        <f t="array" ref="AJ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K16" s="29" t="str" cm="1">
        <f t="array" ref="AK16">IFERROR(_xlfn.PERCENTILE.INC(_xlfn.CHOOSECOLS(_xlfn._xlws.FILTER(JiraStories[#Data],(JiraStories[[Squad]:[Squad]]=AG$2)*(JiraStories[[Issue-Type]:[Issue-Type]]&lt;&gt;"Bug")*(JiraStories[[Resolved]:[Resolved]]&gt;LeadTime13[[#This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L16" s="30" t="str" cm="1">
        <f t="array" ref="AL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M16" s="28" t="str" cm="1">
        <f t="array" ref="AM16">IFERROR(MAX(_xlfn.CHOOSECOLS(_xlfn._xlws.FILTER(JiraStories[#Data],(JiraStories[[Squad]:[Squad]]=AL$2)*(JiraStories[[Issue-Type]:[Issue-Type]]&lt;&gt;"Bug")*(JiraStories[[Resolved]:[Resolved]]&gt;LeadTime13[[#This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N16" s="28" t="str" cm="1">
        <f t="array" ref="AN16">IFERROR(MIN(_xlfn.CHOOSECOLS(_xlfn._xlws.FILTER(JiraStories[#Data],(JiraStories[[Squad]:[Squad]]=AL$2)*(JiraStories[[Issue-Type]:[Issue-Type]]&lt;&gt;"Bug")*(JiraStories[[Resolved]:[Resolved]]&gt;LeadTime13[[#This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Row],[Datum]:[Datum]],1))),-7)),"")</f>
        <v/>
      </c>
      <c r="AO16" s="28" t="str" cm="1">
        <f t="array" ref="AO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P16" s="29" t="str" cm="1">
        <f t="array" ref="AP16">IFERROR(_xlfn.PERCENTILE.INC(_xlfn.CHOOSECOLS(_xlfn._xlws.FILTER(JiraStories[#Data],(JiraStories[[Squad]:[Squad]]=AL$2)*(JiraStories[[Issue-Type]:[Issue-Type]]&lt;&gt;"Bug")*(JiraStories[[Resolved]:[Resolved]]&gt;LeadTime13[[#This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Q16" s="30" t="str" cm="1">
        <f t="array" ref="AQ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R16" s="28" t="str" cm="1">
        <f t="array" ref="AR16">IFERROR(MAX(_xlfn.CHOOSECOLS(_xlfn._xlws.FILTER(JiraStories[#Data],(JiraStories[[Squad]:[Squad]]=AQ$2)*(JiraStories[[Issue-Type]:[Issue-Type]]&lt;&gt;"Bug")*(JiraStories[[Resolved]:[Resolved]]&gt;LeadTime13[[#This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S16" s="28" t="str" cm="1">
        <f t="array" ref="AS16">IFERROR(MIN(_xlfn.CHOOSECOLS(_xlfn._xlws.FILTER(JiraStories[#Data],(JiraStories[[Squad]:[Squad]]=AQ$2)*(JiraStories[[Issue-Type]:[Issue-Type]]&lt;&gt;"Bug")*(JiraStories[[Resolved]:[Resolved]]&gt;LeadTime13[[#This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Row],[Datum]:[Datum]],1))),-7)),"")</f>
        <v/>
      </c>
      <c r="AT16" s="28" t="str" cm="1">
        <f t="array" ref="AT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U16" s="29" t="str" cm="1">
        <f t="array" ref="AU16">IFERROR(_xlfn.PERCENTILE.INC(_xlfn.CHOOSECOLS(_xlfn._xlws.FILTER(JiraStories[#Data],(JiraStories[[Squad]:[Squad]]=AQ$2)*(JiraStories[[Issue-Type]:[Issue-Type]]&lt;&gt;"Bug")*(JiraStories[[Resolved]:[Resolved]]&gt;LeadTime13[[#This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AV16" s="30" t="str" cm="1">
        <f t="array" ref="AV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AW16" s="28" t="str" cm="1">
        <f t="array" ref="AW16">IFERROR(MAX(_xlfn.CHOOSECOLS(_xlfn._xlws.FILTER(JiraStories[#Data],(JiraStories[[Squad]:[Squad]]=AV$2)*(JiraStories[[Issue-Type]:[Issue-Type]]&lt;&gt;"Bug")*(JiraStories[[Resolved]:[Resolved]]&gt;LeadTime13[[#This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X16" s="28" t="str" cm="1">
        <f t="array" ref="AX16">IFERROR(MIN(_xlfn.CHOOSECOLS(_xlfn._xlws.FILTER(JiraStories[#Data],(JiraStories[[Squad]:[Squad]]=AV$2)*(JiraStories[[Issue-Type]:[Issue-Type]]&lt;&gt;"Bug")*(JiraStories[[Resolved]:[Resolved]]&gt;LeadTime13[[#This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Row],[Datum]:[Datum]],1))),-7)),"")</f>
        <v/>
      </c>
      <c r="AY16" s="28" t="str" cm="1">
        <f t="array" ref="AY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AZ16" s="29" t="str" cm="1">
        <f t="array" ref="AZ16">IFERROR(_xlfn.PERCENTILE.INC(_xlfn.CHOOSECOLS(_xlfn._xlws.FILTER(JiraStories[#Data],(JiraStories[[Squad]:[Squad]]=AV$2)*(JiraStories[[Issue-Type]:[Issue-Type]]&lt;&gt;"Bug")*(JiraStories[[Resolved]:[Resolved]]&gt;LeadTime13[[#This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A16" s="30" t="str" cm="1">
        <f t="array" ref="BA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B16" s="28" t="str" cm="1">
        <f t="array" ref="BB16">IFERROR(MAX(_xlfn.CHOOSECOLS(_xlfn._xlws.FILTER(JiraStories[#Data],(JiraStories[[Squad]:[Squad]]=BA$2)*(JiraStories[[Issue-Type]:[Issue-Type]]&lt;&gt;"Bug")*(JiraStories[[Resolved]:[Resolved]]&gt;LeadTime13[[#This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C16" s="28" t="str" cm="1">
        <f t="array" ref="BC16">IFERROR(MIN(_xlfn.CHOOSECOLS(_xlfn._xlws.FILTER(JiraStories[#Data],(JiraStories[[Squad]:[Squad]]=BA$2)*(JiraStories[[Issue-Type]:[Issue-Type]]&lt;&gt;"Bug")*(JiraStories[[Resolved]:[Resolved]]&gt;LeadTime13[[#This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Row],[Datum]:[Datum]],1))),-7)),"")</f>
        <v/>
      </c>
      <c r="BD16" s="28" t="str" cm="1">
        <f t="array" ref="BD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E16" s="29" t="str" cm="1">
        <f t="array" ref="BE16">IFERROR(_xlfn.PERCENTILE.INC(_xlfn.CHOOSECOLS(_xlfn._xlws.FILTER(JiraStories[#Data],(JiraStories[[Squad]:[Squad]]=BA$2)*(JiraStories[[Issue-Type]:[Issue-Type]]&lt;&gt;"Bug")*(JiraStories[[Resolved]:[Resolved]]&gt;LeadTime13[[#This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F16" s="30" t="str" cm="1">
        <f t="array" ref="BF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G16" s="28" t="str" cm="1">
        <f t="array" ref="BG16">IFERROR(MAX(_xlfn.CHOOSECOLS(_xlfn._xlws.FILTER(JiraStories[#Data],(JiraStories[[Squad]:[Squad]]=BF$2)*(JiraStories[[Issue-Type]:[Issue-Type]]&lt;&gt;"Bug")*(JiraStories[[Resolved]:[Resolved]]&gt;LeadTime13[[#This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H16" s="28" t="str" cm="1">
        <f t="array" ref="BH16">IFERROR(MIN(_xlfn.CHOOSECOLS(_xlfn._xlws.FILTER(JiraStories[#Data],(JiraStories[[Squad]:[Squad]]=BF$2)*(JiraStories[[Issue-Type]:[Issue-Type]]&lt;&gt;"Bug")*(JiraStories[[Resolved]:[Resolved]]&gt;LeadTime13[[#This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Row],[Datum]:[Datum]],1))),-7)),"")</f>
        <v/>
      </c>
      <c r="BI16" s="28" t="str" cm="1">
        <f t="array" ref="BI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J16" s="29" t="str" cm="1">
        <f t="array" ref="BJ16">IFERROR(_xlfn.PERCENTILE.INC(_xlfn.CHOOSECOLS(_xlfn._xlws.FILTER(JiraStories[#Data],(JiraStories[[Squad]:[Squad]]=BF$2)*(JiraStories[[Issue-Type]:[Issue-Type]]&lt;&gt;"Bug")*(JiraStories[[Resolved]:[Resolved]]&gt;LeadTime13[[#This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K16" s="30" t="str" cm="1">
        <f t="array" ref="BK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L16" s="28" t="str" cm="1">
        <f t="array" ref="BL16">IFERROR(MAX(_xlfn.CHOOSECOLS(_xlfn._xlws.FILTER(JiraStories[#Data],(JiraStories[[Squad]:[Squad]]=BK$2)*(JiraStories[[Issue-Type]:[Issue-Type]]&lt;&gt;"Bug")*(JiraStories[[Resolved]:[Resolved]]&gt;LeadTime13[[#This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M16" s="28" t="str" cm="1">
        <f t="array" ref="BM16">IFERROR(MIN(_xlfn.CHOOSECOLS(_xlfn._xlws.FILTER(JiraStories[#Data],(JiraStories[[Squad]:[Squad]]=BK$2)*(JiraStories[[Issue-Type]:[Issue-Type]]&lt;&gt;"Bug")*(JiraStories[[Resolved]:[Resolved]]&gt;LeadTime13[[#This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Row],[Datum]:[Datum]],1))),-7)),"")</f>
        <v/>
      </c>
      <c r="BN16" s="28" t="str" cm="1">
        <f t="array" ref="BN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O16" s="29" t="str" cm="1">
        <f t="array" ref="BO16">IFERROR(_xlfn.PERCENTILE.INC(_xlfn.CHOOSECOLS(_xlfn._xlws.FILTER(JiraStories[#Data],(JiraStories[[Squad]:[Squad]]=BK$2)*(JiraStories[[Issue-Type]:[Issue-Type]]&lt;&gt;"Bug")*(JiraStories[[Resolved]:[Resolved]]&gt;LeadTime13[[#This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P16" s="30" t="str" cm="1">
        <f t="array" ref="BP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Q16" s="28" t="str" cm="1">
        <f t="array" ref="BQ16">IFERROR(MAX(_xlfn.CHOOSECOLS(_xlfn._xlws.FILTER(JiraStories[#Data],(JiraStories[[Squad]:[Squad]]=BP$2)*(JiraStories[[Issue-Type]:[Issue-Type]]&lt;&gt;"Bug")*(JiraStories[[Resolved]:[Resolved]]&gt;LeadTime13[[#This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R16" s="28" t="str" cm="1">
        <f t="array" ref="BR16">IFERROR(MIN(_xlfn.CHOOSECOLS(_xlfn._xlws.FILTER(JiraStories[#Data],(JiraStories[[Squad]:[Squad]]=BP$2)*(JiraStories[[Issue-Type]:[Issue-Type]]&lt;&gt;"Bug")*(JiraStories[[Resolved]:[Resolved]]&gt;LeadTime13[[#This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Row],[Datum]:[Datum]],1))),-7)),"")</f>
        <v/>
      </c>
      <c r="BS16" s="28" t="str" cm="1">
        <f t="array" ref="BS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T16" s="29" t="str" cm="1">
        <f t="array" ref="BT16">IFERROR(_xlfn.PERCENTILE.INC(_xlfn.CHOOSECOLS(_xlfn._xlws.FILTER(JiraStories[#Data],(JiraStories[[Squad]:[Squad]]=BP$2)*(JiraStories[[Issue-Type]:[Issue-Type]]&lt;&gt;"Bug")*(JiraStories[[Resolved]:[Resolved]]&gt;LeadTime13[[#This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U16" s="30" t="str" cm="1">
        <f t="array" ref="BU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BV16" s="28" t="str" cm="1">
        <f t="array" ref="BV16">IFERROR(MAX(_xlfn.CHOOSECOLS(_xlfn._xlws.FILTER(JiraStories[#Data],(JiraStories[[Squad]:[Squad]]=BU$2)*(JiraStories[[Issue-Type]:[Issue-Type]]&lt;&gt;"Bug")*(JiraStories[[Resolved]:[Resolved]]&gt;LeadTime13[[#This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W16" s="28" t="str" cm="1">
        <f t="array" ref="BW16">IFERROR(MIN(_xlfn.CHOOSECOLS(_xlfn._xlws.FILTER(JiraStories[#Data],(JiraStories[[Squad]:[Squad]]=BU$2)*(JiraStories[[Issue-Type]:[Issue-Type]]&lt;&gt;"Bug")*(JiraStories[[Resolved]:[Resolved]]&gt;LeadTime13[[#This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Row],[Datum]:[Datum]],1))),-7)),"")</f>
        <v/>
      </c>
      <c r="BX16" s="28" t="str" cm="1">
        <f t="array" ref="BX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BY16" s="29" t="str" cm="1">
        <f t="array" ref="BY16">IFERROR(_xlfn.PERCENTILE.INC(_xlfn.CHOOSECOLS(_xlfn._xlws.FILTER(JiraStories[#Data],(JiraStories[[Squad]:[Squad]]=BU$2)*(JiraStories[[Issue-Type]:[Issue-Type]]&lt;&gt;"Bug")*(JiraStories[[Resolved]:[Resolved]]&gt;LeadTime13[[#This Row],[Datum]:[Datum]])*(JiraStories[[Resolved]:[Resolved]]&lt;EDATE(LeadTime13[[#This Row],[Datum]:[Datum]],1))),-7),0.5),"")</f>
        <v/>
      </c>
      <c r="BZ16" s="30" t="str" cm="1">
        <f t="array" ref="BZ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Row],[Datum]:[Datum]],1))),-7),0.85),"")</f>
        <v/>
      </c>
      <c r="CA16" s="28" t="str" cm="1">
        <f t="array" ref="CA16">IFERROR(MAX(_xlfn.CHOOSECOLS(_xlfn._xlws.FILTER(JiraStories[#Data],(JiraStories[[Squad]:[Squad]]=BZ$2)*(JiraStories[[Issue-Type]:[Issue-Type]]&lt;&gt;"Bug")*(JiraStories[[Resolved]:[Resolved]]&gt;LeadTime13[[#This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B16" s="28" t="str" cm="1">
        <f t="array" ref="CB16">IFERROR(MIN(_xlfn.CHOOSECOLS(_xlfn._xlws.FILTER(JiraStories[#Data],(JiraStories[[Squad]:[Squad]]=BZ$2)*(JiraStories[[Issue-Type]:[Issue-Type]]&lt;&gt;"Bug")*(JiraStories[[Resolved]:[Resolved]]&gt;LeadTime13[[#This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Row],[Datum]:[Datum]],1))),-7)),"")</f>
        <v/>
      </c>
      <c r="CC16" s="28" t="str" cm="1">
        <f t="array" ref="CC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Row],[Datum]:[Datum]],1))),-7),0.25),"")</f>
        <v/>
      </c>
      <c r="CD16" s="29" t="str" cm="1">
        <f t="array" ref="CD16">IFERROR(_xlfn.PERCENTILE.INC(_xlfn.CHOOSECOLS(_xlfn._xlws.FILTER(JiraStories[#Data],(JiraStories[[Squad]:[Squad]]=BZ$2)*(JiraStories[[Issue-Type]:[Issue-Type]]&lt;&gt;"Bug")*(JiraStories[[Resolved]:[Resolved]]&gt;LeadTime13[[#This Row],[Datum]:[Datum]])*(JiraStories[[Resolved]:[Resolved]]&lt;EDATE(LeadTime13[[#This Row],[Datum]:[Datum]],1))),-7),0.5),"")</f>
        <v/>
      </c>
    </row>
    <row r="17" spans="1:19" ht="14.4" x14ac:dyDescent="0.3">
      <c r="A17" s="14"/>
      <c r="C17" s="7" t="s">
        <v>84</v>
      </c>
      <c r="D17" s="7" t="s">
        <v>85</v>
      </c>
      <c r="E17" s="7" t="s">
        <v>86</v>
      </c>
      <c r="F17" s="7" t="s">
        <v>87</v>
      </c>
      <c r="S17" s="32"/>
    </row>
    <row r="18" spans="1:19" ht="14.4" x14ac:dyDescent="0.3">
      <c r="A18" s="14"/>
      <c r="B18" s="14"/>
    </row>
    <row r="19" spans="1:19" ht="14.4" x14ac:dyDescent="0.3">
      <c r="A19" s="14"/>
      <c r="B19" s="14"/>
    </row>
    <row r="20" spans="1:19" ht="14.4" x14ac:dyDescent="0.3">
      <c r="A20" s="14"/>
      <c r="B20" s="14"/>
    </row>
    <row r="21" spans="1:19" ht="14.4" x14ac:dyDescent="0.3">
      <c r="A21" s="14"/>
      <c r="B21" s="14"/>
    </row>
    <row r="22" spans="1:19" ht="14.4" x14ac:dyDescent="0.3">
      <c r="A22" s="14"/>
      <c r="B22" s="14"/>
    </row>
    <row r="23" spans="1:19" ht="14.4" x14ac:dyDescent="0.3">
      <c r="A23" s="14"/>
      <c r="B23" s="14"/>
    </row>
    <row r="24" spans="1:19" ht="14.4" x14ac:dyDescent="0.3">
      <c r="A24" s="14"/>
      <c r="B24" s="14"/>
    </row>
    <row r="25" spans="1:19" ht="14.4" x14ac:dyDescent="0.3">
      <c r="A25" s="14"/>
      <c r="B25" s="14"/>
    </row>
    <row r="26" spans="1:19" ht="14.4" x14ac:dyDescent="0.3">
      <c r="A26" s="14"/>
      <c r="B26" s="14"/>
    </row>
    <row r="27" spans="1:19" ht="14.4" x14ac:dyDescent="0.3">
      <c r="A27" s="14"/>
      <c r="B27" s="14"/>
    </row>
    <row r="28" spans="1:19" ht="14.4" x14ac:dyDescent="0.3">
      <c r="A28" s="14"/>
      <c r="B28" s="14"/>
    </row>
    <row r="29" spans="1:19" ht="14.4" x14ac:dyDescent="0.3">
      <c r="A29" s="14"/>
      <c r="B29" s="14"/>
    </row>
    <row r="30" spans="1:19" ht="14.4" x14ac:dyDescent="0.3">
      <c r="A30" s="14"/>
      <c r="B30" s="14"/>
    </row>
    <row r="31" spans="1:19" ht="14.4" x14ac:dyDescent="0.3">
      <c r="A31" s="14"/>
      <c r="B31" s="14"/>
    </row>
    <row r="32" spans="1:19" ht="14.4" x14ac:dyDescent="0.3">
      <c r="A32" s="14"/>
      <c r="B32" s="14"/>
    </row>
    <row r="33" spans="1:2" ht="14.4" x14ac:dyDescent="0.3">
      <c r="A33" s="14"/>
      <c r="B33" s="14"/>
    </row>
    <row r="34" spans="1:2" ht="14.4" x14ac:dyDescent="0.3">
      <c r="A34" s="14"/>
      <c r="B34" s="31"/>
    </row>
    <row r="35" spans="1:2" ht="14.4" x14ac:dyDescent="0.3">
      <c r="A35" s="14"/>
      <c r="B35" s="14"/>
    </row>
  </sheetData>
  <sheetProtection algorithmName="SHA-512" hashValue="doYRc2zPWEwQp0k/mHEzMqaVfj55qrZlkNv2M8tEXBN5dBry6+DnrvWjSo6U9kq8qIOj52QayDBpU14JsGyhFg==" saltValue="21jOAyApZECkREe0Npubpg==" spinCount="100000" sheet="1" objects="1" scenarios="1"/>
  <mergeCells count="16">
    <mergeCell ref="AB2:AF2"/>
    <mergeCell ref="C2:G2"/>
    <mergeCell ref="H2:L2"/>
    <mergeCell ref="M2:Q2"/>
    <mergeCell ref="R2:V2"/>
    <mergeCell ref="W2:AA2"/>
    <mergeCell ref="BK2:BO2"/>
    <mergeCell ref="BP2:BT2"/>
    <mergeCell ref="BU2:BY2"/>
    <mergeCell ref="BZ2:CD2"/>
    <mergeCell ref="AG2:AK2"/>
    <mergeCell ref="AL2:AP2"/>
    <mergeCell ref="AQ2:AU2"/>
    <mergeCell ref="AV2:AZ2"/>
    <mergeCell ref="BA2:BE2"/>
    <mergeCell ref="BF2:BJ2"/>
  </mergeCells>
  <pageMargins left="0.70866141732283472" right="0.70866141732283472" top="0.78740157480314965" bottom="0.78740157480314965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1C66-8A90-4DCC-9B52-69B8AD2F6614}">
  <sheetPr>
    <tabColor theme="2" tint="-9.9978637043366805E-2"/>
  </sheetPr>
  <dimension ref="B2:Q16"/>
  <sheetViews>
    <sheetView tabSelected="1" zoomScale="80" zoomScaleNormal="80" workbookViewId="0">
      <selection activeCell="D3" sqref="D3"/>
    </sheetView>
  </sheetViews>
  <sheetFormatPr baseColWidth="10" defaultColWidth="11.44140625" defaultRowHeight="14.4" x14ac:dyDescent="0.3"/>
  <cols>
    <col min="1" max="2" width="11.44140625" style="2"/>
    <col min="3" max="3" width="19.109375" style="2" bestFit="1" customWidth="1"/>
    <col min="4" max="7" width="14.88671875" style="2" customWidth="1"/>
    <col min="8" max="8" width="18.21875" style="2" customWidth="1"/>
    <col min="9" max="9" width="20.5546875" style="2" customWidth="1"/>
    <col min="10" max="10" width="23.88671875" style="2" customWidth="1"/>
    <col min="11" max="17" width="14.88671875" style="2" customWidth="1"/>
    <col min="18" max="16384" width="11.44140625" style="2"/>
  </cols>
  <sheetData>
    <row r="2" spans="2:17" x14ac:dyDescent="0.3">
      <c r="D2" s="40" t="s">
        <v>234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2:17" x14ac:dyDescent="0.3">
      <c r="B3" s="41" t="s">
        <v>3</v>
      </c>
      <c r="C3" s="41" t="s">
        <v>4</v>
      </c>
      <c r="D3" s="41" t="e" cm="1" vm="1">
        <f t="array" ref="D3">TRANSPOSE(_xlfn._xlws.FILTER(jiraProjectsTable[Squad],NOT(ISBLANK(jiraProjectsTable[Squad]))))</f>
        <v>#VALUE!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</row>
    <row r="4" spans="2:17" x14ac:dyDescent="0.3">
      <c r="B4" s="42">
        <f>[1]Datumstabelle!B3</f>
        <v>45809</v>
      </c>
      <c r="C4" s="43" t="e">
        <f t="shared" ref="C4:C16" si="0">INDEX(D4:Q4,1,MATCH(jiraProjectCell,$D$3:$Q$3,0))</f>
        <v>#N/A</v>
      </c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</row>
    <row r="5" spans="2:17" x14ac:dyDescent="0.3">
      <c r="B5" s="45">
        <f>[1]Datumstabelle!B4</f>
        <v>45839</v>
      </c>
      <c r="C5" t="e">
        <f t="shared" si="0"/>
        <v>#N/A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2:17" x14ac:dyDescent="0.3">
      <c r="B6" s="46">
        <f>[1]Datumstabelle!B5</f>
        <v>45870</v>
      </c>
      <c r="C6" s="47" t="e">
        <f t="shared" si="0"/>
        <v>#N/A</v>
      </c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</row>
    <row r="7" spans="2:17" x14ac:dyDescent="0.3">
      <c r="B7" s="45">
        <f>[1]Datumstabelle!B6</f>
        <v>45901</v>
      </c>
      <c r="C7" t="e">
        <f t="shared" si="0"/>
        <v>#N/A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2:17" x14ac:dyDescent="0.3">
      <c r="B8" s="46">
        <f>[1]Datumstabelle!B7</f>
        <v>45931</v>
      </c>
      <c r="C8" s="47" t="e">
        <f t="shared" si="0"/>
        <v>#N/A</v>
      </c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</row>
    <row r="9" spans="2:17" x14ac:dyDescent="0.3">
      <c r="B9" s="45">
        <f>[1]Datumstabelle!B8</f>
        <v>45962</v>
      </c>
      <c r="C9" t="e">
        <f t="shared" si="0"/>
        <v>#N/A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2:17" x14ac:dyDescent="0.3">
      <c r="B10" s="46">
        <f>[1]Datumstabelle!B9</f>
        <v>45992</v>
      </c>
      <c r="C10" s="47" t="e">
        <f t="shared" si="0"/>
        <v>#N/A</v>
      </c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</row>
    <row r="11" spans="2:17" x14ac:dyDescent="0.3">
      <c r="B11" s="45">
        <f>[1]Datumstabelle!B10</f>
        <v>46023</v>
      </c>
      <c r="C11" t="e">
        <f t="shared" si="0"/>
        <v>#N/A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2:17" x14ac:dyDescent="0.3">
      <c r="B12" s="46">
        <f>[1]Datumstabelle!B11</f>
        <v>46054</v>
      </c>
      <c r="C12" s="47" t="e">
        <f t="shared" si="0"/>
        <v>#N/A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</row>
    <row r="13" spans="2:17" x14ac:dyDescent="0.3">
      <c r="B13" s="45">
        <f>[1]Datumstabelle!B12</f>
        <v>46082</v>
      </c>
      <c r="C13" t="e">
        <f t="shared" si="0"/>
        <v>#N/A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2:17" x14ac:dyDescent="0.3">
      <c r="B14" s="46">
        <f>[1]Datumstabelle!B13</f>
        <v>46113</v>
      </c>
      <c r="C14" s="47" t="e">
        <f t="shared" si="0"/>
        <v>#N/A</v>
      </c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</row>
    <row r="15" spans="2:17" x14ac:dyDescent="0.3">
      <c r="B15" s="45">
        <f>[1]Datumstabelle!B14</f>
        <v>46143</v>
      </c>
      <c r="C15" t="e">
        <f t="shared" si="0"/>
        <v>#N/A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2:17" x14ac:dyDescent="0.3">
      <c r="B16" s="49">
        <f>[1]Datumstabelle!B15</f>
        <v>46174</v>
      </c>
      <c r="C16" s="50" t="e">
        <f t="shared" si="0"/>
        <v>#N/A</v>
      </c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</row>
  </sheetData>
  <mergeCells count="1">
    <mergeCell ref="D2:Q2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F105-4465-4F43-8FFF-BAC9266C5BC6}">
  <sheetPr>
    <tabColor theme="7" tint="0.39997558519241921"/>
  </sheetPr>
  <dimension ref="B3:E53"/>
  <sheetViews>
    <sheetView workbookViewId="0">
      <selection activeCell="B4" sqref="B4:E10"/>
    </sheetView>
  </sheetViews>
  <sheetFormatPr baseColWidth="10" defaultColWidth="11.44140625" defaultRowHeight="14.4" x14ac:dyDescent="0.3"/>
  <cols>
    <col min="1" max="1" width="11.44140625" style="2"/>
    <col min="2" max="2" width="27.88671875" style="2" bestFit="1" customWidth="1"/>
    <col min="3" max="3" width="60" style="2" bestFit="1" customWidth="1"/>
    <col min="4" max="4" width="14.5546875" style="2" bestFit="1" customWidth="1"/>
    <col min="5" max="16384" width="11.44140625" style="2"/>
  </cols>
  <sheetData>
    <row r="3" spans="2:5" x14ac:dyDescent="0.3">
      <c r="B3" s="3" t="s">
        <v>91</v>
      </c>
      <c r="C3" s="3" t="s">
        <v>92</v>
      </c>
      <c r="D3" s="3" t="s">
        <v>0</v>
      </c>
    </row>
    <row r="4" spans="2:5" x14ac:dyDescent="0.3">
      <c r="B4" s="3"/>
      <c r="C4" s="3"/>
      <c r="D4" s="3"/>
      <c r="E4" s="3"/>
    </row>
    <row r="5" spans="2:5" x14ac:dyDescent="0.3">
      <c r="B5" s="3"/>
      <c r="C5" s="3"/>
      <c r="D5" s="3"/>
      <c r="E5" s="3"/>
    </row>
    <row r="6" spans="2:5" x14ac:dyDescent="0.3">
      <c r="B6" s="3"/>
      <c r="C6" s="3"/>
      <c r="D6" s="3"/>
      <c r="E6" s="3"/>
    </row>
    <row r="7" spans="2:5" x14ac:dyDescent="0.3">
      <c r="B7" s="3"/>
      <c r="C7" s="3"/>
      <c r="D7" s="3"/>
      <c r="E7" s="3"/>
    </row>
    <row r="8" spans="2:5" x14ac:dyDescent="0.3">
      <c r="B8" s="3"/>
      <c r="C8" s="3"/>
      <c r="D8" s="3"/>
      <c r="E8" s="3"/>
    </row>
    <row r="9" spans="2:5" x14ac:dyDescent="0.3">
      <c r="B9" s="3"/>
      <c r="C9" s="3"/>
      <c r="D9" s="3"/>
      <c r="E9" s="3"/>
    </row>
    <row r="10" spans="2:5" x14ac:dyDescent="0.3">
      <c r="B10" s="3"/>
      <c r="C10" s="3"/>
      <c r="D10" s="3"/>
      <c r="E10" s="3"/>
    </row>
    <row r="11" spans="2:5" x14ac:dyDescent="0.3">
      <c r="B11" s="3"/>
      <c r="C11" s="3"/>
      <c r="D11" s="3"/>
    </row>
    <row r="12" spans="2:5" x14ac:dyDescent="0.3">
      <c r="B12" s="3"/>
      <c r="C12" s="3"/>
      <c r="D12" s="3"/>
    </row>
    <row r="13" spans="2:5" x14ac:dyDescent="0.3">
      <c r="B13" s="3"/>
      <c r="C13" s="3"/>
      <c r="D13" s="3"/>
    </row>
    <row r="14" spans="2:5" x14ac:dyDescent="0.3">
      <c r="B14" s="3"/>
      <c r="C14" s="3"/>
      <c r="D14" s="3"/>
    </row>
    <row r="15" spans="2:5" x14ac:dyDescent="0.3">
      <c r="B15" s="3"/>
      <c r="C15" s="3"/>
      <c r="D15" s="3"/>
    </row>
    <row r="16" spans="2:5" x14ac:dyDescent="0.3">
      <c r="B16" s="3"/>
      <c r="C16" s="3"/>
      <c r="D16" s="3"/>
    </row>
    <row r="17" spans="2:4" x14ac:dyDescent="0.3">
      <c r="B17" s="3"/>
      <c r="C17" s="3"/>
      <c r="D17" s="3"/>
    </row>
    <row r="18" spans="2:4" x14ac:dyDescent="0.3">
      <c r="B18" s="3"/>
      <c r="C18" s="3"/>
      <c r="D18" s="3"/>
    </row>
    <row r="19" spans="2:4" x14ac:dyDescent="0.3">
      <c r="B19" s="3"/>
      <c r="C19" s="3"/>
      <c r="D19" s="3"/>
    </row>
    <row r="20" spans="2:4" x14ac:dyDescent="0.3">
      <c r="B20" s="3"/>
      <c r="C20" s="3"/>
      <c r="D20" s="3"/>
    </row>
    <row r="21" spans="2:4" x14ac:dyDescent="0.3">
      <c r="B21" s="4"/>
      <c r="C21" s="4"/>
      <c r="D21" s="4"/>
    </row>
    <row r="22" spans="2:4" x14ac:dyDescent="0.3">
      <c r="B22" s="4"/>
      <c r="C22" s="4"/>
      <c r="D22" s="4"/>
    </row>
    <row r="23" spans="2:4" x14ac:dyDescent="0.3">
      <c r="B23" s="4"/>
      <c r="C23" s="4"/>
      <c r="D23" s="4"/>
    </row>
    <row r="24" spans="2:4" x14ac:dyDescent="0.3">
      <c r="B24" s="4"/>
      <c r="C24" s="4"/>
      <c r="D24" s="4"/>
    </row>
    <row r="25" spans="2:4" x14ac:dyDescent="0.3">
      <c r="B25" s="4"/>
      <c r="C25" s="4"/>
      <c r="D25" s="4"/>
    </row>
    <row r="26" spans="2:4" x14ac:dyDescent="0.3">
      <c r="B26" s="4"/>
      <c r="C26" s="4"/>
      <c r="D26" s="4"/>
    </row>
    <row r="27" spans="2:4" x14ac:dyDescent="0.3">
      <c r="B27" s="4"/>
      <c r="C27" s="4"/>
      <c r="D27" s="4"/>
    </row>
    <row r="28" spans="2:4" x14ac:dyDescent="0.3">
      <c r="B28" s="4"/>
      <c r="C28" s="4"/>
      <c r="D28" s="4"/>
    </row>
    <row r="29" spans="2:4" x14ac:dyDescent="0.3">
      <c r="B29" s="4"/>
      <c r="C29" s="4"/>
      <c r="D29" s="4"/>
    </row>
    <row r="30" spans="2:4" x14ac:dyDescent="0.3">
      <c r="B30" s="4"/>
      <c r="C30" s="4"/>
      <c r="D30" s="4"/>
    </row>
    <row r="31" spans="2:4" x14ac:dyDescent="0.3">
      <c r="B31" s="4"/>
      <c r="C31" s="4"/>
      <c r="D31" s="4"/>
    </row>
    <row r="32" spans="2:4" x14ac:dyDescent="0.3">
      <c r="B32" s="4"/>
      <c r="C32" s="4"/>
      <c r="D32" s="4"/>
    </row>
    <row r="33" spans="2:4" x14ac:dyDescent="0.3">
      <c r="B33" s="4"/>
      <c r="C33" s="4"/>
      <c r="D33" s="4"/>
    </row>
    <row r="34" spans="2:4" x14ac:dyDescent="0.3">
      <c r="B34" s="4"/>
      <c r="C34" s="4"/>
      <c r="D34" s="4"/>
    </row>
    <row r="35" spans="2:4" x14ac:dyDescent="0.3">
      <c r="B35" s="4"/>
      <c r="C35" s="4"/>
      <c r="D35" s="4"/>
    </row>
    <row r="36" spans="2:4" x14ac:dyDescent="0.3">
      <c r="B36" s="4"/>
      <c r="C36" s="4"/>
      <c r="D36" s="4"/>
    </row>
    <row r="37" spans="2:4" x14ac:dyDescent="0.3">
      <c r="B37" s="4"/>
      <c r="C37" s="4"/>
      <c r="D37" s="4"/>
    </row>
    <row r="38" spans="2:4" x14ac:dyDescent="0.3">
      <c r="B38" s="4"/>
      <c r="C38" s="4"/>
      <c r="D38" s="4"/>
    </row>
    <row r="39" spans="2:4" x14ac:dyDescent="0.3">
      <c r="B39" s="4"/>
      <c r="C39" s="4"/>
      <c r="D39" s="4"/>
    </row>
    <row r="40" spans="2:4" x14ac:dyDescent="0.3">
      <c r="B40" s="4"/>
      <c r="C40" s="4"/>
      <c r="D40" s="4"/>
    </row>
    <row r="41" spans="2:4" x14ac:dyDescent="0.3">
      <c r="B41" s="4"/>
      <c r="C41" s="4"/>
      <c r="D41" s="4"/>
    </row>
    <row r="42" spans="2:4" x14ac:dyDescent="0.3">
      <c r="B42" s="4"/>
      <c r="C42" s="4"/>
      <c r="D42" s="4"/>
    </row>
    <row r="43" spans="2:4" x14ac:dyDescent="0.3">
      <c r="B43" s="4"/>
      <c r="C43" s="4"/>
      <c r="D43" s="4"/>
    </row>
    <row r="44" spans="2:4" x14ac:dyDescent="0.3">
      <c r="B44" s="4"/>
      <c r="C44" s="4"/>
      <c r="D44" s="4"/>
    </row>
    <row r="45" spans="2:4" x14ac:dyDescent="0.3">
      <c r="B45" s="4"/>
      <c r="C45" s="4"/>
      <c r="D45" s="4"/>
    </row>
    <row r="46" spans="2:4" x14ac:dyDescent="0.3">
      <c r="B46" s="4"/>
      <c r="C46" s="4"/>
      <c r="D46" s="4"/>
    </row>
    <row r="47" spans="2:4" x14ac:dyDescent="0.3">
      <c r="B47" s="4"/>
      <c r="C47" s="4"/>
      <c r="D47" s="4"/>
    </row>
    <row r="48" spans="2:4" x14ac:dyDescent="0.3">
      <c r="B48" s="4"/>
      <c r="C48" s="4"/>
      <c r="D48" s="4"/>
    </row>
    <row r="49" spans="2:4" x14ac:dyDescent="0.3">
      <c r="B49" s="4"/>
      <c r="C49" s="4"/>
      <c r="D49" s="4"/>
    </row>
    <row r="50" spans="2:4" x14ac:dyDescent="0.3">
      <c r="B50" s="4"/>
      <c r="C50" s="4"/>
      <c r="D50" s="4"/>
    </row>
    <row r="51" spans="2:4" x14ac:dyDescent="0.3">
      <c r="B51" s="4"/>
      <c r="C51" s="4"/>
      <c r="D51" s="4"/>
    </row>
    <row r="52" spans="2:4" x14ac:dyDescent="0.3">
      <c r="B52" s="4"/>
      <c r="C52" s="4"/>
      <c r="D52" s="4"/>
    </row>
    <row r="53" spans="2:4" x14ac:dyDescent="0.3">
      <c r="B53" s="4"/>
      <c r="C53" s="4"/>
      <c r="D53" s="4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4252B-B667-4D41-9152-55F4C7CF6358}">
  <sheetPr>
    <tabColor theme="7" tint="0.39997558519241921"/>
  </sheetPr>
  <dimension ref="A1:P2"/>
  <sheetViews>
    <sheetView workbookViewId="0">
      <selection activeCell="C32" sqref="C32"/>
    </sheetView>
  </sheetViews>
  <sheetFormatPr baseColWidth="10" defaultRowHeight="14.4" x14ac:dyDescent="0.3"/>
  <cols>
    <col min="1" max="1" width="15.88671875" bestFit="1" customWidth="1"/>
    <col min="2" max="2" width="15" bestFit="1" customWidth="1"/>
    <col min="3" max="3" width="25.5546875" bestFit="1" customWidth="1"/>
    <col min="4" max="4" width="30.5546875" bestFit="1" customWidth="1"/>
    <col min="5" max="5" width="14.44140625" style="1" bestFit="1" customWidth="1"/>
    <col min="6" max="6" width="52.44140625" bestFit="1" customWidth="1"/>
    <col min="7" max="7" width="13.5546875" bestFit="1" customWidth="1"/>
    <col min="8" max="8" width="13.5546875" style="1" bestFit="1" customWidth="1"/>
    <col min="9" max="9" width="18" bestFit="1" customWidth="1"/>
    <col min="10" max="10" width="23.33203125" bestFit="1" customWidth="1"/>
    <col min="11" max="11" width="28.109375" bestFit="1" customWidth="1"/>
    <col min="12" max="12" width="42.88671875" bestFit="1" customWidth="1"/>
    <col min="13" max="13" width="19.6640625" bestFit="1" customWidth="1"/>
    <col min="14" max="14" width="22.5546875" bestFit="1" customWidth="1"/>
    <col min="15" max="15" width="24.5546875" style="1" bestFit="1" customWidth="1"/>
    <col min="16" max="16" width="19.44140625" bestFit="1" customWidth="1"/>
  </cols>
  <sheetData>
    <row r="1" spans="1:16" x14ac:dyDescent="0.3">
      <c r="A1" t="s">
        <v>121</v>
      </c>
      <c r="B1" t="s">
        <v>2</v>
      </c>
      <c r="C1" t="s">
        <v>0</v>
      </c>
      <c r="D1" t="s">
        <v>92</v>
      </c>
      <c r="E1" s="1" t="s">
        <v>123</v>
      </c>
      <c r="F1" t="s">
        <v>122</v>
      </c>
      <c r="G1" t="s">
        <v>133</v>
      </c>
      <c r="H1" s="1" t="s">
        <v>124</v>
      </c>
      <c r="I1" t="s">
        <v>125</v>
      </c>
      <c r="J1" t="s">
        <v>126</v>
      </c>
      <c r="K1" t="s">
        <v>115</v>
      </c>
      <c r="L1" t="s">
        <v>114</v>
      </c>
      <c r="M1" t="s">
        <v>127</v>
      </c>
      <c r="N1" t="s">
        <v>128</v>
      </c>
      <c r="O1" s="1" t="s">
        <v>129</v>
      </c>
      <c r="P1" t="s">
        <v>120</v>
      </c>
    </row>
    <row r="2" spans="1:16" x14ac:dyDescent="0.3">
      <c r="I2" s="33"/>
      <c r="P2" s="13"/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AB66A-A4ED-4C2D-A640-1E9D96E8F063}">
  <sheetPr>
    <tabColor theme="7" tint="0.39997558519241921"/>
  </sheetPr>
  <dimension ref="A1:DS2"/>
  <sheetViews>
    <sheetView workbookViewId="0">
      <selection activeCell="A2" sqref="A2:XFD5831"/>
    </sheetView>
  </sheetViews>
  <sheetFormatPr baseColWidth="10" defaultRowHeight="14.4" x14ac:dyDescent="0.3"/>
  <cols>
    <col min="1" max="1" width="15.88671875" bestFit="1" customWidth="1"/>
    <col min="2" max="2" width="13.33203125" bestFit="1" customWidth="1"/>
    <col min="3" max="3" width="27.44140625" bestFit="1" customWidth="1"/>
    <col min="4" max="4" width="12.88671875" bestFit="1" customWidth="1"/>
    <col min="5" max="5" width="22.33203125" bestFit="1" customWidth="1"/>
    <col min="6" max="6" width="43.44140625" bestFit="1" customWidth="1"/>
    <col min="7" max="7" width="17.33203125" bestFit="1" customWidth="1"/>
    <col min="8" max="8" width="18" bestFit="1" customWidth="1"/>
    <col min="9" max="9" width="15.109375" bestFit="1" customWidth="1"/>
    <col min="10" max="10" width="16" bestFit="1" customWidth="1"/>
    <col min="11" max="11" width="23.6640625" bestFit="1" customWidth="1"/>
    <col min="12" max="12" width="19" bestFit="1" customWidth="1"/>
    <col min="13" max="13" width="17.6640625" bestFit="1" customWidth="1"/>
    <col min="14" max="15" width="15.109375" bestFit="1" customWidth="1"/>
    <col min="16" max="16" width="22.44140625" bestFit="1" customWidth="1"/>
    <col min="17" max="17" width="17.6640625" bestFit="1" customWidth="1"/>
    <col min="18" max="18" width="16.5546875" bestFit="1" customWidth="1"/>
    <col min="19" max="19" width="12" bestFit="1" customWidth="1"/>
    <col min="20" max="20" width="12.5546875" bestFit="1" customWidth="1"/>
    <col min="21" max="21" width="14.33203125" bestFit="1" customWidth="1"/>
    <col min="22" max="22" width="15.109375" bestFit="1" customWidth="1"/>
    <col min="23" max="23" width="16.5546875" bestFit="1" customWidth="1"/>
    <col min="24" max="24" width="24.33203125" bestFit="1" customWidth="1"/>
    <col min="25" max="25" width="19.5546875" bestFit="1" customWidth="1"/>
    <col min="26" max="26" width="18.44140625" bestFit="1" customWidth="1"/>
    <col min="27" max="27" width="15.109375" bestFit="1" customWidth="1"/>
    <col min="28" max="28" width="17.5546875" bestFit="1" customWidth="1"/>
    <col min="29" max="29" width="25.33203125" bestFit="1" customWidth="1"/>
    <col min="30" max="30" width="20.5546875" bestFit="1" customWidth="1"/>
    <col min="31" max="31" width="19.44140625" bestFit="1" customWidth="1"/>
    <col min="32" max="33" width="15.109375" bestFit="1" customWidth="1"/>
    <col min="34" max="34" width="20" bestFit="1" customWidth="1"/>
    <col min="35" max="35" width="15.33203125" bestFit="1" customWidth="1"/>
    <col min="36" max="36" width="14.109375" bestFit="1" customWidth="1"/>
    <col min="37" max="38" width="15.109375" bestFit="1" customWidth="1"/>
    <col min="39" max="39" width="21.33203125" bestFit="1" customWidth="1"/>
    <col min="40" max="40" width="16.5546875" bestFit="1" customWidth="1"/>
    <col min="41" max="41" width="15.44140625" bestFit="1" customWidth="1"/>
    <col min="42" max="43" width="15.109375" bestFit="1" customWidth="1"/>
    <col min="44" max="44" width="19.5546875" bestFit="1" customWidth="1"/>
    <col min="45" max="45" width="15.109375" bestFit="1" customWidth="1"/>
    <col min="46" max="46" width="13.6640625" bestFit="1" customWidth="1"/>
    <col min="47" max="47" width="12" bestFit="1" customWidth="1"/>
    <col min="48" max="48" width="12.6640625" bestFit="1" customWidth="1"/>
    <col min="49" max="49" width="14.44140625" bestFit="1" customWidth="1"/>
    <col min="50" max="50" width="17.109375" bestFit="1" customWidth="1"/>
    <col min="51" max="51" width="21.88671875" bestFit="1" customWidth="1"/>
    <col min="52" max="52" width="29.5546875" bestFit="1" customWidth="1"/>
    <col min="53" max="53" width="24.88671875" bestFit="1" customWidth="1"/>
    <col min="54" max="54" width="23.6640625" bestFit="1" customWidth="1"/>
    <col min="55" max="55" width="19.5546875" bestFit="1" customWidth="1"/>
    <col min="56" max="56" width="24.33203125" bestFit="1" customWidth="1"/>
    <col min="57" max="57" width="31.88671875" bestFit="1" customWidth="1"/>
    <col min="58" max="58" width="27.109375" bestFit="1" customWidth="1"/>
    <col min="59" max="59" width="26" bestFit="1" customWidth="1"/>
    <col min="60" max="60" width="17.33203125" bestFit="1" customWidth="1"/>
    <col min="61" max="61" width="22" bestFit="1" customWidth="1"/>
    <col min="62" max="62" width="29.6640625" bestFit="1" customWidth="1"/>
    <col min="63" max="63" width="25" bestFit="1" customWidth="1"/>
    <col min="64" max="64" width="23.88671875" bestFit="1" customWidth="1"/>
    <col min="65" max="65" width="15.109375" bestFit="1" customWidth="1"/>
    <col min="66" max="66" width="16.6640625" bestFit="1" customWidth="1"/>
    <col min="67" max="67" width="24.44140625" bestFit="1" customWidth="1"/>
    <col min="68" max="68" width="19.6640625" bestFit="1" customWidth="1"/>
    <col min="69" max="69" width="18.5546875" bestFit="1" customWidth="1"/>
    <col min="70" max="70" width="16.33203125" bestFit="1" customWidth="1"/>
    <col min="71" max="71" width="21" bestFit="1" customWidth="1"/>
    <col min="72" max="72" width="28.6640625" bestFit="1" customWidth="1"/>
    <col min="73" max="73" width="24" bestFit="1" customWidth="1"/>
    <col min="74" max="74" width="22.6640625" bestFit="1" customWidth="1"/>
    <col min="75" max="75" width="15.109375" bestFit="1" customWidth="1"/>
    <col min="76" max="76" width="18.5546875" bestFit="1" customWidth="1"/>
    <col min="77" max="77" width="26.109375" bestFit="1" customWidth="1"/>
    <col min="78" max="78" width="21.44140625" bestFit="1" customWidth="1"/>
    <col min="79" max="79" width="20.33203125" bestFit="1" customWidth="1"/>
    <col min="80" max="80" width="15.109375" bestFit="1" customWidth="1"/>
    <col min="81" max="81" width="15.6640625" bestFit="1" customWidth="1"/>
    <col min="82" max="82" width="17.44140625" bestFit="1" customWidth="1"/>
    <col min="83" max="83" width="15.109375" bestFit="1" customWidth="1"/>
    <col min="84" max="84" width="16" bestFit="1" customWidth="1"/>
    <col min="85" max="85" width="17.6640625" bestFit="1" customWidth="1"/>
    <col min="86" max="87" width="15.109375" bestFit="1" customWidth="1"/>
    <col min="88" max="88" width="22.5546875" bestFit="1" customWidth="1"/>
    <col min="89" max="89" width="17.88671875" bestFit="1" customWidth="1"/>
    <col min="90" max="90" width="16.6640625" bestFit="1" customWidth="1"/>
    <col min="91" max="91" width="12" bestFit="1" customWidth="1"/>
    <col min="92" max="92" width="14.44140625" bestFit="1" customWidth="1"/>
    <col min="93" max="93" width="16.109375" bestFit="1" customWidth="1"/>
    <col min="94" max="94" width="12" bestFit="1" customWidth="1"/>
    <col min="95" max="95" width="15.5546875" bestFit="1" customWidth="1"/>
    <col min="96" max="96" width="17.33203125" bestFit="1" customWidth="1"/>
    <col min="97" max="97" width="12" bestFit="1" customWidth="1"/>
    <col min="98" max="98" width="12.88671875" bestFit="1" customWidth="1"/>
    <col min="99" max="99" width="14.5546875" bestFit="1" customWidth="1"/>
    <col min="100" max="100" width="14.33203125" bestFit="1" customWidth="1"/>
    <col min="101" max="101" width="19" bestFit="1" customWidth="1"/>
    <col min="102" max="102" width="20.6640625" bestFit="1" customWidth="1"/>
    <col min="103" max="103" width="13.5546875" bestFit="1" customWidth="1"/>
    <col min="104" max="104" width="18.109375" bestFit="1" customWidth="1"/>
    <col min="105" max="105" width="20" bestFit="1" customWidth="1"/>
    <col min="106" max="106" width="11" bestFit="1" customWidth="1"/>
    <col min="107" max="107" width="14.5546875" bestFit="1" customWidth="1"/>
    <col min="108" max="108" width="16.33203125" bestFit="1" customWidth="1"/>
    <col min="109" max="109" width="15.109375" bestFit="1" customWidth="1"/>
    <col min="110" max="110" width="18" bestFit="1" customWidth="1"/>
    <col min="111" max="111" width="25.6640625" bestFit="1" customWidth="1"/>
    <col min="112" max="112" width="21" bestFit="1" customWidth="1"/>
    <col min="113" max="113" width="19.88671875" bestFit="1" customWidth="1"/>
    <col min="114" max="114" width="34.109375" bestFit="1" customWidth="1"/>
    <col min="115" max="115" width="28.109375" bestFit="1" customWidth="1"/>
    <col min="116" max="116" width="22" bestFit="1" customWidth="1"/>
    <col min="117" max="117" width="11.88671875" bestFit="1" customWidth="1"/>
    <col min="118" max="118" width="12.44140625" bestFit="1" customWidth="1"/>
    <col min="119" max="119" width="13.109375" bestFit="1" customWidth="1"/>
    <col min="120" max="120" width="20.5546875" bestFit="1" customWidth="1"/>
    <col min="121" max="121" width="25.5546875" bestFit="1" customWidth="1"/>
    <col min="122" max="122" width="30.5546875" bestFit="1" customWidth="1"/>
    <col min="123" max="123" width="19.44140625" bestFit="1" customWidth="1"/>
    <col min="124" max="124" width="15.109375" bestFit="1" customWidth="1"/>
    <col min="125" max="125" width="18" bestFit="1" customWidth="1"/>
    <col min="126" max="126" width="25.6640625" bestFit="1" customWidth="1"/>
    <col min="127" max="127" width="21" bestFit="1" customWidth="1"/>
    <col min="128" max="128" width="19.88671875" bestFit="1" customWidth="1"/>
    <col min="129" max="129" width="43.33203125" bestFit="1" customWidth="1"/>
    <col min="130" max="130" width="28.109375" bestFit="1" customWidth="1"/>
    <col min="131" max="131" width="22" bestFit="1" customWidth="1"/>
    <col min="132" max="132" width="11.88671875" bestFit="1" customWidth="1"/>
    <col min="133" max="133" width="12.44140625" bestFit="1" customWidth="1"/>
    <col min="134" max="134" width="13.109375" bestFit="1" customWidth="1"/>
    <col min="135" max="135" width="20.5546875" bestFit="1" customWidth="1"/>
    <col min="136" max="136" width="10.88671875" bestFit="1" customWidth="1"/>
    <col min="137" max="137" width="11.109375" bestFit="1" customWidth="1"/>
    <col min="138" max="138" width="19.44140625" customWidth="1"/>
    <col min="139" max="140" width="15.109375" bestFit="1" customWidth="1"/>
    <col min="141" max="141" width="14.33203125" bestFit="1" customWidth="1"/>
    <col min="142" max="142" width="15.109375" bestFit="1" customWidth="1"/>
    <col min="143" max="143" width="16.5546875" bestFit="1" customWidth="1"/>
    <col min="144" max="144" width="24.33203125" bestFit="1" customWidth="1"/>
    <col min="145" max="145" width="19.5546875" bestFit="1" customWidth="1"/>
    <col min="146" max="146" width="18.44140625" bestFit="1" customWidth="1"/>
    <col min="147" max="147" width="15.109375" bestFit="1" customWidth="1"/>
    <col min="148" max="148" width="17.5546875" bestFit="1" customWidth="1"/>
    <col min="149" max="149" width="25.33203125" bestFit="1" customWidth="1"/>
    <col min="150" max="150" width="20.5546875" bestFit="1" customWidth="1"/>
    <col min="151" max="151" width="19.44140625" customWidth="1"/>
    <col min="152" max="153" width="15.109375" bestFit="1" customWidth="1"/>
    <col min="154" max="154" width="20" bestFit="1" customWidth="1"/>
    <col min="155" max="155" width="15.33203125" bestFit="1" customWidth="1"/>
    <col min="156" max="156" width="14.109375" bestFit="1" customWidth="1"/>
    <col min="157" max="158" width="15.109375" bestFit="1" customWidth="1"/>
    <col min="159" max="159" width="21.33203125" bestFit="1" customWidth="1"/>
    <col min="160" max="160" width="16.5546875" bestFit="1" customWidth="1"/>
    <col min="161" max="161" width="15.44140625" bestFit="1" customWidth="1"/>
    <col min="162" max="163" width="15.109375" bestFit="1" customWidth="1"/>
    <col min="164" max="164" width="19.5546875" bestFit="1" customWidth="1"/>
    <col min="165" max="165" width="15.109375" bestFit="1" customWidth="1"/>
    <col min="166" max="166" width="13.6640625" bestFit="1" customWidth="1"/>
    <col min="167" max="168" width="15.109375" bestFit="1" customWidth="1"/>
    <col min="169" max="169" width="14.44140625" bestFit="1" customWidth="1"/>
    <col min="170" max="170" width="17.109375" bestFit="1" customWidth="1"/>
    <col min="171" max="171" width="21.88671875" bestFit="1" customWidth="1"/>
    <col min="172" max="172" width="29.5546875" bestFit="1" customWidth="1"/>
    <col min="173" max="173" width="24.88671875" bestFit="1" customWidth="1"/>
    <col min="174" max="174" width="23.6640625" bestFit="1" customWidth="1"/>
    <col min="175" max="175" width="19.5546875" bestFit="1" customWidth="1"/>
    <col min="176" max="176" width="24.33203125" bestFit="1" customWidth="1"/>
    <col min="177" max="177" width="31.88671875" bestFit="1" customWidth="1"/>
    <col min="178" max="178" width="27.109375" bestFit="1" customWidth="1"/>
    <col min="179" max="179" width="26" bestFit="1" customWidth="1"/>
    <col min="180" max="180" width="17.33203125" bestFit="1" customWidth="1"/>
    <col min="181" max="181" width="22" bestFit="1" customWidth="1"/>
    <col min="182" max="182" width="29.6640625" bestFit="1" customWidth="1"/>
    <col min="183" max="183" width="25" bestFit="1" customWidth="1"/>
    <col min="184" max="184" width="23.88671875" bestFit="1" customWidth="1"/>
    <col min="185" max="185" width="15.109375" bestFit="1" customWidth="1"/>
    <col min="186" max="186" width="16.6640625" bestFit="1" customWidth="1"/>
    <col min="187" max="187" width="24.44140625" bestFit="1" customWidth="1"/>
    <col min="188" max="188" width="19.6640625" bestFit="1" customWidth="1"/>
    <col min="189" max="189" width="18.5546875" bestFit="1" customWidth="1"/>
    <col min="190" max="190" width="16.33203125" bestFit="1" customWidth="1"/>
    <col min="191" max="191" width="21" bestFit="1" customWidth="1"/>
    <col min="192" max="192" width="28.6640625" bestFit="1" customWidth="1"/>
    <col min="193" max="193" width="24" bestFit="1" customWidth="1"/>
    <col min="194" max="194" width="22.6640625" bestFit="1" customWidth="1"/>
    <col min="195" max="195" width="15.109375" bestFit="1" customWidth="1"/>
    <col min="196" max="196" width="18.5546875" bestFit="1" customWidth="1"/>
    <col min="197" max="197" width="26.109375" bestFit="1" customWidth="1"/>
    <col min="198" max="198" width="21.44140625" bestFit="1" customWidth="1"/>
    <col min="199" max="199" width="20.33203125" bestFit="1" customWidth="1"/>
    <col min="200" max="200" width="15.109375" bestFit="1" customWidth="1"/>
    <col min="201" max="201" width="15.6640625" bestFit="1" customWidth="1"/>
    <col min="202" max="202" width="17.44140625" bestFit="1" customWidth="1"/>
    <col min="203" max="203" width="15.109375" bestFit="1" customWidth="1"/>
    <col min="204" max="204" width="16" bestFit="1" customWidth="1"/>
    <col min="205" max="205" width="17.6640625" bestFit="1" customWidth="1"/>
    <col min="206" max="207" width="15.109375" bestFit="1" customWidth="1"/>
    <col min="208" max="208" width="22.5546875" bestFit="1" customWidth="1"/>
    <col min="209" max="209" width="17.88671875" bestFit="1" customWidth="1"/>
    <col min="210" max="210" width="16.6640625" bestFit="1" customWidth="1"/>
    <col min="211" max="212" width="15.109375" bestFit="1" customWidth="1"/>
    <col min="213" max="213" width="16.109375" bestFit="1" customWidth="1"/>
    <col min="214" max="215" width="15.109375" bestFit="1" customWidth="1"/>
    <col min="216" max="216" width="14.5546875" bestFit="1" customWidth="1"/>
    <col min="217" max="217" width="15.109375" bestFit="1" customWidth="1"/>
    <col min="218" max="218" width="19" bestFit="1" customWidth="1"/>
    <col min="219" max="219" width="20.6640625" bestFit="1" customWidth="1"/>
    <col min="220" max="220" width="15.109375" bestFit="1" customWidth="1"/>
    <col min="221" max="221" width="18" bestFit="1" customWidth="1"/>
    <col min="222" max="222" width="25.6640625" bestFit="1" customWidth="1"/>
    <col min="223" max="223" width="21" bestFit="1" customWidth="1"/>
    <col min="224" max="224" width="19.88671875" bestFit="1" customWidth="1"/>
    <col min="225" max="225" width="30" bestFit="1" customWidth="1"/>
    <col min="226" max="226" width="28.109375" bestFit="1" customWidth="1"/>
    <col min="227" max="227" width="22" bestFit="1" customWidth="1"/>
    <col min="228" max="228" width="11.88671875" bestFit="1" customWidth="1"/>
    <col min="229" max="229" width="12.44140625" bestFit="1" customWidth="1"/>
    <col min="230" max="230" width="13.109375" bestFit="1" customWidth="1"/>
    <col min="231" max="231" width="20.5546875" bestFit="1" customWidth="1"/>
    <col min="232" max="232" width="25.5546875" bestFit="1" customWidth="1"/>
    <col min="233" max="233" width="30.5546875" bestFit="1" customWidth="1"/>
    <col min="234" max="234" width="19.44140625" customWidth="1"/>
    <col min="235" max="236" width="15.109375" bestFit="1" customWidth="1"/>
    <col min="237" max="237" width="14.33203125" bestFit="1" customWidth="1"/>
    <col min="238" max="238" width="15.109375" bestFit="1" customWidth="1"/>
    <col min="239" max="239" width="16.5546875" bestFit="1" customWidth="1"/>
    <col min="240" max="240" width="24.33203125" bestFit="1" customWidth="1"/>
    <col min="241" max="241" width="19.5546875" bestFit="1" customWidth="1"/>
    <col min="242" max="242" width="18.44140625" bestFit="1" customWidth="1"/>
    <col min="243" max="243" width="15.109375" bestFit="1" customWidth="1"/>
    <col min="244" max="244" width="17.5546875" bestFit="1" customWidth="1"/>
    <col min="245" max="245" width="25.33203125" bestFit="1" customWidth="1"/>
    <col min="246" max="246" width="20.5546875" bestFit="1" customWidth="1"/>
    <col min="247" max="247" width="19.44140625" customWidth="1"/>
    <col min="248" max="249" width="15.109375" bestFit="1" customWidth="1"/>
    <col min="250" max="250" width="20" bestFit="1" customWidth="1"/>
    <col min="251" max="251" width="15.33203125" bestFit="1" customWidth="1"/>
    <col min="252" max="252" width="14.109375" bestFit="1" customWidth="1"/>
    <col min="253" max="254" width="15.109375" bestFit="1" customWidth="1"/>
    <col min="255" max="255" width="21.33203125" bestFit="1" customWidth="1"/>
    <col min="256" max="256" width="16.5546875" bestFit="1" customWidth="1"/>
    <col min="257" max="257" width="15.44140625" bestFit="1" customWidth="1"/>
    <col min="258" max="259" width="15.109375" bestFit="1" customWidth="1"/>
    <col min="260" max="260" width="19.5546875" bestFit="1" customWidth="1"/>
    <col min="261" max="261" width="15.109375" bestFit="1" customWidth="1"/>
    <col min="262" max="262" width="13.6640625" bestFit="1" customWidth="1"/>
    <col min="263" max="264" width="15.109375" bestFit="1" customWidth="1"/>
    <col min="265" max="265" width="14.44140625" bestFit="1" customWidth="1"/>
    <col min="266" max="266" width="17.109375" bestFit="1" customWidth="1"/>
    <col min="267" max="267" width="21.88671875" bestFit="1" customWidth="1"/>
    <col min="268" max="268" width="29.5546875" bestFit="1" customWidth="1"/>
    <col min="269" max="269" width="24.88671875" bestFit="1" customWidth="1"/>
    <col min="270" max="270" width="23.6640625" bestFit="1" customWidth="1"/>
    <col min="271" max="271" width="19.5546875" bestFit="1" customWidth="1"/>
    <col min="272" max="272" width="24.33203125" bestFit="1" customWidth="1"/>
    <col min="273" max="273" width="31.88671875" bestFit="1" customWidth="1"/>
    <col min="274" max="274" width="27.109375" bestFit="1" customWidth="1"/>
    <col min="275" max="275" width="26" bestFit="1" customWidth="1"/>
    <col min="276" max="276" width="17.33203125" bestFit="1" customWidth="1"/>
    <col min="277" max="277" width="22" bestFit="1" customWidth="1"/>
    <col min="278" max="278" width="29.6640625" bestFit="1" customWidth="1"/>
    <col min="279" max="279" width="25" bestFit="1" customWidth="1"/>
    <col min="280" max="280" width="23.88671875" bestFit="1" customWidth="1"/>
    <col min="281" max="281" width="15.109375" bestFit="1" customWidth="1"/>
    <col min="282" max="282" width="16.6640625" bestFit="1" customWidth="1"/>
    <col min="283" max="283" width="24.44140625" bestFit="1" customWidth="1"/>
    <col min="284" max="284" width="19.6640625" bestFit="1" customWidth="1"/>
    <col min="285" max="285" width="18.5546875" bestFit="1" customWidth="1"/>
    <col min="286" max="286" width="16.33203125" bestFit="1" customWidth="1"/>
    <col min="287" max="287" width="21" bestFit="1" customWidth="1"/>
    <col min="288" max="288" width="28.6640625" bestFit="1" customWidth="1"/>
    <col min="289" max="289" width="24" bestFit="1" customWidth="1"/>
    <col min="290" max="290" width="22.6640625" bestFit="1" customWidth="1"/>
    <col min="291" max="291" width="15.109375" bestFit="1" customWidth="1"/>
    <col min="292" max="292" width="18.5546875" bestFit="1" customWidth="1"/>
    <col min="293" max="293" width="26.109375" bestFit="1" customWidth="1"/>
    <col min="294" max="294" width="21.44140625" bestFit="1" customWidth="1"/>
    <col min="295" max="295" width="20.33203125" bestFit="1" customWidth="1"/>
    <col min="296" max="296" width="15.109375" bestFit="1" customWidth="1"/>
    <col min="297" max="297" width="15.6640625" bestFit="1" customWidth="1"/>
    <col min="298" max="298" width="17.44140625" bestFit="1" customWidth="1"/>
    <col min="299" max="299" width="15.109375" bestFit="1" customWidth="1"/>
    <col min="300" max="300" width="16" bestFit="1" customWidth="1"/>
    <col min="301" max="301" width="17.6640625" bestFit="1" customWidth="1"/>
    <col min="302" max="303" width="15.109375" bestFit="1" customWidth="1"/>
    <col min="304" max="304" width="22.5546875" bestFit="1" customWidth="1"/>
    <col min="305" max="305" width="17.88671875" bestFit="1" customWidth="1"/>
    <col min="306" max="306" width="16.6640625" bestFit="1" customWidth="1"/>
    <col min="307" max="308" width="15.109375" bestFit="1" customWidth="1"/>
    <col min="309" max="309" width="16.109375" bestFit="1" customWidth="1"/>
    <col min="310" max="311" width="15.109375" bestFit="1" customWidth="1"/>
    <col min="312" max="312" width="14.5546875" bestFit="1" customWidth="1"/>
    <col min="313" max="313" width="15.109375" bestFit="1" customWidth="1"/>
    <col min="314" max="314" width="19" bestFit="1" customWidth="1"/>
    <col min="315" max="315" width="20.6640625" bestFit="1" customWidth="1"/>
    <col min="316" max="316" width="15.109375" bestFit="1" customWidth="1"/>
    <col min="317" max="317" width="18" bestFit="1" customWidth="1"/>
    <col min="318" max="318" width="25.6640625" bestFit="1" customWidth="1"/>
    <col min="319" max="319" width="21" bestFit="1" customWidth="1"/>
    <col min="320" max="320" width="19.88671875" bestFit="1" customWidth="1"/>
    <col min="321" max="321" width="30" bestFit="1" customWidth="1"/>
    <col min="322" max="322" width="28.109375" bestFit="1" customWidth="1"/>
    <col min="323" max="323" width="22" bestFit="1" customWidth="1"/>
    <col min="324" max="324" width="11.88671875" bestFit="1" customWidth="1"/>
    <col min="325" max="325" width="12.44140625" bestFit="1" customWidth="1"/>
    <col min="326" max="326" width="13.109375" bestFit="1" customWidth="1"/>
    <col min="327" max="327" width="20.5546875" bestFit="1" customWidth="1"/>
    <col min="328" max="328" width="25.5546875" bestFit="1" customWidth="1"/>
    <col min="329" max="329" width="30.5546875" bestFit="1" customWidth="1"/>
    <col min="330" max="330" width="19.44140625" customWidth="1"/>
    <col min="331" max="332" width="15.109375" bestFit="1" customWidth="1"/>
    <col min="333" max="333" width="15.5546875" bestFit="1" customWidth="1"/>
    <col min="334" max="334" width="15.109375" bestFit="1" customWidth="1"/>
    <col min="335" max="335" width="16.5546875" bestFit="1" customWidth="1"/>
    <col min="336" max="336" width="24.33203125" bestFit="1" customWidth="1"/>
    <col min="337" max="337" width="19.5546875" bestFit="1" customWidth="1"/>
    <col min="338" max="338" width="18.44140625" bestFit="1" customWidth="1"/>
    <col min="339" max="339" width="15.109375" bestFit="1" customWidth="1"/>
    <col min="340" max="340" width="17.5546875" bestFit="1" customWidth="1"/>
    <col min="341" max="341" width="25.33203125" bestFit="1" customWidth="1"/>
    <col min="342" max="342" width="20.5546875" bestFit="1" customWidth="1"/>
    <col min="343" max="343" width="19.44140625" customWidth="1"/>
    <col min="344" max="345" width="15.109375" bestFit="1" customWidth="1"/>
    <col min="346" max="346" width="20" bestFit="1" customWidth="1"/>
    <col min="347" max="347" width="15.33203125" bestFit="1" customWidth="1"/>
    <col min="348" max="348" width="14.109375" bestFit="1" customWidth="1"/>
    <col min="349" max="350" width="15.109375" bestFit="1" customWidth="1"/>
    <col min="351" max="351" width="21.33203125" bestFit="1" customWidth="1"/>
    <col min="352" max="352" width="16.5546875" bestFit="1" customWidth="1"/>
    <col min="353" max="353" width="15.44140625" bestFit="1" customWidth="1"/>
    <col min="354" max="354" width="16.6640625" bestFit="1" customWidth="1"/>
    <col min="355" max="355" width="21.44140625" bestFit="1" customWidth="1"/>
    <col min="356" max="356" width="23.109375" bestFit="1" customWidth="1"/>
    <col min="357" max="358" width="15.109375" bestFit="1" customWidth="1"/>
    <col min="359" max="359" width="19.5546875" bestFit="1" customWidth="1"/>
    <col min="360" max="360" width="15.109375" bestFit="1" customWidth="1"/>
    <col min="361" max="361" width="13.6640625" bestFit="1" customWidth="1"/>
    <col min="362" max="363" width="15.109375" bestFit="1" customWidth="1"/>
    <col min="364" max="364" width="14.44140625" bestFit="1" customWidth="1"/>
    <col min="365" max="366" width="15.109375" bestFit="1" customWidth="1"/>
    <col min="367" max="367" width="15" bestFit="1" customWidth="1"/>
    <col min="368" max="368" width="17.109375" bestFit="1" customWidth="1"/>
    <col min="369" max="369" width="21.88671875" bestFit="1" customWidth="1"/>
    <col min="370" max="370" width="29.5546875" bestFit="1" customWidth="1"/>
    <col min="371" max="371" width="24.88671875" bestFit="1" customWidth="1"/>
    <col min="372" max="372" width="23.6640625" bestFit="1" customWidth="1"/>
    <col min="373" max="373" width="19.5546875" bestFit="1" customWidth="1"/>
    <col min="374" max="374" width="24.33203125" bestFit="1" customWidth="1"/>
    <col min="375" max="375" width="31.88671875" bestFit="1" customWidth="1"/>
    <col min="376" max="376" width="27.109375" bestFit="1" customWidth="1"/>
    <col min="377" max="377" width="26" bestFit="1" customWidth="1"/>
    <col min="378" max="378" width="17.33203125" bestFit="1" customWidth="1"/>
    <col min="379" max="379" width="22" bestFit="1" customWidth="1"/>
    <col min="380" max="380" width="29.6640625" bestFit="1" customWidth="1"/>
    <col min="381" max="381" width="25" bestFit="1" customWidth="1"/>
    <col min="382" max="382" width="23.88671875" bestFit="1" customWidth="1"/>
    <col min="383" max="383" width="15.109375" bestFit="1" customWidth="1"/>
    <col min="384" max="384" width="16.6640625" bestFit="1" customWidth="1"/>
    <col min="385" max="385" width="24.44140625" bestFit="1" customWidth="1"/>
    <col min="386" max="386" width="19.6640625" bestFit="1" customWidth="1"/>
    <col min="387" max="387" width="18.5546875" bestFit="1" customWidth="1"/>
    <col min="388" max="388" width="16.33203125" bestFit="1" customWidth="1"/>
    <col min="389" max="389" width="21" bestFit="1" customWidth="1"/>
    <col min="390" max="390" width="28.6640625" bestFit="1" customWidth="1"/>
    <col min="391" max="391" width="24" bestFit="1" customWidth="1"/>
    <col min="392" max="392" width="22.6640625" bestFit="1" customWidth="1"/>
    <col min="393" max="394" width="15.109375" bestFit="1" customWidth="1"/>
    <col min="395" max="395" width="15.44140625" bestFit="1" customWidth="1"/>
    <col min="396" max="396" width="15.109375" bestFit="1" customWidth="1"/>
    <col min="397" max="397" width="18.5546875" bestFit="1" customWidth="1"/>
    <col min="398" max="398" width="26.109375" bestFit="1" customWidth="1"/>
    <col min="399" max="399" width="21.44140625" bestFit="1" customWidth="1"/>
    <col min="400" max="400" width="20.33203125" bestFit="1" customWidth="1"/>
    <col min="401" max="401" width="15.109375" bestFit="1" customWidth="1"/>
    <col min="402" max="402" width="15.6640625" bestFit="1" customWidth="1"/>
    <col min="403" max="403" width="17.44140625" bestFit="1" customWidth="1"/>
    <col min="404" max="404" width="15.109375" bestFit="1" customWidth="1"/>
    <col min="405" max="405" width="17" bestFit="1" customWidth="1"/>
    <col min="406" max="406" width="18.88671875" bestFit="1" customWidth="1"/>
    <col min="407" max="407" width="15.109375" bestFit="1" customWidth="1"/>
    <col min="408" max="408" width="16" bestFit="1" customWidth="1"/>
    <col min="409" max="409" width="17.6640625" bestFit="1" customWidth="1"/>
    <col min="410" max="411" width="15.109375" bestFit="1" customWidth="1"/>
    <col min="412" max="412" width="22.5546875" bestFit="1" customWidth="1"/>
    <col min="413" max="413" width="17.88671875" bestFit="1" customWidth="1"/>
    <col min="414" max="414" width="16.6640625" bestFit="1" customWidth="1"/>
    <col min="415" max="415" width="15.109375" bestFit="1" customWidth="1"/>
    <col min="416" max="416" width="18" bestFit="1" customWidth="1"/>
    <col min="417" max="417" width="25.6640625" bestFit="1" customWidth="1"/>
    <col min="418" max="418" width="21" bestFit="1" customWidth="1"/>
    <col min="419" max="419" width="19.88671875" bestFit="1" customWidth="1"/>
    <col min="420" max="420" width="33" bestFit="1" customWidth="1"/>
    <col min="421" max="421" width="28.109375" bestFit="1" customWidth="1"/>
    <col min="422" max="422" width="22" bestFit="1" customWidth="1"/>
    <col min="423" max="423" width="11.88671875" bestFit="1" customWidth="1"/>
    <col min="424" max="424" width="12.44140625" bestFit="1" customWidth="1"/>
    <col min="425" max="425" width="13.109375" bestFit="1" customWidth="1"/>
    <col min="426" max="426" width="20.5546875" bestFit="1" customWidth="1"/>
    <col min="427" max="427" width="8.6640625" bestFit="1" customWidth="1"/>
    <col min="428" max="428" width="11.109375" bestFit="1" customWidth="1"/>
    <col min="429" max="429" width="19.44140625" customWidth="1"/>
    <col min="430" max="431" width="15.109375" bestFit="1" customWidth="1"/>
    <col min="432" max="432" width="14.33203125" bestFit="1" customWidth="1"/>
    <col min="433" max="433" width="15.109375" bestFit="1" customWidth="1"/>
    <col min="434" max="434" width="16.5546875" bestFit="1" customWidth="1"/>
    <col min="435" max="435" width="24.33203125" bestFit="1" customWidth="1"/>
    <col min="436" max="436" width="19.5546875" bestFit="1" customWidth="1"/>
    <col min="437" max="437" width="18.44140625" bestFit="1" customWidth="1"/>
    <col min="438" max="438" width="15.109375" bestFit="1" customWidth="1"/>
    <col min="439" max="439" width="17.5546875" bestFit="1" customWidth="1"/>
    <col min="440" max="440" width="25.33203125" bestFit="1" customWidth="1"/>
    <col min="441" max="441" width="20.5546875" bestFit="1" customWidth="1"/>
    <col min="442" max="442" width="19.44140625" bestFit="1" customWidth="1"/>
    <col min="443" max="444" width="15.109375" bestFit="1" customWidth="1"/>
    <col min="445" max="445" width="20" bestFit="1" customWidth="1"/>
    <col min="446" max="446" width="15.33203125" bestFit="1" customWidth="1"/>
    <col min="447" max="447" width="14.109375" bestFit="1" customWidth="1"/>
    <col min="448" max="449" width="15.109375" bestFit="1" customWidth="1"/>
    <col min="450" max="450" width="21.33203125" bestFit="1" customWidth="1"/>
    <col min="451" max="451" width="16.5546875" bestFit="1" customWidth="1"/>
    <col min="452" max="452" width="15.44140625" bestFit="1" customWidth="1"/>
    <col min="453" max="454" width="15.109375" bestFit="1" customWidth="1"/>
    <col min="455" max="455" width="19.5546875" bestFit="1" customWidth="1"/>
    <col min="456" max="456" width="15.109375" bestFit="1" customWidth="1"/>
    <col min="457" max="457" width="13.6640625" bestFit="1" customWidth="1"/>
    <col min="458" max="459" width="15.109375" bestFit="1" customWidth="1"/>
    <col min="460" max="460" width="14.44140625" bestFit="1" customWidth="1"/>
    <col min="461" max="461" width="17.109375" bestFit="1" customWidth="1"/>
    <col min="462" max="462" width="21.88671875" bestFit="1" customWidth="1"/>
    <col min="463" max="463" width="29.5546875" bestFit="1" customWidth="1"/>
    <col min="464" max="464" width="24.88671875" bestFit="1" customWidth="1"/>
    <col min="465" max="465" width="23.6640625" bestFit="1" customWidth="1"/>
    <col min="466" max="466" width="19.5546875" bestFit="1" customWidth="1"/>
    <col min="467" max="467" width="24.33203125" bestFit="1" customWidth="1"/>
    <col min="468" max="468" width="31.88671875" bestFit="1" customWidth="1"/>
    <col min="469" max="469" width="27.109375" bestFit="1" customWidth="1"/>
    <col min="470" max="470" width="26" bestFit="1" customWidth="1"/>
    <col min="471" max="471" width="17.33203125" bestFit="1" customWidth="1"/>
    <col min="472" max="472" width="22" bestFit="1" customWidth="1"/>
    <col min="473" max="473" width="29.6640625" bestFit="1" customWidth="1"/>
    <col min="474" max="474" width="25" bestFit="1" customWidth="1"/>
    <col min="475" max="475" width="23.88671875" bestFit="1" customWidth="1"/>
    <col min="476" max="476" width="15.109375" bestFit="1" customWidth="1"/>
    <col min="477" max="477" width="16.6640625" bestFit="1" customWidth="1"/>
    <col min="478" max="478" width="24.44140625" bestFit="1" customWidth="1"/>
    <col min="479" max="479" width="19.6640625" bestFit="1" customWidth="1"/>
    <col min="480" max="480" width="18.5546875" bestFit="1" customWidth="1"/>
    <col min="481" max="481" width="16.33203125" bestFit="1" customWidth="1"/>
    <col min="482" max="482" width="21" bestFit="1" customWidth="1"/>
    <col min="483" max="483" width="28.6640625" bestFit="1" customWidth="1"/>
    <col min="484" max="484" width="24" bestFit="1" customWidth="1"/>
    <col min="485" max="485" width="22.6640625" bestFit="1" customWidth="1"/>
    <col min="486" max="486" width="15.109375" bestFit="1" customWidth="1"/>
    <col min="487" max="487" width="18.5546875" bestFit="1" customWidth="1"/>
    <col min="488" max="488" width="26.109375" bestFit="1" customWidth="1"/>
    <col min="489" max="489" width="21.44140625" bestFit="1" customWidth="1"/>
    <col min="490" max="490" width="20.33203125" bestFit="1" customWidth="1"/>
    <col min="491" max="491" width="15.109375" bestFit="1" customWidth="1"/>
    <col min="492" max="492" width="15.6640625" bestFit="1" customWidth="1"/>
    <col min="493" max="493" width="17.44140625" bestFit="1" customWidth="1"/>
    <col min="494" max="494" width="15.109375" bestFit="1" customWidth="1"/>
    <col min="495" max="495" width="16" bestFit="1" customWidth="1"/>
    <col min="496" max="496" width="17.6640625" bestFit="1" customWidth="1"/>
    <col min="497" max="498" width="15.109375" bestFit="1" customWidth="1"/>
    <col min="499" max="499" width="22.5546875" bestFit="1" customWidth="1"/>
    <col min="500" max="500" width="17.88671875" bestFit="1" customWidth="1"/>
    <col min="501" max="501" width="16.6640625" bestFit="1" customWidth="1"/>
    <col min="502" max="503" width="15.109375" bestFit="1" customWidth="1"/>
    <col min="504" max="504" width="16.109375" bestFit="1" customWidth="1"/>
    <col min="505" max="506" width="15.109375" bestFit="1" customWidth="1"/>
    <col min="507" max="507" width="14.5546875" bestFit="1" customWidth="1"/>
    <col min="508" max="508" width="15.109375" bestFit="1" customWidth="1"/>
    <col min="509" max="509" width="19" bestFit="1" customWidth="1"/>
    <col min="510" max="510" width="20.6640625" bestFit="1" customWidth="1"/>
    <col min="511" max="511" width="15.109375" bestFit="1" customWidth="1"/>
    <col min="512" max="512" width="18" bestFit="1" customWidth="1"/>
    <col min="513" max="513" width="25.6640625" bestFit="1" customWidth="1"/>
    <col min="514" max="514" width="21" bestFit="1" customWidth="1"/>
    <col min="515" max="515" width="19.88671875" bestFit="1" customWidth="1"/>
    <col min="516" max="516" width="30" bestFit="1" customWidth="1"/>
    <col min="517" max="517" width="28.109375" bestFit="1" customWidth="1"/>
    <col min="518" max="518" width="22" bestFit="1" customWidth="1"/>
    <col min="519" max="519" width="11.88671875" bestFit="1" customWidth="1"/>
    <col min="520" max="520" width="12.44140625" bestFit="1" customWidth="1"/>
    <col min="521" max="521" width="13.109375" bestFit="1" customWidth="1"/>
    <col min="522" max="522" width="20.5546875" bestFit="1" customWidth="1"/>
    <col min="523" max="523" width="25.5546875" bestFit="1" customWidth="1"/>
    <col min="524" max="524" width="30.5546875" bestFit="1" customWidth="1"/>
    <col min="525" max="525" width="19.44140625" bestFit="1" customWidth="1"/>
    <col min="526" max="526" width="15.109375" bestFit="1" customWidth="1"/>
    <col min="527" max="527" width="18" bestFit="1" customWidth="1"/>
    <col min="528" max="528" width="25.6640625" bestFit="1" customWidth="1"/>
    <col min="529" max="529" width="21" bestFit="1" customWidth="1"/>
    <col min="530" max="530" width="19.88671875" bestFit="1" customWidth="1"/>
    <col min="531" max="531" width="33" bestFit="1" customWidth="1"/>
    <col min="532" max="532" width="28.109375" bestFit="1" customWidth="1"/>
    <col min="533" max="533" width="22" bestFit="1" customWidth="1"/>
    <col min="534" max="534" width="11.88671875" bestFit="1" customWidth="1"/>
    <col min="535" max="535" width="12.44140625" bestFit="1" customWidth="1"/>
    <col min="536" max="536" width="13.109375" bestFit="1" customWidth="1"/>
    <col min="537" max="537" width="20.5546875" bestFit="1" customWidth="1"/>
    <col min="538" max="538" width="8.6640625" bestFit="1" customWidth="1"/>
    <col min="539" max="539" width="11.109375" bestFit="1" customWidth="1"/>
    <col min="540" max="540" width="19.44140625" bestFit="1" customWidth="1"/>
  </cols>
  <sheetData>
    <row r="1" spans="1:123" x14ac:dyDescent="0.3">
      <c r="A1" t="s">
        <v>93</v>
      </c>
      <c r="B1" t="s">
        <v>94</v>
      </c>
      <c r="C1" t="s">
        <v>95</v>
      </c>
      <c r="D1" t="s">
        <v>96</v>
      </c>
      <c r="E1" t="s">
        <v>97</v>
      </c>
      <c r="F1" t="s">
        <v>98</v>
      </c>
      <c r="G1" t="s">
        <v>99</v>
      </c>
      <c r="H1" t="s">
        <v>100</v>
      </c>
      <c r="I1" t="s">
        <v>102</v>
      </c>
      <c r="J1" t="s">
        <v>138</v>
      </c>
      <c r="K1" t="s">
        <v>139</v>
      </c>
      <c r="L1" t="s">
        <v>140</v>
      </c>
      <c r="M1" t="s">
        <v>141</v>
      </c>
      <c r="N1" t="s">
        <v>107</v>
      </c>
      <c r="O1" t="s">
        <v>142</v>
      </c>
      <c r="P1" t="s">
        <v>143</v>
      </c>
      <c r="Q1" t="s">
        <v>144</v>
      </c>
      <c r="R1" t="s">
        <v>145</v>
      </c>
      <c r="S1" t="s">
        <v>137</v>
      </c>
      <c r="T1" t="s">
        <v>205</v>
      </c>
      <c r="U1" t="s">
        <v>206</v>
      </c>
      <c r="V1" t="s">
        <v>104</v>
      </c>
      <c r="W1" t="s">
        <v>146</v>
      </c>
      <c r="X1" t="s">
        <v>147</v>
      </c>
      <c r="Y1" t="s">
        <v>148</v>
      </c>
      <c r="Z1" t="s">
        <v>149</v>
      </c>
      <c r="AA1" t="s">
        <v>88</v>
      </c>
      <c r="AB1" t="s">
        <v>150</v>
      </c>
      <c r="AC1" t="s">
        <v>151</v>
      </c>
      <c r="AD1" t="s">
        <v>152</v>
      </c>
      <c r="AE1" t="s">
        <v>153</v>
      </c>
      <c r="AF1" t="s">
        <v>154</v>
      </c>
      <c r="AG1" t="s">
        <v>155</v>
      </c>
      <c r="AH1" t="s">
        <v>156</v>
      </c>
      <c r="AI1" t="s">
        <v>157</v>
      </c>
      <c r="AJ1" t="s">
        <v>158</v>
      </c>
      <c r="AK1" t="s">
        <v>110</v>
      </c>
      <c r="AL1" t="s">
        <v>159</v>
      </c>
      <c r="AM1" t="s">
        <v>160</v>
      </c>
      <c r="AN1" t="s">
        <v>161</v>
      </c>
      <c r="AO1" t="s">
        <v>162</v>
      </c>
      <c r="AP1" t="s">
        <v>101</v>
      </c>
      <c r="AQ1" t="s">
        <v>163</v>
      </c>
      <c r="AR1" t="s">
        <v>164</v>
      </c>
      <c r="AS1" t="s">
        <v>165</v>
      </c>
      <c r="AT1" t="s">
        <v>166</v>
      </c>
      <c r="AU1" t="s">
        <v>84</v>
      </c>
      <c r="AV1" t="s">
        <v>167</v>
      </c>
      <c r="AW1" t="s">
        <v>168</v>
      </c>
      <c r="AX1" t="s">
        <v>113</v>
      </c>
      <c r="AY1" t="s">
        <v>169</v>
      </c>
      <c r="AZ1" t="s">
        <v>170</v>
      </c>
      <c r="BA1" t="s">
        <v>171</v>
      </c>
      <c r="BB1" t="s">
        <v>172</v>
      </c>
      <c r="BC1" t="s">
        <v>112</v>
      </c>
      <c r="BD1" t="s">
        <v>173</v>
      </c>
      <c r="BE1" t="s">
        <v>174</v>
      </c>
      <c r="BF1" t="s">
        <v>175</v>
      </c>
      <c r="BG1" t="s">
        <v>176</v>
      </c>
      <c r="BH1" t="s">
        <v>106</v>
      </c>
      <c r="BI1" t="s">
        <v>177</v>
      </c>
      <c r="BJ1" t="s">
        <v>178</v>
      </c>
      <c r="BK1" t="s">
        <v>179</v>
      </c>
      <c r="BL1" t="s">
        <v>180</v>
      </c>
      <c r="BM1" t="s">
        <v>108</v>
      </c>
      <c r="BN1" t="s">
        <v>181</v>
      </c>
      <c r="BO1" t="s">
        <v>182</v>
      </c>
      <c r="BP1" t="s">
        <v>183</v>
      </c>
      <c r="BQ1" t="s">
        <v>184</v>
      </c>
      <c r="BR1" t="s">
        <v>111</v>
      </c>
      <c r="BS1" t="s">
        <v>185</v>
      </c>
      <c r="BT1" t="s">
        <v>186</v>
      </c>
      <c r="BU1" t="s">
        <v>187</v>
      </c>
      <c r="BV1" t="s">
        <v>188</v>
      </c>
      <c r="BW1" t="s">
        <v>105</v>
      </c>
      <c r="BX1" t="s">
        <v>189</v>
      </c>
      <c r="BY1" t="s">
        <v>190</v>
      </c>
      <c r="BZ1" t="s">
        <v>191</v>
      </c>
      <c r="CA1" t="s">
        <v>192</v>
      </c>
      <c r="CB1" t="s">
        <v>134</v>
      </c>
      <c r="CC1" t="s">
        <v>193</v>
      </c>
      <c r="CD1" t="s">
        <v>194</v>
      </c>
      <c r="CE1" t="s">
        <v>89</v>
      </c>
      <c r="CF1" t="s">
        <v>195</v>
      </c>
      <c r="CG1" t="s">
        <v>196</v>
      </c>
      <c r="CH1" t="s">
        <v>103</v>
      </c>
      <c r="CI1" t="s">
        <v>197</v>
      </c>
      <c r="CJ1" t="s">
        <v>198</v>
      </c>
      <c r="CK1" t="s">
        <v>199</v>
      </c>
      <c r="CL1" t="s">
        <v>200</v>
      </c>
      <c r="CM1" t="s">
        <v>207</v>
      </c>
      <c r="CN1" t="s">
        <v>208</v>
      </c>
      <c r="CO1" t="s">
        <v>209</v>
      </c>
      <c r="CP1" t="s">
        <v>227</v>
      </c>
      <c r="CQ1" t="s">
        <v>228</v>
      </c>
      <c r="CR1" t="s">
        <v>229</v>
      </c>
      <c r="CS1" t="s">
        <v>136</v>
      </c>
      <c r="CT1" t="s">
        <v>210</v>
      </c>
      <c r="CU1" t="s">
        <v>211</v>
      </c>
      <c r="CV1" t="s">
        <v>212</v>
      </c>
      <c r="CW1" t="s">
        <v>213</v>
      </c>
      <c r="CX1" t="s">
        <v>214</v>
      </c>
      <c r="CY1" t="s">
        <v>223</v>
      </c>
      <c r="CZ1" t="s">
        <v>230</v>
      </c>
      <c r="DA1" t="s">
        <v>231</v>
      </c>
      <c r="DB1" t="s">
        <v>224</v>
      </c>
      <c r="DC1" t="s">
        <v>232</v>
      </c>
      <c r="DD1" t="s">
        <v>233</v>
      </c>
      <c r="DE1" t="s">
        <v>109</v>
      </c>
      <c r="DF1" t="s">
        <v>201</v>
      </c>
      <c r="DG1" t="s">
        <v>202</v>
      </c>
      <c r="DH1" t="s">
        <v>203</v>
      </c>
      <c r="DI1" t="s">
        <v>204</v>
      </c>
      <c r="DJ1" t="s">
        <v>114</v>
      </c>
      <c r="DK1" t="s">
        <v>115</v>
      </c>
      <c r="DL1" t="s">
        <v>116</v>
      </c>
      <c r="DM1" t="s">
        <v>117</v>
      </c>
      <c r="DN1" t="s">
        <v>90</v>
      </c>
      <c r="DO1" t="s">
        <v>118</v>
      </c>
      <c r="DP1" t="s">
        <v>119</v>
      </c>
      <c r="DQ1" t="s">
        <v>0</v>
      </c>
      <c r="DR1" t="s">
        <v>92</v>
      </c>
      <c r="DS1" t="s">
        <v>120</v>
      </c>
    </row>
    <row r="2" spans="1:123" x14ac:dyDescent="0.3">
      <c r="E2" s="13"/>
      <c r="I2" s="13"/>
      <c r="J2" s="13"/>
      <c r="K2" s="13"/>
      <c r="L2" s="13"/>
      <c r="N2" s="13"/>
      <c r="O2" s="13"/>
      <c r="P2" s="13"/>
      <c r="Q2" s="13"/>
      <c r="V2" s="13"/>
      <c r="W2" s="13"/>
      <c r="X2" s="13"/>
      <c r="Y2" s="13"/>
      <c r="AA2" s="13"/>
      <c r="AB2" s="13"/>
      <c r="AC2" s="13"/>
      <c r="AD2" s="13"/>
      <c r="AF2" s="13"/>
      <c r="AG2" s="13"/>
      <c r="AH2" s="13"/>
      <c r="AI2" s="13"/>
      <c r="AK2" s="13"/>
      <c r="AL2" s="13"/>
      <c r="AM2" s="13"/>
      <c r="AN2" s="13"/>
      <c r="AP2" s="13"/>
      <c r="AQ2" s="13"/>
      <c r="AR2" s="13"/>
      <c r="AS2" s="13"/>
      <c r="AX2" s="13"/>
      <c r="AY2" s="13"/>
      <c r="AZ2" s="13"/>
      <c r="BA2" s="13"/>
      <c r="BC2" s="13"/>
      <c r="BD2" s="13"/>
      <c r="BE2" s="13"/>
      <c r="BF2" s="13"/>
      <c r="BH2" s="13"/>
      <c r="BI2" s="13"/>
      <c r="BJ2" s="13"/>
      <c r="BK2" s="13"/>
      <c r="BM2" s="13"/>
      <c r="BN2" s="13"/>
      <c r="BO2" s="13"/>
      <c r="BP2" s="13"/>
      <c r="BR2" s="13"/>
      <c r="BS2" s="13"/>
      <c r="BT2" s="13"/>
      <c r="BU2" s="13"/>
      <c r="BW2" s="13"/>
      <c r="BX2" s="13"/>
      <c r="BY2" s="13"/>
      <c r="BZ2" s="13"/>
      <c r="CB2" s="13"/>
      <c r="CC2" s="13"/>
      <c r="CE2" s="13"/>
      <c r="CF2" s="13"/>
      <c r="CH2" s="13"/>
      <c r="CI2" s="13"/>
      <c r="CJ2" s="13"/>
      <c r="CK2" s="13"/>
      <c r="DE2" s="13"/>
      <c r="DF2" s="13"/>
      <c r="DG2" s="13"/>
      <c r="DH2" s="13"/>
      <c r="DS2" s="13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C0DB-BC80-46A7-9BB4-2D25E3274544}">
  <sheetPr>
    <tabColor theme="7" tint="0.39997558519241921"/>
  </sheetPr>
  <dimension ref="A1:AG2"/>
  <sheetViews>
    <sheetView workbookViewId="0">
      <selection activeCell="A2" sqref="A2:XFD1202"/>
    </sheetView>
  </sheetViews>
  <sheetFormatPr baseColWidth="10" defaultRowHeight="14.4" x14ac:dyDescent="0.3"/>
  <cols>
    <col min="1" max="1" width="15.88671875" bestFit="1" customWidth="1"/>
    <col min="2" max="2" width="81.109375" bestFit="1" customWidth="1"/>
    <col min="3" max="3" width="8.109375" bestFit="1" customWidth="1"/>
    <col min="4" max="4" width="22.33203125" bestFit="1" customWidth="1"/>
    <col min="5" max="5" width="14" bestFit="1" customWidth="1"/>
    <col min="6" max="6" width="18" bestFit="1" customWidth="1"/>
    <col min="7" max="7" width="25.5546875" bestFit="1" customWidth="1"/>
    <col min="8" max="8" width="81.109375" bestFit="1" customWidth="1"/>
    <col min="9" max="9" width="13.33203125" bestFit="1" customWidth="1"/>
    <col min="10" max="10" width="27.44140625" bestFit="1" customWidth="1"/>
    <col min="11" max="11" width="22.5546875" bestFit="1" customWidth="1"/>
    <col min="12" max="18" width="15.109375" bestFit="1" customWidth="1"/>
    <col min="19" max="19" width="15.5546875" bestFit="1" customWidth="1"/>
    <col min="20" max="20" width="17.33203125" bestFit="1" customWidth="1"/>
    <col min="21" max="25" width="15.109375" bestFit="1" customWidth="1"/>
    <col min="26" max="26" width="16.109375" bestFit="1" customWidth="1"/>
    <col min="27" max="32" width="15.109375" bestFit="1" customWidth="1"/>
    <col min="33" max="33" width="19.44140625" bestFit="1" customWidth="1"/>
    <col min="34" max="34" width="15.109375" bestFit="1" customWidth="1"/>
    <col min="35" max="35" width="19.44140625" customWidth="1"/>
    <col min="36" max="41" width="15.109375" bestFit="1" customWidth="1"/>
    <col min="42" max="42" width="19.44140625" customWidth="1"/>
    <col min="43" max="43" width="13" bestFit="1" customWidth="1"/>
    <col min="44" max="44" width="8.109375" bestFit="1" customWidth="1"/>
    <col min="45" max="45" width="11.109375" bestFit="1" customWidth="1"/>
    <col min="46" max="46" width="11.44140625" bestFit="1" customWidth="1"/>
    <col min="47" max="47" width="8.33203125" bestFit="1" customWidth="1"/>
    <col min="48" max="48" width="12.5546875" bestFit="1" customWidth="1"/>
    <col min="49" max="49" width="19.44140625" customWidth="1"/>
    <col min="50" max="50" width="13" bestFit="1" customWidth="1"/>
    <col min="51" max="51" width="16.109375" bestFit="1" customWidth="1"/>
    <col min="52" max="52" width="8.109375" bestFit="1" customWidth="1"/>
    <col min="53" max="53" width="11.109375" bestFit="1" customWidth="1"/>
    <col min="54" max="54" width="11.44140625" bestFit="1" customWidth="1"/>
    <col min="55" max="55" width="12.5546875" bestFit="1" customWidth="1"/>
    <col min="56" max="56" width="19.44140625" customWidth="1"/>
    <col min="57" max="59" width="15.109375" bestFit="1" customWidth="1"/>
    <col min="60" max="60" width="19.44140625" bestFit="1" customWidth="1"/>
    <col min="61" max="63" width="15.109375" bestFit="1" customWidth="1"/>
    <col min="64" max="64" width="19.44140625" customWidth="1"/>
  </cols>
  <sheetData>
    <row r="1" spans="1:33" x14ac:dyDescent="0.3">
      <c r="A1" t="s">
        <v>93</v>
      </c>
      <c r="B1" t="s">
        <v>130</v>
      </c>
      <c r="C1" t="s">
        <v>131</v>
      </c>
      <c r="D1" t="s">
        <v>97</v>
      </c>
      <c r="E1" t="s">
        <v>99</v>
      </c>
      <c r="F1" t="s">
        <v>100</v>
      </c>
      <c r="G1" t="s">
        <v>132</v>
      </c>
      <c r="H1" t="s">
        <v>1</v>
      </c>
      <c r="I1" t="s">
        <v>94</v>
      </c>
      <c r="J1" t="s">
        <v>95</v>
      </c>
      <c r="K1" t="s">
        <v>0</v>
      </c>
      <c r="L1" t="s">
        <v>215</v>
      </c>
      <c r="M1" t="s">
        <v>216</v>
      </c>
      <c r="N1" t="s">
        <v>217</v>
      </c>
      <c r="O1" t="s">
        <v>218</v>
      </c>
      <c r="P1" t="s">
        <v>137</v>
      </c>
      <c r="Q1" t="s">
        <v>88</v>
      </c>
      <c r="R1" t="s">
        <v>84</v>
      </c>
      <c r="S1" t="s">
        <v>219</v>
      </c>
      <c r="T1" t="s">
        <v>106</v>
      </c>
      <c r="U1" t="s">
        <v>220</v>
      </c>
      <c r="V1" t="s">
        <v>105</v>
      </c>
      <c r="W1" t="s">
        <v>134</v>
      </c>
      <c r="X1" t="s">
        <v>221</v>
      </c>
      <c r="Y1" t="s">
        <v>89</v>
      </c>
      <c r="Z1" t="s">
        <v>222</v>
      </c>
      <c r="AA1" t="s">
        <v>136</v>
      </c>
      <c r="AB1" t="s">
        <v>135</v>
      </c>
      <c r="AC1" t="s">
        <v>223</v>
      </c>
      <c r="AD1" t="s">
        <v>224</v>
      </c>
      <c r="AE1" t="s">
        <v>225</v>
      </c>
      <c r="AF1" t="s">
        <v>226</v>
      </c>
      <c r="AG1" t="s">
        <v>120</v>
      </c>
    </row>
    <row r="2" spans="1:33" x14ac:dyDescent="0.3">
      <c r="D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EDC72-0148-48E2-A0BB-0D2C2FD66F06}">
  <sheetPr>
    <tabColor theme="7" tint="0.39997558519241921"/>
  </sheetPr>
  <dimension ref="B2:J19"/>
  <sheetViews>
    <sheetView zoomScale="80" zoomScaleNormal="80" workbookViewId="0">
      <selection activeCell="K18" sqref="K18"/>
    </sheetView>
  </sheetViews>
  <sheetFormatPr baseColWidth="10" defaultColWidth="11.44140625" defaultRowHeight="14.4" x14ac:dyDescent="0.3"/>
  <cols>
    <col min="1" max="1" width="11.44140625" style="2"/>
    <col min="2" max="2" width="14.88671875" style="2" customWidth="1"/>
    <col min="3" max="16384" width="11.44140625" style="2"/>
  </cols>
  <sheetData>
    <row r="2" spans="2:10" x14ac:dyDescent="0.3">
      <c r="B2" s="8" t="s">
        <v>0</v>
      </c>
      <c r="C2" s="8" t="e" cm="1">
        <f t="array" ref="C2">TRANSPOSE(#REF!)</f>
        <v>#REF!</v>
      </c>
      <c r="D2" s="8"/>
      <c r="E2" s="8"/>
      <c r="F2" s="8"/>
      <c r="G2" s="8"/>
      <c r="H2" s="8"/>
      <c r="I2" s="8"/>
      <c r="J2" s="8"/>
    </row>
    <row r="3" spans="2:10" x14ac:dyDescent="0.3">
      <c r="B3" s="9" t="str" cm="1">
        <f t="array" ref="B3">_xlfn._xlws.FILTER(jiraProjectsTable[Squad],ISTEXT(jiraProjectsTable[Squad]),"")</f>
        <v/>
      </c>
      <c r="C3" s="36"/>
      <c r="D3" s="36"/>
      <c r="E3" s="36"/>
      <c r="F3" s="36"/>
      <c r="G3" s="36"/>
      <c r="H3" s="36"/>
      <c r="I3" s="36"/>
      <c r="J3" s="36"/>
    </row>
    <row r="4" spans="2:10" x14ac:dyDescent="0.3">
      <c r="B4" s="9"/>
      <c r="C4" s="36"/>
      <c r="D4" s="36"/>
      <c r="E4" s="36"/>
      <c r="F4" s="36"/>
      <c r="G4" s="36"/>
      <c r="H4" s="36"/>
      <c r="I4" s="36"/>
      <c r="J4" s="36"/>
    </row>
    <row r="5" spans="2:10" x14ac:dyDescent="0.3">
      <c r="B5" s="9"/>
      <c r="C5" s="36"/>
      <c r="D5" s="36"/>
      <c r="E5" s="36"/>
      <c r="F5" s="36"/>
      <c r="G5" s="36"/>
      <c r="H5" s="36"/>
      <c r="I5" s="36"/>
      <c r="J5" s="36"/>
    </row>
    <row r="6" spans="2:10" x14ac:dyDescent="0.3">
      <c r="B6" s="9"/>
      <c r="C6" s="36"/>
      <c r="D6" s="36"/>
      <c r="E6" s="36"/>
      <c r="F6" s="36"/>
      <c r="G6" s="36"/>
      <c r="H6" s="36"/>
      <c r="I6" s="36"/>
      <c r="J6" s="36"/>
    </row>
    <row r="7" spans="2:10" x14ac:dyDescent="0.3">
      <c r="B7" s="9"/>
      <c r="C7" s="36"/>
      <c r="D7" s="36"/>
      <c r="E7" s="36"/>
      <c r="F7" s="36"/>
      <c r="G7" s="36"/>
      <c r="H7" s="12"/>
      <c r="I7" s="12"/>
      <c r="J7" s="12"/>
    </row>
    <row r="8" spans="2:10" x14ac:dyDescent="0.3">
      <c r="B8" s="9"/>
      <c r="C8" s="36"/>
      <c r="D8" s="36"/>
      <c r="E8" s="36"/>
      <c r="F8" s="36"/>
      <c r="G8" s="36"/>
      <c r="H8" s="36"/>
      <c r="I8" s="36"/>
      <c r="J8" s="36"/>
    </row>
    <row r="9" spans="2:10" x14ac:dyDescent="0.3">
      <c r="B9" s="9"/>
      <c r="C9" s="36"/>
      <c r="D9" s="36"/>
      <c r="E9" s="36"/>
      <c r="F9" s="36"/>
      <c r="G9" s="36"/>
      <c r="H9" s="36"/>
      <c r="I9" s="36"/>
      <c r="J9" s="36"/>
    </row>
    <row r="10" spans="2:10" x14ac:dyDescent="0.3">
      <c r="B10" s="9"/>
      <c r="C10" s="10"/>
      <c r="D10" s="10"/>
      <c r="E10" s="10"/>
      <c r="F10" s="10"/>
      <c r="G10" s="10"/>
      <c r="H10" s="10"/>
      <c r="I10" s="10"/>
      <c r="J10" s="10"/>
    </row>
    <row r="11" spans="2:10" x14ac:dyDescent="0.3">
      <c r="B11" s="9"/>
      <c r="C11" s="10"/>
      <c r="D11" s="10"/>
      <c r="E11" s="10"/>
      <c r="F11" s="10"/>
      <c r="G11" s="10"/>
      <c r="H11" s="10"/>
      <c r="I11" s="10"/>
      <c r="J11" s="10"/>
    </row>
    <row r="12" spans="2:10" x14ac:dyDescent="0.3">
      <c r="B12" s="9"/>
      <c r="C12" s="10"/>
      <c r="D12" s="10"/>
      <c r="E12" s="10"/>
      <c r="F12" s="10"/>
      <c r="G12" s="10"/>
      <c r="H12" s="10"/>
      <c r="I12" s="10"/>
      <c r="J12" s="10"/>
    </row>
    <row r="13" spans="2:10" x14ac:dyDescent="0.3">
      <c r="B13" s="9"/>
      <c r="C13" s="10"/>
      <c r="D13" s="10"/>
      <c r="E13" s="10"/>
      <c r="F13" s="10"/>
      <c r="G13" s="10"/>
      <c r="H13" s="10"/>
      <c r="I13" s="10"/>
      <c r="J13" s="10"/>
    </row>
    <row r="14" spans="2:10" x14ac:dyDescent="0.3">
      <c r="B14" s="9"/>
      <c r="C14" s="10"/>
      <c r="D14" s="10"/>
      <c r="E14" s="10"/>
      <c r="F14" s="10"/>
      <c r="G14" s="10"/>
      <c r="H14" s="10"/>
      <c r="I14" s="10"/>
      <c r="J14" s="10"/>
    </row>
    <row r="15" spans="2:10" x14ac:dyDescent="0.3">
      <c r="B15" s="9"/>
      <c r="C15" s="10"/>
      <c r="D15" s="10"/>
      <c r="E15" s="10"/>
      <c r="F15" s="10"/>
      <c r="G15" s="10"/>
      <c r="H15" s="10"/>
      <c r="I15" s="10"/>
      <c r="J15" s="10"/>
    </row>
    <row r="16" spans="2:10" x14ac:dyDescent="0.3">
      <c r="B16" s="9"/>
      <c r="C16" s="11"/>
      <c r="D16" s="11"/>
      <c r="E16" s="11"/>
      <c r="F16" s="11"/>
      <c r="G16" s="11"/>
      <c r="H16" s="11"/>
      <c r="I16" s="11"/>
      <c r="J16" s="11"/>
    </row>
    <row r="17" spans="2:10" x14ac:dyDescent="0.3">
      <c r="B17" s="9"/>
      <c r="C17" s="11"/>
      <c r="D17" s="11"/>
      <c r="E17" s="11"/>
      <c r="F17" s="11"/>
      <c r="G17" s="11"/>
      <c r="H17" s="11"/>
      <c r="I17" s="11"/>
      <c r="J17" s="11"/>
    </row>
    <row r="18" spans="2:10" x14ac:dyDescent="0.3">
      <c r="B18" s="9"/>
      <c r="C18" s="11"/>
      <c r="D18" s="11"/>
      <c r="E18" s="11"/>
      <c r="F18" s="11"/>
      <c r="G18" s="11"/>
      <c r="H18" s="11"/>
      <c r="I18" s="11"/>
      <c r="J18" s="11"/>
    </row>
    <row r="19" spans="2:10" x14ac:dyDescent="0.3">
      <c r="B19" s="9"/>
      <c r="C19" s="11"/>
      <c r="D19" s="11"/>
      <c r="E19" s="11"/>
      <c r="F19" s="11"/>
      <c r="G19" s="11"/>
      <c r="H19" s="11"/>
      <c r="I19" s="11"/>
      <c r="J19" s="11"/>
    </row>
  </sheetData>
  <phoneticPr fontId="1" type="noConversion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B0344-2886-4CD6-B566-F1BC713B6CAF}">
  <sheetPr>
    <tabColor theme="7" tint="0.39997558519241921"/>
  </sheetPr>
  <dimension ref="A1"/>
  <sheetViews>
    <sheetView workbookViewId="0">
      <selection activeCell="E17" sqref="E17"/>
    </sheetView>
  </sheetViews>
  <sheetFormatPr baseColWidth="10" defaultRowHeight="14.4" x14ac:dyDescent="0.3"/>
  <cols>
    <col min="1" max="1" width="15.44140625" bestFit="1" customWidth="1"/>
    <col min="2" max="2" width="17.33203125" bestFit="1" customWidth="1"/>
    <col min="3" max="3" width="25.5546875" bestFit="1" customWidth="1"/>
    <col min="4" max="4" width="30.5546875" bestFit="1" customWidth="1"/>
    <col min="5" max="5" width="16.6640625" bestFit="1" customWidth="1"/>
    <col min="6" max="7" width="52.44140625" bestFit="1" customWidth="1"/>
  </cols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4FA49B59892B147A6A645FA97DF00F8" ma:contentTypeVersion="14" ma:contentTypeDescription="Ein neues Dokument erstellen." ma:contentTypeScope="" ma:versionID="04eb2cefb0408ab63f5a6feb8f0194cf">
  <xsd:schema xmlns:xsd="http://www.w3.org/2001/XMLSchema" xmlns:xs="http://www.w3.org/2001/XMLSchema" xmlns:p="http://schemas.microsoft.com/office/2006/metadata/properties" xmlns:ns2="64b9ade4-847b-4455-ae1c-0da7bf137040" xmlns:ns3="12cf8cab-9779-4bc7-ba69-f278cbd506ef" targetNamespace="http://schemas.microsoft.com/office/2006/metadata/properties" ma:root="true" ma:fieldsID="b2a459280ae0c8a16e91cbb4e403f6c3" ns2:_="" ns3:_="">
    <xsd:import namespace="64b9ade4-847b-4455-ae1c-0da7bf137040"/>
    <xsd:import namespace="12cf8cab-9779-4bc7-ba69-f278cbd506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b9ade4-847b-4455-ae1c-0da7bf137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markierungen" ma:readOnly="false" ma:fieldId="{5cf76f15-5ced-4ddc-b409-7134ff3c332f}" ma:taxonomyMulti="true" ma:sspId="bc7cd8e4-056a-4b9a-a096-56d591af49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cf8cab-9779-4bc7-ba69-f278cbd506e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fc6ec4d-d398-4716-aaea-91c5cbf10603}" ma:internalName="TaxCatchAll" ma:showField="CatchAllData" ma:web="12cf8cab-9779-4bc7-ba69-f278cbd506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4b9ade4-847b-4455-ae1c-0da7bf137040">
      <Terms xmlns="http://schemas.microsoft.com/office/infopath/2007/PartnerControls"/>
    </lcf76f155ced4ddcb4097134ff3c332f>
    <SharedWithUsers xmlns="12cf8cab-9779-4bc7-ba69-f278cbd506ef">
      <UserInfo>
        <DisplayName/>
        <AccountId xsi:nil="true"/>
        <AccountType/>
      </UserInfo>
    </SharedWithUsers>
    <TaxCatchAll xmlns="12cf8cab-9779-4bc7-ba69-f278cbd506ef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724ACA1-81E3-4D15-8BFD-3F44373C96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b9ade4-847b-4455-ae1c-0da7bf137040"/>
    <ds:schemaRef ds:uri="12cf8cab-9779-4bc7-ba69-f278cbd506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6F19C7-CBEC-437A-ABDC-0E9A40BB32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ECDBC1D-08B2-4AED-A0A1-13BE5A3027A4}">
  <ds:schemaRefs>
    <ds:schemaRef ds:uri="544a2e6d-02d9-48f3-bb3b-cc80f552905d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e68fc6af-4976-4174-92f6-7b58c503e6d6"/>
    <ds:schemaRef ds:uri="http://www.w3.org/XML/1998/namespace"/>
    <ds:schemaRef ds:uri="http://purl.org/dc/dcmitype/"/>
    <ds:schemaRef ds:uri="64b9ade4-847b-4455-ae1c-0da7bf137040"/>
    <ds:schemaRef ds:uri="12cf8cab-9779-4bc7-ba69-f278cbd506ef"/>
  </ds:schemaRefs>
</ds:datastoreItem>
</file>

<file path=customXml/itemProps4.xml><?xml version="1.0" encoding="utf-8"?>
<ds:datastoreItem xmlns:ds="http://schemas.openxmlformats.org/officeDocument/2006/customXml" ds:itemID="{258E9816-5F29-43D7-8D96-2549C0C19D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2</vt:i4>
      </vt:variant>
    </vt:vector>
  </HeadingPairs>
  <TitlesOfParts>
    <vt:vector size="10" baseType="lpstr">
      <vt:lpstr>LeadTime_CS</vt:lpstr>
      <vt:lpstr>Happiness Faktor</vt:lpstr>
      <vt:lpstr>JiraProjects</vt:lpstr>
      <vt:lpstr>JiraBlockermanagement</vt:lpstr>
      <vt:lpstr>JiraStories</vt:lpstr>
      <vt:lpstr>JiraEpics</vt:lpstr>
      <vt:lpstr>SquadDaten</vt:lpstr>
      <vt:lpstr>CACHE_BlockedFieldHistory</vt:lpstr>
      <vt:lpstr>jiraModifierCell</vt:lpstr>
      <vt:lpstr>SquadDaten</vt:lpstr>
    </vt:vector>
  </TitlesOfParts>
  <Manager/>
  <Company>AXA Technology Services Germany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marcus.wissendorf@axa.de</dc:creator>
  <cp:keywords/>
  <dc:description/>
  <cp:lastModifiedBy>Oliver Wolter</cp:lastModifiedBy>
  <cp:revision/>
  <dcterms:created xsi:type="dcterms:W3CDTF">2012-11-22T13:11:48Z</dcterms:created>
  <dcterms:modified xsi:type="dcterms:W3CDTF">2026-06-15T20:19:57Z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9a31d27-fde0-4398-972b-f8b6a4f7f109_Enabled">
    <vt:lpwstr>true</vt:lpwstr>
  </property>
  <property fmtid="{D5CDD505-2E9C-101B-9397-08002B2CF9AE}" pid="3" name="MSIP_Label_f9a31d27-fde0-4398-972b-f8b6a4f7f109_SetDate">
    <vt:lpwstr>2022-10-28T13:56:02Z</vt:lpwstr>
  </property>
  <property fmtid="{D5CDD505-2E9C-101B-9397-08002B2CF9AE}" pid="4" name="MSIP_Label_f9a31d27-fde0-4398-972b-f8b6a4f7f109_Method">
    <vt:lpwstr>Standard</vt:lpwstr>
  </property>
  <property fmtid="{D5CDD505-2E9C-101B-9397-08002B2CF9AE}" pid="5" name="MSIP_Label_f9a31d27-fde0-4398-972b-f8b6a4f7f109_Name">
    <vt:lpwstr>INTERN_Sublabel</vt:lpwstr>
  </property>
  <property fmtid="{D5CDD505-2E9C-101B-9397-08002B2CF9AE}" pid="6" name="MSIP_Label_f9a31d27-fde0-4398-972b-f8b6a4f7f109_SiteId">
    <vt:lpwstr>396b38cc-aa65-492b-bb0e-3d94ed25a97b</vt:lpwstr>
  </property>
  <property fmtid="{D5CDD505-2E9C-101B-9397-08002B2CF9AE}" pid="7" name="MSIP_Label_f9a31d27-fde0-4398-972b-f8b6a4f7f109_ActionId">
    <vt:lpwstr>ab8ee3ed-2ff6-45c3-a183-29bd08633fcb</vt:lpwstr>
  </property>
  <property fmtid="{D5CDD505-2E9C-101B-9397-08002B2CF9AE}" pid="8" name="MSIP_Label_f9a31d27-fde0-4398-972b-f8b6a4f7f109_ContentBits">
    <vt:lpwstr>2</vt:lpwstr>
  </property>
  <property fmtid="{D5CDD505-2E9C-101B-9397-08002B2CF9AE}" pid="9" name="ContentTypeId">
    <vt:lpwstr>0x010100A4FA49B59892B147A6A645FA97DF00F8</vt:lpwstr>
  </property>
  <property fmtid="{D5CDD505-2E9C-101B-9397-08002B2CF9AE}" pid="10" name="MediaServiceImageTags">
    <vt:lpwstr/>
  </property>
  <property fmtid="{D5CDD505-2E9C-101B-9397-08002B2CF9AE}" pid="11" name="ComplianceAssetId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